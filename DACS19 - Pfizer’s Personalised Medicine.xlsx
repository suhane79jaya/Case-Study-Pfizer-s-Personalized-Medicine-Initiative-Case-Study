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 activeTab="4"/>
  </bookViews>
  <sheets>
    <sheet name="Q1" sheetId="3" r:id="rId1"/>
    <sheet name="Q2" sheetId="4" r:id="rId2"/>
    <sheet name="Q3" sheetId="5" r:id="rId3"/>
    <sheet name="Q4" sheetId="6" r:id="rId4"/>
    <sheet name="Q5" sheetId="8" r:id="rId5"/>
    <sheet name="Q6" sheetId="9" r:id="rId6"/>
    <sheet name="Q7" sheetId="10" r:id="rId7"/>
    <sheet name="Q8" sheetId="11" r:id="rId8"/>
    <sheet name="Q9" sheetId="12" r:id="rId9"/>
    <sheet name="Q10" sheetId="13" r:id="rId10"/>
    <sheet name="Q11" sheetId="14" r:id="rId11"/>
    <sheet name="Q12" sheetId="15" r:id="rId12"/>
    <sheet name="Q13" sheetId="16" r:id="rId13"/>
    <sheet name="Q14" sheetId="17" r:id="rId14"/>
    <sheet name="Q15" sheetId="18" r:id="rId15"/>
    <sheet name="ML1" sheetId="19" r:id="rId16"/>
    <sheet name="ML2" sheetId="21" r:id="rId17"/>
    <sheet name="ML3" sheetId="22" r:id="rId18"/>
    <sheet name="ML5" sheetId="26" r:id="rId19"/>
    <sheet name="ML6" sheetId="27" r:id="rId20"/>
    <sheet name="ML7" sheetId="28" r:id="rId21"/>
    <sheet name="ML8" sheetId="29" r:id="rId22"/>
    <sheet name="ML10" sheetId="31" r:id="rId23"/>
    <sheet name="VIS2" sheetId="33" r:id="rId24"/>
    <sheet name="VIS3" sheetId="36" r:id="rId25"/>
    <sheet name="VIS4" sheetId="37" r:id="rId26"/>
    <sheet name="VIS5" sheetId="38" r:id="rId27"/>
    <sheet name="VIS6" sheetId="41" r:id="rId28"/>
    <sheet name="VIS7" sheetId="42" r:id="rId29"/>
    <sheet name="VIS10" sheetId="45" r:id="rId30"/>
    <sheet name="VIS11" sheetId="47" r:id="rId31"/>
    <sheet name="VIS13" sheetId="48" r:id="rId32"/>
    <sheet name="VIS14" sheetId="49" r:id="rId33"/>
    <sheet name="VIS15" sheetId="50" r:id="rId34"/>
    <sheet name="Main Sheet" sheetId="1" r:id="rId35"/>
    <sheet name="separate values" sheetId="2" r:id="rId36"/>
    <sheet name="ML4" sheetId="25" r:id="rId37"/>
    <sheet name="ML9" sheetId="30" r:id="rId38"/>
  </sheets>
  <definedNames>
    <definedName name="_xlnm._FilterDatabase" localSheetId="34" hidden="1">'Main Sheet'!$A$1:$Z$1001</definedName>
    <definedName name="_xlnm._FilterDatabase" localSheetId="15" hidden="1">'ML1'!$E$3:$I$12</definedName>
    <definedName name="_xlnm._FilterDatabase" localSheetId="36" hidden="1">'ML4'!$D$1:$E$1001</definedName>
  </definedNames>
  <calcPr calcId="191029"/>
  <pivotCaches>
    <pivotCache cacheId="0" r:id="rId39"/>
    <pivotCache cacheId="1" r:id="rId40"/>
    <pivotCache cacheId="2" r:id="rId4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<sst xmlns="http://schemas.openxmlformats.org/spreadsheetml/2006/main" count="20579" uniqueCount="1494">
  <si>
    <r>
      <rPr>
        <sz val="11"/>
        <color rgb="FF00B0F0"/>
        <rFont val="Arial"/>
        <charset val="134"/>
      </rPr>
      <t>Patient Distribution by Age Group
Question1: Analyze the number of patients in each age group using a Pivot Table.</t>
    </r>
    <r>
      <rPr>
        <sz val="11"/>
        <color theme="1"/>
        <rFont val="Arial"/>
        <charset val="134"/>
      </rPr>
      <t xml:space="preserve">
</t>
    </r>
  </si>
  <si>
    <t>Age</t>
  </si>
  <si>
    <t>Count of Patient_ID</t>
  </si>
  <si>
    <r>
      <rPr>
        <b/>
        <sz val="11"/>
        <color rgb="FFFF0000"/>
        <rFont val="Calibri"/>
        <charset val="134"/>
        <scheme val="minor"/>
      </rPr>
      <t xml:space="preserve">Age group 18-30 </t>
    </r>
    <r>
      <rPr>
        <b/>
        <sz val="11"/>
        <color theme="1"/>
        <rFont val="Calibri"/>
        <charset val="134"/>
        <scheme val="minor"/>
      </rPr>
      <t>are more participating in clinical trial</t>
    </r>
  </si>
  <si>
    <t>18-30</t>
  </si>
  <si>
    <r>
      <t>Age group 83-85</t>
    </r>
    <r>
      <rPr>
        <b/>
        <sz val="11"/>
        <color theme="1"/>
        <rFont val="Calibri"/>
        <charset val="134"/>
        <scheme val="minor"/>
      </rPr>
      <t xml:space="preserve"> are less participating in clinical trial</t>
    </r>
  </si>
  <si>
    <t>57-69</t>
  </si>
  <si>
    <t>31-43</t>
  </si>
  <si>
    <t>70-82</t>
  </si>
  <si>
    <t>44-56</t>
  </si>
  <si>
    <t>83-85</t>
  </si>
  <si>
    <t>Grand Total</t>
  </si>
  <si>
    <r>
      <rPr>
        <b/>
        <sz val="11"/>
        <color rgb="FFFF0000"/>
        <rFont val="Calibri"/>
        <charset val="134"/>
        <scheme val="minor"/>
      </rPr>
      <t>Question2: Analyze the distribution of different drugs across clinical trial phases using a Pivot Table</t>
    </r>
    <r>
      <rPr>
        <sz val="11"/>
        <color theme="1"/>
        <rFont val="Calibri"/>
        <charset val="134"/>
        <scheme val="minor"/>
      </rPr>
      <t xml:space="preserve">.
</t>
    </r>
  </si>
  <si>
    <t>Trial_Phase</t>
  </si>
  <si>
    <t>Count of Drug_Name</t>
  </si>
  <si>
    <t>Trial Phase I Drug is more advanced in trial Phase</t>
  </si>
  <si>
    <t>Phase I</t>
  </si>
  <si>
    <t>So R &amp; D team is used in later phases</t>
  </si>
  <si>
    <t>Phase II</t>
  </si>
  <si>
    <t>Phase III</t>
  </si>
  <si>
    <t>Phase IV</t>
  </si>
  <si>
    <t xml:space="preserve">Question3: Analyze the number of side effects reported by drug using a Pivot Table.
</t>
  </si>
  <si>
    <t>Count of Side_Effects</t>
  </si>
  <si>
    <t>Side_Effects</t>
  </si>
  <si>
    <t>Drug_Name</t>
  </si>
  <si>
    <t>Dizziness</t>
  </si>
  <si>
    <t>Fatigue</t>
  </si>
  <si>
    <t>Headache</t>
  </si>
  <si>
    <t>Nausea</t>
  </si>
  <si>
    <t>DrugA</t>
  </si>
  <si>
    <t>DrugB</t>
  </si>
  <si>
    <t>Least reported side effects</t>
  </si>
  <si>
    <t>DrugC</t>
  </si>
  <si>
    <t>Most reported side effects</t>
  </si>
  <si>
    <t>DrugD</t>
  </si>
  <si>
    <r>
      <t xml:space="preserve">Drug C </t>
    </r>
    <r>
      <rPr>
        <sz val="11"/>
        <color rgb="FFFF0000"/>
        <rFont val="Calibri"/>
        <charset val="134"/>
        <scheme val="minor"/>
      </rPr>
      <t>has the most reported side effects.</t>
    </r>
  </si>
  <si>
    <r>
      <t xml:space="preserve">Drug B </t>
    </r>
    <r>
      <rPr>
        <sz val="11"/>
        <color rgb="FFFF0000"/>
        <rFont val="Calibri"/>
        <charset val="134"/>
        <scheme val="minor"/>
      </rPr>
      <t>has the least reported side effects.</t>
    </r>
  </si>
  <si>
    <r>
      <t>Question4: Analyze the number of patients in each ethnicity category using a Pivot Table.</t>
    </r>
    <r>
      <rPr>
        <sz val="11"/>
        <color theme="1"/>
        <rFont val="Calibri"/>
        <charset val="134"/>
        <scheme val="minor"/>
      </rPr>
      <t xml:space="preserve">
</t>
    </r>
  </si>
  <si>
    <t>Ethnicity</t>
  </si>
  <si>
    <t>African American</t>
  </si>
  <si>
    <t>MORE PATIENTS IN THIS GROUP</t>
  </si>
  <si>
    <t>Asian</t>
  </si>
  <si>
    <t>Caucasian</t>
  </si>
  <si>
    <t>Hispanic</t>
  </si>
  <si>
    <t>Other</t>
  </si>
  <si>
    <t>Less Patients in this group</t>
  </si>
  <si>
    <r>
      <t xml:space="preserve">African American </t>
    </r>
    <r>
      <rPr>
        <b/>
        <sz val="11"/>
        <color theme="1"/>
        <rFont val="Calibri"/>
        <charset val="134"/>
        <scheme val="minor"/>
      </rPr>
      <t>ethnicity group patients are maximum:208</t>
    </r>
  </si>
  <si>
    <r>
      <t xml:space="preserve">Others </t>
    </r>
    <r>
      <rPr>
        <b/>
        <sz val="11"/>
        <color theme="1"/>
        <rFont val="Calibri"/>
        <charset val="134"/>
        <scheme val="minor"/>
      </rPr>
      <t>Ethnicity group have less patients which are:191</t>
    </r>
  </si>
  <si>
    <r>
      <t>Question5: Calculate the average dose administered for each drug.</t>
    </r>
    <r>
      <rPr>
        <sz val="11"/>
        <color theme="1"/>
        <rFont val="Calibri"/>
        <charset val="134"/>
        <scheme val="minor"/>
      </rPr>
      <t xml:space="preserve">
</t>
    </r>
  </si>
  <si>
    <t>Average of Dose_Ad</t>
  </si>
  <si>
    <t>Least average dose adminstered</t>
  </si>
  <si>
    <t>:DRUG C</t>
  </si>
  <si>
    <t>Most average dose administred</t>
  </si>
  <si>
    <t>:DRUG B</t>
  </si>
  <si>
    <t xml:space="preserve">Question6: Analyze the average efficacy score by drug and age group.
</t>
  </si>
  <si>
    <t>Average of Efficacy_Score</t>
  </si>
  <si>
    <t>Age Group 70-82: Responds less for the Drugs,because Average of Ffficacy score is more here</t>
  </si>
  <si>
    <t>Age Group 31-43: Responds more for the Drugs,because Average of Ffficacy score is more here</t>
  </si>
  <si>
    <r>
      <rPr>
        <b/>
        <sz val="11"/>
        <color rgb="FFFF0000"/>
        <rFont val="Calibri"/>
        <charset val="134"/>
        <scheme val="minor"/>
      </rPr>
      <t>Question7: Analyze the average progression-free survival based on the mutation status of patients.</t>
    </r>
    <r>
      <rPr>
        <sz val="11"/>
        <color theme="1"/>
        <rFont val="Calibri"/>
        <charset val="134"/>
        <scheme val="minor"/>
      </rPr>
      <t xml:space="preserve">
</t>
    </r>
  </si>
  <si>
    <t>Mutation_Status</t>
  </si>
  <si>
    <t>Average of Progression_Free_Survival</t>
  </si>
  <si>
    <t>Negative</t>
  </si>
  <si>
    <t>Negative Mutation_Status provides 11.50793951 Average of Progression_Free Survival</t>
  </si>
  <si>
    <t>Positive</t>
  </si>
  <si>
    <t>Positive Mutation_Status provides 11.68704883 Average of Progression_Free Survival which is less than the Negative</t>
  </si>
  <si>
    <t>Negative Mutation_Status is less than the Positive Mutation_Status of Average of Progression_Free Survival</t>
  </si>
  <si>
    <t xml:space="preserve">Question8: Analyze the average survival rate by gender and drug.
</t>
  </si>
  <si>
    <t>Gender</t>
  </si>
  <si>
    <t>Average of Survival_Rate</t>
  </si>
  <si>
    <t>The average survival rate of Female gender is more due to Drug D</t>
  </si>
  <si>
    <t>Female</t>
  </si>
  <si>
    <t>Male</t>
  </si>
  <si>
    <t xml:space="preserve">Question9: Analyze the number of side effects reported by age group and treatment outcome.
</t>
  </si>
  <si>
    <t>Treatment_Outcome</t>
  </si>
  <si>
    <t>When age groups increases side effect decreases.</t>
  </si>
  <si>
    <t>Age Group 18-30 has more Side Effect and Age group 83-85 has less Side effect.</t>
  </si>
  <si>
    <t>Question10: Analyze the efficacy score based on the presence of different gene mutations.</t>
  </si>
  <si>
    <t>Gene_Name</t>
  </si>
  <si>
    <t>BRCA2</t>
  </si>
  <si>
    <t>Average of Efficacy_score of Gene Name BRCA2 is low , it means response of patient after treatement is slow.</t>
  </si>
  <si>
    <t>EGFR</t>
  </si>
  <si>
    <t>TP53</t>
  </si>
  <si>
    <t>HER2</t>
  </si>
  <si>
    <t>BRCA1</t>
  </si>
  <si>
    <t>Average of Efficacy_score of Gene Name BRCA1 is high , it means response of patient after treatement is fast.</t>
  </si>
  <si>
    <t>Question11: Analyze if there is a correlation between the dose administered and treatment success rate.</t>
  </si>
  <si>
    <t>Dose_Ad</t>
  </si>
  <si>
    <t>Count of Success_Indicator</t>
  </si>
  <si>
    <t>:Correlation between the dose administarated and treatement Success is very weak</t>
  </si>
  <si>
    <t>A correlation of -0.0511 between two variables indicates a very weak negative relationship. Here’s what it means:
Direction: Since the value is negative, as one variable increases, the other tends to decrease slightly.
Strength: The value is very close to 0, meaning the relationship between the variables is extremely weak. In practical terms, there is almost no meaningful linear association between them.</t>
  </si>
  <si>
    <t>A correlation of -0.0511 between two variables indicates a very weak negative relationship. Here’s what it means:
Strength: The value is very close to 1, meaning the relationship between the variables is extremely weak. In practical terms, there is almost no meaningful linear association between them.</t>
  </si>
  <si>
    <r>
      <rPr>
        <b/>
        <sz val="11"/>
        <color rgb="FFFF0000"/>
        <rFont val="Calibri"/>
        <charset val="134"/>
        <scheme val="minor"/>
      </rPr>
      <t>Question12: Analyze the relationship between gene expression levels and survival rates.</t>
    </r>
    <r>
      <rPr>
        <sz val="11"/>
        <color theme="1"/>
        <rFont val="Calibri"/>
        <charset val="134"/>
        <scheme val="minor"/>
      </rPr>
      <t xml:space="preserve">
</t>
    </r>
  </si>
  <si>
    <t>Expression_Level</t>
  </si>
  <si>
    <t>Interpreting Correlation = 0</t>
  </si>
  <si>
    <r>
      <rPr>
        <b/>
        <sz val="11"/>
        <color theme="1"/>
        <rFont val="Calibri"/>
        <charset val="134"/>
        <scheme val="minor"/>
      </rPr>
      <t>No linear association</t>
    </r>
    <r>
      <rPr>
        <sz val="11"/>
        <color theme="1"/>
        <rFont val="Calibri"/>
        <charset val="134"/>
        <scheme val="minor"/>
      </rPr>
      <t>: The variables do not increase or decrease together in a predictable way.</t>
    </r>
  </si>
  <si>
    <r>
      <rPr>
        <b/>
        <sz val="11"/>
        <color theme="1"/>
        <rFont val="Calibri"/>
        <charset val="134"/>
        <scheme val="minor"/>
      </rPr>
      <t>Possible non-linear relationship</t>
    </r>
    <r>
      <rPr>
        <sz val="11"/>
        <color theme="1"/>
        <rFont val="Calibri"/>
        <charset val="134"/>
        <scheme val="minor"/>
      </rPr>
      <t xml:space="preserve">: There might still be a pattern, but it could be </t>
    </r>
    <r>
      <rPr>
        <b/>
        <sz val="11"/>
        <color theme="1"/>
        <rFont val="Calibri"/>
        <charset val="134"/>
        <scheme val="minor"/>
      </rPr>
      <t>curved</t>
    </r>
    <r>
      <rPr>
        <sz val="11"/>
        <color theme="1"/>
        <rFont val="Calibri"/>
        <charset val="134"/>
        <scheme val="minor"/>
      </rPr>
      <t xml:space="preserve"> or </t>
    </r>
    <r>
      <rPr>
        <b/>
        <sz val="11"/>
        <color theme="1"/>
        <rFont val="Calibri"/>
        <charset val="134"/>
        <scheme val="minor"/>
      </rPr>
      <t>complex</t>
    </r>
    <r>
      <rPr>
        <sz val="11"/>
        <color theme="1"/>
        <rFont val="Calibri"/>
        <charset val="134"/>
        <scheme val="minor"/>
      </rPr>
      <t xml:space="preserve"> instead of a straight-line trend.</t>
    </r>
  </si>
  <si>
    <r>
      <rPr>
        <b/>
        <sz val="11"/>
        <color theme="1"/>
        <rFont val="Calibri"/>
        <charset val="134"/>
        <scheme val="minor"/>
      </rPr>
      <t>Completely independent variables</t>
    </r>
    <r>
      <rPr>
        <sz val="11"/>
        <color theme="1"/>
        <rFont val="Calibri"/>
        <charset val="134"/>
        <scheme val="minor"/>
      </rPr>
      <t>: In some cases, the two variables may truly be unrelated.</t>
    </r>
  </si>
  <si>
    <t>Question13: Analyze the relationship between the number of adverse events and progression-free survival.</t>
  </si>
  <si>
    <t>Adverse_Events</t>
  </si>
  <si>
    <t>Dizziness, None, Nausea have most average of progression_free_survival=18.4</t>
  </si>
  <si>
    <t>Dizziness, None, Headache</t>
  </si>
  <si>
    <t>Dizziness, None, Headache have least average of Progression_free_survival=4.5333</t>
  </si>
  <si>
    <t>Headache, None, Nausea</t>
  </si>
  <si>
    <t>None, Fatigue, Headache</t>
  </si>
  <si>
    <t>Headache, Nausea, Dizziness</t>
  </si>
  <si>
    <t>None, Headache, Nausea</t>
  </si>
  <si>
    <t>Fatigue, Nausea, None</t>
  </si>
  <si>
    <t>Nausea, Dizziness, Fatigue</t>
  </si>
  <si>
    <t>None, Nausea, Fatigue</t>
  </si>
  <si>
    <t>Dizziness, Fatigue, None</t>
  </si>
  <si>
    <t>None, Headache, Dizziness</t>
  </si>
  <si>
    <t>Dizziness, Nausea, Fatigue</t>
  </si>
  <si>
    <t>Dizziness, Headache, Fatigue</t>
  </si>
  <si>
    <t>Fatigue, None, Nausea</t>
  </si>
  <si>
    <t>None, Headache</t>
  </si>
  <si>
    <t>Nausea, None, Dizziness</t>
  </si>
  <si>
    <t>Fatigue, Headache, None</t>
  </si>
  <si>
    <t>None, Nausea, Dizziness</t>
  </si>
  <si>
    <t>Fatigue, None, Headache</t>
  </si>
  <si>
    <t>None, Nausea</t>
  </si>
  <si>
    <t>Nausea, Fatigue, Dizziness</t>
  </si>
  <si>
    <t>None, Fatigue, Dizziness</t>
  </si>
  <si>
    <t>Headache, Fatigue, Nausea</t>
  </si>
  <si>
    <t>None, Fatigue</t>
  </si>
  <si>
    <t>Fatigue, None, Dizziness</t>
  </si>
  <si>
    <t>Dizziness, Headache, Nausea</t>
  </si>
  <si>
    <t>Nausea, Fatigue</t>
  </si>
  <si>
    <t>Nausea, Dizziness, Headache</t>
  </si>
  <si>
    <t>Nausea, None, Fatigue</t>
  </si>
  <si>
    <t>Fatigue, Dizziness</t>
  </si>
  <si>
    <t>Dizziness, Headache, None</t>
  </si>
  <si>
    <t>Nausea, Dizziness, None</t>
  </si>
  <si>
    <t>Fatigue, Dizziness, None</t>
  </si>
  <si>
    <t>Dizziness, Nausea, None</t>
  </si>
  <si>
    <t>Headache, None, Dizziness</t>
  </si>
  <si>
    <t>Nausea, Fatigue, Headache</t>
  </si>
  <si>
    <t>Fatigue, Dizziness, Nausea</t>
  </si>
  <si>
    <t>Dizziness, None</t>
  </si>
  <si>
    <t>None, Headache, Fatigue</t>
  </si>
  <si>
    <t>None, Dizziness, Nausea</t>
  </si>
  <si>
    <t>Fatigue, None</t>
  </si>
  <si>
    <t>Headache, Nausea</t>
  </si>
  <si>
    <t>Nausea, Dizziness</t>
  </si>
  <si>
    <t>Dizziness, Nausea, Headache</t>
  </si>
  <si>
    <t>Dizziness, Nausea</t>
  </si>
  <si>
    <t>Nausea, Headache, Fatigue</t>
  </si>
  <si>
    <t>Nausea, Headache</t>
  </si>
  <si>
    <t>Fatigue, Headache, Dizziness</t>
  </si>
  <si>
    <t>Nausea, None</t>
  </si>
  <si>
    <t>Dizziness, Headache</t>
  </si>
  <si>
    <t>None</t>
  </si>
  <si>
    <t>Headache, Fatigue</t>
  </si>
  <si>
    <t>None, Fatigue, Nausea</t>
  </si>
  <si>
    <t>Headache, Nausea, None</t>
  </si>
  <si>
    <t>None, Dizziness, Fatigue</t>
  </si>
  <si>
    <t>Nausea, Headache, Dizziness</t>
  </si>
  <si>
    <t>Headache, Dizziness</t>
  </si>
  <si>
    <t>None, Dizziness</t>
  </si>
  <si>
    <t>Headache, Dizziness, Fatigue</t>
  </si>
  <si>
    <t>Fatigue, Nausea, Dizziness</t>
  </si>
  <si>
    <t>Headache, Fatigue, None</t>
  </si>
  <si>
    <t>None, Nausea, Headache</t>
  </si>
  <si>
    <t>Dizziness, Fatigue, Headache</t>
  </si>
  <si>
    <t>Headache, None</t>
  </si>
  <si>
    <t>Nausea, Headache, None</t>
  </si>
  <si>
    <t>Fatigue, Headache, Nausea</t>
  </si>
  <si>
    <t>Fatigue, Nausea, Headache</t>
  </si>
  <si>
    <t>Headache, Dizziness, Nausea</t>
  </si>
  <si>
    <t>Nausea, Fatigue, None</t>
  </si>
  <si>
    <t>Fatigue, Nausea</t>
  </si>
  <si>
    <t>Nausea, None, Headache</t>
  </si>
  <si>
    <t>Headache, Dizziness, None</t>
  </si>
  <si>
    <t>None, Dizziness, Headache</t>
  </si>
  <si>
    <t>Dizziness, Fatigue</t>
  </si>
  <si>
    <t>Fatigue, Headache</t>
  </si>
  <si>
    <t>Dizziness, None, Fatigue</t>
  </si>
  <si>
    <t>Headache, Fatigue, Dizziness</t>
  </si>
  <si>
    <t>Headache, None, Fatigue</t>
  </si>
  <si>
    <t>Dizziness, Fatigue, Nausea</t>
  </si>
  <si>
    <t>Fatigue, Dizziness, Headache</t>
  </si>
  <si>
    <t>Headache, Nausea, Fatigue</t>
  </si>
  <si>
    <t>Dizziness, None, Nausea</t>
  </si>
  <si>
    <t>○Question14: Analyze how the duration of treatment affects the efficacy score.</t>
  </si>
  <si>
    <t>Duration_of_Treatment</t>
  </si>
  <si>
    <r>
      <rPr>
        <sz val="11"/>
        <color theme="1"/>
        <rFont val="Calibri"/>
        <charset val="134"/>
        <scheme val="minor"/>
      </rPr>
      <t>○</t>
    </r>
    <r>
      <rPr>
        <b/>
        <sz val="12"/>
        <color rgb="FFFF0000"/>
        <rFont val="Calibri"/>
        <charset val="134"/>
        <scheme val="minor"/>
      </rPr>
      <t>Question15: Analyze how biomarker levels affect the treatment outcome.</t>
    </r>
  </si>
  <si>
    <t>Biomarker_Level</t>
  </si>
  <si>
    <t>Average of Success_Indicator</t>
  </si>
  <si>
    <r>
      <rPr>
        <sz val="11"/>
        <color theme="1"/>
        <rFont val="Calibri"/>
        <charset val="134"/>
        <scheme val="minor"/>
      </rPr>
      <t xml:space="preserve">A correlation of </t>
    </r>
    <r>
      <rPr>
        <b/>
        <sz val="11"/>
        <color theme="1"/>
        <rFont val="Calibri"/>
        <charset val="134"/>
        <scheme val="minor"/>
      </rPr>
      <t>-0.03189258</t>
    </r>
    <r>
      <rPr>
        <sz val="11"/>
        <color theme="1"/>
        <rFont val="Calibri"/>
        <charset val="134"/>
        <scheme val="minor"/>
      </rPr>
      <t xml:space="preserve"> suggests a very weak </t>
    </r>
    <r>
      <rPr>
        <b/>
        <sz val="11"/>
        <color theme="1"/>
        <rFont val="Calibri"/>
        <charset val="134"/>
        <scheme val="minor"/>
      </rPr>
      <t>negative</t>
    </r>
    <r>
      <rPr>
        <sz val="11"/>
        <color theme="1"/>
        <rFont val="Calibri"/>
        <charset val="134"/>
        <scheme val="minor"/>
      </rPr>
      <t xml:space="preserve"> relationship between two variables.</t>
    </r>
  </si>
  <si>
    <t>BIomarker level and success indicator</t>
  </si>
  <si>
    <t>Interpretation:</t>
  </si>
  <si>
    <r>
      <rPr>
        <sz val="11"/>
        <color theme="1"/>
        <rFont val="Calibri"/>
        <charset val="134"/>
        <scheme val="minor"/>
      </rPr>
      <t xml:space="preserve">Since the value is </t>
    </r>
    <r>
      <rPr>
        <b/>
        <sz val="11"/>
        <color theme="1"/>
        <rFont val="Calibri"/>
        <charset val="134"/>
        <scheme val="minor"/>
      </rPr>
      <t>close to 0</t>
    </r>
    <r>
      <rPr>
        <sz val="11"/>
        <color theme="1"/>
        <rFont val="Calibri"/>
        <charset val="134"/>
        <scheme val="minor"/>
      </rPr>
      <t xml:space="preserve">, it indicates that there is </t>
    </r>
    <r>
      <rPr>
        <b/>
        <sz val="11"/>
        <color theme="1"/>
        <rFont val="Calibri"/>
        <charset val="134"/>
        <scheme val="minor"/>
      </rPr>
      <t>almost no linear relationship</t>
    </r>
    <r>
      <rPr>
        <sz val="11"/>
        <color theme="1"/>
        <rFont val="Calibri"/>
        <charset val="134"/>
        <scheme val="minor"/>
      </rPr>
      <t xml:space="preserve"> between the variables.</t>
    </r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</si>
  <si>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negative</t>
    </r>
    <r>
      <rPr>
        <sz val="11"/>
        <color theme="1"/>
        <rFont val="Calibri"/>
        <charset val="134"/>
        <scheme val="minor"/>
      </rPr>
      <t xml:space="preserve"> sign means that as one variable increases, the other tends to decrease slightly, but the relationship is so weak that it is nearly negligible.</t>
    </r>
  </si>
  <si>
    <r>
      <rPr>
        <sz val="11"/>
        <color theme="1"/>
        <rFont val="Calibri"/>
        <charset val="134"/>
        <scheme val="minor"/>
      </rPr>
      <t xml:space="preserve">In practical terms, this correlation is likely </t>
    </r>
    <r>
      <rPr>
        <b/>
        <sz val="11"/>
        <color theme="1"/>
        <rFont val="Calibri"/>
        <charset val="134"/>
        <scheme val="minor"/>
      </rPr>
      <t>not statistically significant</t>
    </r>
    <r>
      <rPr>
        <sz val="11"/>
        <color theme="1"/>
        <rFont val="Calibri"/>
        <charset val="134"/>
        <scheme val="minor"/>
      </rPr>
      <t xml:space="preserve">, meaning the two variables are largely </t>
    </r>
    <r>
      <rPr>
        <b/>
        <sz val="11"/>
        <color theme="1"/>
        <rFont val="Calibri"/>
        <charset val="134"/>
        <scheme val="minor"/>
      </rPr>
      <t>independent</t>
    </r>
    <r>
      <rPr>
        <sz val="11"/>
        <color theme="1"/>
        <rFont val="Calibri"/>
        <charset val="134"/>
        <scheme val="minor"/>
      </rPr>
      <t xml:space="preserve"> of each other.</t>
    </r>
  </si>
  <si>
    <t>(blank)</t>
  </si>
  <si>
    <r>
      <rPr>
        <b/>
        <sz val="14"/>
        <color rgb="FFFF0000"/>
        <rFont val="Calibri"/>
        <charset val="134"/>
        <scheme val="minor"/>
      </rPr>
      <t>QuestionML1 :Analyze the average efficacy score by age group and gender</t>
    </r>
    <r>
      <rPr>
        <sz val="11"/>
        <color theme="1"/>
        <rFont val="Calibri"/>
        <charset val="134"/>
        <scheme val="minor"/>
      </rPr>
      <t>.</t>
    </r>
  </si>
  <si>
    <t>When Age group Increases, Average of Efficacy_Score is also increasing</t>
  </si>
  <si>
    <t>31-50</t>
  </si>
  <si>
    <t>&gt;50</t>
  </si>
  <si>
    <t>QueML2:Analyze the number of adverse events reported for each drug based on the patients' mutation status.</t>
  </si>
  <si>
    <t>Count of Adverse_Events</t>
  </si>
  <si>
    <t>Most number of adverse events reported by DrugD and least number of adverse events effect reported by DrugB</t>
  </si>
  <si>
    <t>QueML3 .Progression-Free Survival by Drug and Treatment Outcome</t>
  </si>
  <si>
    <t>Improved Treatment_outcome from DrugA shows most Average of progression_Free_survival</t>
  </si>
  <si>
    <t>rom DrugD</t>
  </si>
  <si>
    <t>shows the least Average of progression_free_survival</t>
  </si>
  <si>
    <t>Deteriorated</t>
  </si>
  <si>
    <t>Improved</t>
  </si>
  <si>
    <t>Q5 Question: Analyze the average survival rate by ethnicity and drug.</t>
  </si>
  <si>
    <t>Q6 ○Question: Analyze the average gene expression level based on treatment outcomes.</t>
  </si>
  <si>
    <t>Average of Expression_Level</t>
  </si>
  <si>
    <t>Gene name BRCA2 have the most average of Expression level and TP53 Gene Name shows the least average of expression level.</t>
  </si>
  <si>
    <t>No Change</t>
  </si>
  <si>
    <r>
      <rPr>
        <b/>
        <sz val="14"/>
        <color rgb="FFFF0000"/>
        <rFont val="Calibri"/>
        <charset val="134"/>
        <scheme val="minor"/>
      </rPr>
      <t>Q7 : Analyze the success rate of treatments based on drug and gender</t>
    </r>
    <r>
      <rPr>
        <sz val="11"/>
        <color theme="1"/>
        <rFont val="Calibri"/>
        <charset val="134"/>
        <scheme val="minor"/>
      </rPr>
      <t>.</t>
    </r>
  </si>
  <si>
    <t>Success rate of DrugC is highest and Success rate of DrugA is least</t>
  </si>
  <si>
    <t>Q9:: Analyze the relationship between survival rates and progression-free survival.</t>
  </si>
  <si>
    <t>QML10  Analyze the success rate of drugs based on the phase of the clinical trial they are in.</t>
  </si>
  <si>
    <t>Phase2 success rate of clinical trial is most and Phase 4 is least.</t>
  </si>
  <si>
    <t>●Question2: Create a pie chart to visualize the gender distribution of patients.</t>
  </si>
  <si>
    <t>Count of Gender</t>
  </si>
  <si>
    <t>Male gender shows the highest number of distribution of patients Whereas Female gender shows the least number of distribution of Patients</t>
  </si>
  <si>
    <t>Question3: Create a stacked bar chart to show the distribution of different drugs across various trial phases.</t>
  </si>
  <si>
    <t>Count of Trial_Phase</t>
  </si>
  <si>
    <t>DrugC has the most number of trial Phase and DrugB has the least number of trial phase.</t>
  </si>
  <si>
    <t>Question4: Create a bar chart showing the average efficacy score for each drug.</t>
  </si>
  <si>
    <t>DrugD has the highest Efficacy Score whereas DrugB has the least Average of Efficacy Score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</si>
  <si>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Question:5 Create a clustered bar chart to compare the number of side effects reported for each drug.</t>
    </r>
  </si>
  <si>
    <t>DrugC reported most number of side Effects and DrugB reported the least number of side effects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</si>
  <si>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Question6: Create a line chart to visualize the average survival rate for each drug.</t>
    </r>
  </si>
  <si>
    <t>DrugD has the most Average Survival rate whereas DrugA has the least Survival rate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</si>
  <si>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Question7: Create a stacked column chart showing the success rate of treatments for different genders</t>
    </r>
    <r>
      <rPr>
        <sz val="11"/>
        <color theme="1"/>
        <rFont val="Calibri"/>
        <charset val="134"/>
        <scheme val="minor"/>
      </rPr>
      <t>.</t>
    </r>
  </si>
  <si>
    <t>Female gender shows the most Average of Success_Indicator Whereas Others shows the least Average of Success Indicator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</si>
  <si>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Question10: Create a line chart to show the progression-free survival for each drug.</t>
    </r>
  </si>
  <si>
    <t>DrugA indicates the most progression free survival and DrugD shows the least progression free survival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</si>
  <si>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Question11: Create a column chart showing the success rate of treatments for different age groups.</t>
    </r>
  </si>
  <si>
    <t>Age group 57-69 shows the highest Average of success indicator whereas age group 44-56 shows the least</t>
  </si>
  <si>
    <t>Average of success indicator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</si>
  <si>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Question13: Create a clustered column chart to compare the number of adverse events reported across different age groups.</t>
    </r>
  </si>
  <si>
    <t>Age group 18-30 reported most Adverse Events effect and age group 83-85 reported less Adverse Events effect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</si>
  <si>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Question14: Create a bar chart comparing the average progression-free survival based on mutation status.</t>
    </r>
  </si>
  <si>
    <t>Positive Mutation Status has more Progression_Free_survival as compared to Negative Progression_Free_survival</t>
  </si>
  <si>
    <r>
      <rPr>
        <sz val="11"/>
        <color theme="1"/>
        <rFont val="Calibri"/>
        <charset val="134"/>
        <scheme val="minor"/>
      </rPr>
      <t>●</t>
    </r>
    <r>
      <rPr>
        <b/>
        <sz val="14"/>
        <color rgb="FFFF0000"/>
        <rFont val="Calibri"/>
        <charset val="134"/>
        <scheme val="minor"/>
      </rPr>
      <t>Question15: Create a line chart to compare the success rate of treatments across different clinical trial phases.</t>
    </r>
  </si>
  <si>
    <t>Phase II has the highest Average success rate and Phase 3 has the lowest success rate across different clinical trials</t>
  </si>
  <si>
    <t>Patient_ID</t>
  </si>
  <si>
    <t>Medical_History</t>
  </si>
  <si>
    <t>Genomic_Profile</t>
  </si>
  <si>
    <t>Trial_ID</t>
  </si>
  <si>
    <t>Start_Date</t>
  </si>
  <si>
    <t>End_Date</t>
  </si>
  <si>
    <t>Dose</t>
  </si>
  <si>
    <t>Treatment_ID</t>
  </si>
  <si>
    <t>Success_Indicator</t>
  </si>
  <si>
    <t>Efficacy_Score</t>
  </si>
  <si>
    <t>Survival_Rate</t>
  </si>
  <si>
    <t>Progression_Free_Survival</t>
  </si>
  <si>
    <t>P001</t>
  </si>
  <si>
    <t>Heart Disease</t>
  </si>
  <si>
    <t>T011</t>
  </si>
  <si>
    <t>TR0085</t>
  </si>
  <si>
    <t>P002</t>
  </si>
  <si>
    <t>Diabetes</t>
  </si>
  <si>
    <t>HER2 Mutation</t>
  </si>
  <si>
    <t>T014</t>
  </si>
  <si>
    <t>TR0002</t>
  </si>
  <si>
    <t>P003</t>
  </si>
  <si>
    <t>TP53 Mutation</t>
  </si>
  <si>
    <t>T008</t>
  </si>
  <si>
    <t>TR0158</t>
  </si>
  <si>
    <t>P004</t>
  </si>
  <si>
    <t>EGFR Mutation</t>
  </si>
  <si>
    <t>T016</t>
  </si>
  <si>
    <t>TR0029</t>
  </si>
  <si>
    <t>P005</t>
  </si>
  <si>
    <t>Asthma</t>
  </si>
  <si>
    <t>BRCA2 Mutation</t>
  </si>
  <si>
    <t>T019</t>
  </si>
  <si>
    <t>TR0107</t>
  </si>
  <si>
    <t>P006</t>
  </si>
  <si>
    <t>BRCA1 Mutation</t>
  </si>
  <si>
    <t>T007</t>
  </si>
  <si>
    <t>TR0009</t>
  </si>
  <si>
    <t>P007</t>
  </si>
  <si>
    <t>T005</t>
  </si>
  <si>
    <t>TR0077</t>
  </si>
  <si>
    <t>P008</t>
  </si>
  <si>
    <t>T004</t>
  </si>
  <si>
    <t>P009</t>
  </si>
  <si>
    <t>TR0037</t>
  </si>
  <si>
    <t>P010</t>
  </si>
  <si>
    <t>T006</t>
  </si>
  <si>
    <t>TR0039</t>
  </si>
  <si>
    <t>P011</t>
  </si>
  <si>
    <t>T002</t>
  </si>
  <si>
    <t>TR0166</t>
  </si>
  <si>
    <t>P012</t>
  </si>
  <si>
    <t>T003</t>
  </si>
  <si>
    <t>TR0049</t>
  </si>
  <si>
    <t>P013</t>
  </si>
  <si>
    <t>T013</t>
  </si>
  <si>
    <t>TR0195</t>
  </si>
  <si>
    <t>P014</t>
  </si>
  <si>
    <t>TR0168</t>
  </si>
  <si>
    <t>P015</t>
  </si>
  <si>
    <t>TR0036</t>
  </si>
  <si>
    <t>P016</t>
  </si>
  <si>
    <t>TR0185</t>
  </si>
  <si>
    <t>P017</t>
  </si>
  <si>
    <t>T020</t>
  </si>
  <si>
    <t>TR0179</t>
  </si>
  <si>
    <t>P018</t>
  </si>
  <si>
    <t>TR0178</t>
  </si>
  <si>
    <t>P019</t>
  </si>
  <si>
    <t>Hypertension</t>
  </si>
  <si>
    <t>T001</t>
  </si>
  <si>
    <t>TR0194</t>
  </si>
  <si>
    <t>P020</t>
  </si>
  <si>
    <t>TR0142</t>
  </si>
  <si>
    <t>P021</t>
  </si>
  <si>
    <t>TR0028</t>
  </si>
  <si>
    <t>P022</t>
  </si>
  <si>
    <t>T018</t>
  </si>
  <si>
    <t>TR0004</t>
  </si>
  <si>
    <t>P023</t>
  </si>
  <si>
    <t>T009</t>
  </si>
  <si>
    <t>TR0093</t>
  </si>
  <si>
    <t>P024</t>
  </si>
  <si>
    <t>TR0123</t>
  </si>
  <si>
    <t>P025</t>
  </si>
  <si>
    <t>T012</t>
  </si>
  <si>
    <t>TR0075</t>
  </si>
  <si>
    <t>P026</t>
  </si>
  <si>
    <t>TR0138</t>
  </si>
  <si>
    <t>P027</t>
  </si>
  <si>
    <t>TR0096</t>
  </si>
  <si>
    <t>P028</t>
  </si>
  <si>
    <t>TR0025</t>
  </si>
  <si>
    <t>P029</t>
  </si>
  <si>
    <t>TR0104</t>
  </si>
  <si>
    <t>P030</t>
  </si>
  <si>
    <t>TR0084</t>
  </si>
  <si>
    <t>P031</t>
  </si>
  <si>
    <t>TR0035</t>
  </si>
  <si>
    <t>P032</t>
  </si>
  <si>
    <t>P033</t>
  </si>
  <si>
    <t>TR0145</t>
  </si>
  <si>
    <t>P034</t>
  </si>
  <si>
    <t>TR0056</t>
  </si>
  <si>
    <t>P035</t>
  </si>
  <si>
    <t>TR0016</t>
  </si>
  <si>
    <t>P036</t>
  </si>
  <si>
    <t>T017</t>
  </si>
  <si>
    <t>TR0183</t>
  </si>
  <si>
    <t>P037</t>
  </si>
  <si>
    <t>TR0171</t>
  </si>
  <si>
    <t>P038</t>
  </si>
  <si>
    <t>TR0005</t>
  </si>
  <si>
    <t>P039</t>
  </si>
  <si>
    <t>TR0161</t>
  </si>
  <si>
    <t>P040</t>
  </si>
  <si>
    <t>TR0059</t>
  </si>
  <si>
    <t>P041</t>
  </si>
  <si>
    <t>P042</t>
  </si>
  <si>
    <t>P043</t>
  </si>
  <si>
    <t>T010</t>
  </si>
  <si>
    <t>P044</t>
  </si>
  <si>
    <t>P045</t>
  </si>
  <si>
    <t>TR0163</t>
  </si>
  <si>
    <t>P046</t>
  </si>
  <si>
    <t>TR0089</t>
  </si>
  <si>
    <t>P047</t>
  </si>
  <si>
    <t>TR0015</t>
  </si>
  <si>
    <t>P048</t>
  </si>
  <si>
    <t>TR0010</t>
  </si>
  <si>
    <t>P049</t>
  </si>
  <si>
    <t>TR0120</t>
  </si>
  <si>
    <t>P050</t>
  </si>
  <si>
    <t>P051</t>
  </si>
  <si>
    <t>TR0024</t>
  </si>
  <si>
    <t>P052</t>
  </si>
  <si>
    <t>TR0180</t>
  </si>
  <si>
    <t>P053</t>
  </si>
  <si>
    <t>TR0198</t>
  </si>
  <si>
    <t>P054</t>
  </si>
  <si>
    <t>TR0174</t>
  </si>
  <si>
    <t>P055</t>
  </si>
  <si>
    <t>TR0020</t>
  </si>
  <si>
    <t>P056</t>
  </si>
  <si>
    <t>TR0055</t>
  </si>
  <si>
    <t>P057</t>
  </si>
  <si>
    <t>TR0162</t>
  </si>
  <si>
    <t>P058</t>
  </si>
  <si>
    <t>TR0136</t>
  </si>
  <si>
    <t>P059</t>
  </si>
  <si>
    <t>P060</t>
  </si>
  <si>
    <t>TR0184</t>
  </si>
  <si>
    <t>P061</t>
  </si>
  <si>
    <t>TR0082</t>
  </si>
  <si>
    <t>P062</t>
  </si>
  <si>
    <t>P063</t>
  </si>
  <si>
    <t>TR0113</t>
  </si>
  <si>
    <t>P064</t>
  </si>
  <si>
    <t>TR0067</t>
  </si>
  <si>
    <t>P065</t>
  </si>
  <si>
    <t>TR0026</t>
  </si>
  <si>
    <t>P066</t>
  </si>
  <si>
    <t>TR0052</t>
  </si>
  <si>
    <t>P067</t>
  </si>
  <si>
    <t>TR0048</t>
  </si>
  <si>
    <t>P068</t>
  </si>
  <si>
    <t>TR0061</t>
  </si>
  <si>
    <t>P069</t>
  </si>
  <si>
    <t>TR0109</t>
  </si>
  <si>
    <t>P070</t>
  </si>
  <si>
    <t>P071</t>
  </si>
  <si>
    <t>TR0071</t>
  </si>
  <si>
    <t>P072</t>
  </si>
  <si>
    <t>P073</t>
  </si>
  <si>
    <t>P074</t>
  </si>
  <si>
    <t>TR0126</t>
  </si>
  <si>
    <t>P075</t>
  </si>
  <si>
    <t>TR0200</t>
  </si>
  <si>
    <t>P076</t>
  </si>
  <si>
    <t>TR0150</t>
  </si>
  <si>
    <t>P077</t>
  </si>
  <si>
    <t>P078</t>
  </si>
  <si>
    <t>TR0169</t>
  </si>
  <si>
    <t>P079</t>
  </si>
  <si>
    <t>P080</t>
  </si>
  <si>
    <t>P081</t>
  </si>
  <si>
    <t>TR0034</t>
  </si>
  <si>
    <t>P082</t>
  </si>
  <si>
    <t>P083</t>
  </si>
  <si>
    <t>T015</t>
  </si>
  <si>
    <t>P084</t>
  </si>
  <si>
    <t>TR0177</t>
  </si>
  <si>
    <t>P085</t>
  </si>
  <si>
    <t>TR0073</t>
  </si>
  <si>
    <t>P086</t>
  </si>
  <si>
    <t>P087</t>
  </si>
  <si>
    <t>TR0011</t>
  </si>
  <si>
    <t>P088</t>
  </si>
  <si>
    <t>TR0030</t>
  </si>
  <si>
    <t>P089</t>
  </si>
  <si>
    <t>TR0098</t>
  </si>
  <si>
    <t>P090</t>
  </si>
  <si>
    <t>P091</t>
  </si>
  <si>
    <t>TR0058</t>
  </si>
  <si>
    <t>P092</t>
  </si>
  <si>
    <t>TR0143</t>
  </si>
  <si>
    <t>P093</t>
  </si>
  <si>
    <t>P094</t>
  </si>
  <si>
    <t>TR0157</t>
  </si>
  <si>
    <t>P095</t>
  </si>
  <si>
    <t>P096</t>
  </si>
  <si>
    <t>TR0076</t>
  </si>
  <si>
    <t>P097</t>
  </si>
  <si>
    <t>P098</t>
  </si>
  <si>
    <t>P099</t>
  </si>
  <si>
    <t>TR0176</t>
  </si>
  <si>
    <t>P100</t>
  </si>
  <si>
    <t>TR0189</t>
  </si>
  <si>
    <t>P101</t>
  </si>
  <si>
    <t>TR0147</t>
  </si>
  <si>
    <t>P102</t>
  </si>
  <si>
    <t>P103</t>
  </si>
  <si>
    <t>TR0007</t>
  </si>
  <si>
    <t>P104</t>
  </si>
  <si>
    <t>P105</t>
  </si>
  <si>
    <t>TR0081</t>
  </si>
  <si>
    <t>P106</t>
  </si>
  <si>
    <t>TR0102</t>
  </si>
  <si>
    <t>P107</t>
  </si>
  <si>
    <t>TR0153</t>
  </si>
  <si>
    <t>P108</t>
  </si>
  <si>
    <t>TR0172</t>
  </si>
  <si>
    <t>P109</t>
  </si>
  <si>
    <t>TR0050</t>
  </si>
  <si>
    <t>P110</t>
  </si>
  <si>
    <t>P111</t>
  </si>
  <si>
    <t>P112</t>
  </si>
  <si>
    <t>TR0129</t>
  </si>
  <si>
    <t>P113</t>
  </si>
  <si>
    <t>TR0068</t>
  </si>
  <si>
    <t>P114</t>
  </si>
  <si>
    <t>P115</t>
  </si>
  <si>
    <t>P116</t>
  </si>
  <si>
    <t>P117</t>
  </si>
  <si>
    <t>TR0106</t>
  </si>
  <si>
    <t>P118</t>
  </si>
  <si>
    <t>TR0156</t>
  </si>
  <si>
    <t>P119</t>
  </si>
  <si>
    <t>TR0197</t>
  </si>
  <si>
    <t>P120</t>
  </si>
  <si>
    <t>P121</t>
  </si>
  <si>
    <t>TR0144</t>
  </si>
  <si>
    <t>P122</t>
  </si>
  <si>
    <t>TR0100</t>
  </si>
  <si>
    <t>P123</t>
  </si>
  <si>
    <t>TR0164</t>
  </si>
  <si>
    <t>P124</t>
  </si>
  <si>
    <t>P125</t>
  </si>
  <si>
    <t>P126</t>
  </si>
  <si>
    <t>TR0151</t>
  </si>
  <si>
    <t>P127</t>
  </si>
  <si>
    <t>TR0046</t>
  </si>
  <si>
    <t>P128</t>
  </si>
  <si>
    <t>TR0031</t>
  </si>
  <si>
    <t>P129</t>
  </si>
  <si>
    <t>P130</t>
  </si>
  <si>
    <t>P131</t>
  </si>
  <si>
    <t>TR0148</t>
  </si>
  <si>
    <t>P132</t>
  </si>
  <si>
    <t>P133</t>
  </si>
  <si>
    <t>TR0032</t>
  </si>
  <si>
    <t>P134</t>
  </si>
  <si>
    <t>TR0019</t>
  </si>
  <si>
    <t>P135</t>
  </si>
  <si>
    <t>TR0006</t>
  </si>
  <si>
    <t>P136</t>
  </si>
  <si>
    <t>TR0022</t>
  </si>
  <si>
    <t>P137</t>
  </si>
  <si>
    <t>P138</t>
  </si>
  <si>
    <t>TR0003</t>
  </si>
  <si>
    <t>P139</t>
  </si>
  <si>
    <t>P140</t>
  </si>
  <si>
    <t>P141</t>
  </si>
  <si>
    <t>P142</t>
  </si>
  <si>
    <t>TR0121</t>
  </si>
  <si>
    <t>P143</t>
  </si>
  <si>
    <t>TR0175</t>
  </si>
  <si>
    <t>P144</t>
  </si>
  <si>
    <t>P145</t>
  </si>
  <si>
    <t>TR0060</t>
  </si>
  <si>
    <t>P146</t>
  </si>
  <si>
    <t>P147</t>
  </si>
  <si>
    <t>TR0094</t>
  </si>
  <si>
    <t>P148</t>
  </si>
  <si>
    <t>P149</t>
  </si>
  <si>
    <t>P150</t>
  </si>
  <si>
    <t>TR0135</t>
  </si>
  <si>
    <t>P151</t>
  </si>
  <si>
    <t>P152</t>
  </si>
  <si>
    <t>TR0133</t>
  </si>
  <si>
    <t>P153</t>
  </si>
  <si>
    <t>P154</t>
  </si>
  <si>
    <t>P155</t>
  </si>
  <si>
    <t>TR0040</t>
  </si>
  <si>
    <t>P156</t>
  </si>
  <si>
    <t>TR0124</t>
  </si>
  <si>
    <t>P157</t>
  </si>
  <si>
    <t>P158</t>
  </si>
  <si>
    <t>P159</t>
  </si>
  <si>
    <t>P160</t>
  </si>
  <si>
    <t>P161</t>
  </si>
  <si>
    <t>P162</t>
  </si>
  <si>
    <t>TR0115</t>
  </si>
  <si>
    <t>P163</t>
  </si>
  <si>
    <t>TR0038</t>
  </si>
  <si>
    <t>P164</t>
  </si>
  <si>
    <t>P165</t>
  </si>
  <si>
    <t>P166</t>
  </si>
  <si>
    <t>P167</t>
  </si>
  <si>
    <t>P168</t>
  </si>
  <si>
    <t>TR0181</t>
  </si>
  <si>
    <t>P169</t>
  </si>
  <si>
    <t>P170</t>
  </si>
  <si>
    <t>P171</t>
  </si>
  <si>
    <t>P172</t>
  </si>
  <si>
    <t>TR0018</t>
  </si>
  <si>
    <t>P173</t>
  </si>
  <si>
    <t>TR0110</t>
  </si>
  <si>
    <t>P174</t>
  </si>
  <si>
    <t>P175</t>
  </si>
  <si>
    <t>P176</t>
  </si>
  <si>
    <t>TR0191</t>
  </si>
  <si>
    <t>P177</t>
  </si>
  <si>
    <t>P178</t>
  </si>
  <si>
    <t>TR0130</t>
  </si>
  <si>
    <t>P179</t>
  </si>
  <si>
    <t>TR0080</t>
  </si>
  <si>
    <t>P180</t>
  </si>
  <si>
    <t>P181</t>
  </si>
  <si>
    <t>TR0008</t>
  </si>
  <si>
    <t>P182</t>
  </si>
  <si>
    <t>P183</t>
  </si>
  <si>
    <t>TR0017</t>
  </si>
  <si>
    <t>P184</t>
  </si>
  <si>
    <t>TR0103</t>
  </si>
  <si>
    <t>P185</t>
  </si>
  <si>
    <t>TR0152</t>
  </si>
  <si>
    <t>P186</t>
  </si>
  <si>
    <t>TR0149</t>
  </si>
  <si>
    <t>P187</t>
  </si>
  <si>
    <t>P188</t>
  </si>
  <si>
    <t>P189</t>
  </si>
  <si>
    <t>TR0160</t>
  </si>
  <si>
    <t>P190</t>
  </si>
  <si>
    <t>TR0146</t>
  </si>
  <si>
    <t>P191</t>
  </si>
  <si>
    <t>TR0014</t>
  </si>
  <si>
    <t>P192</t>
  </si>
  <si>
    <t>P193</t>
  </si>
  <si>
    <t>TR0190</t>
  </si>
  <si>
    <t>P194</t>
  </si>
  <si>
    <t>TR0186</t>
  </si>
  <si>
    <t>P195</t>
  </si>
  <si>
    <t>P196</t>
  </si>
  <si>
    <t>TR0066</t>
  </si>
  <si>
    <t>P197</t>
  </si>
  <si>
    <t>TR0065</t>
  </si>
  <si>
    <t>P198</t>
  </si>
  <si>
    <t>P199</t>
  </si>
  <si>
    <t>P200</t>
  </si>
  <si>
    <t>P201</t>
  </si>
  <si>
    <t>P202</t>
  </si>
  <si>
    <t>P203</t>
  </si>
  <si>
    <t>P204</t>
  </si>
  <si>
    <t>TR0063</t>
  </si>
  <si>
    <t>P205</t>
  </si>
  <si>
    <t>P206</t>
  </si>
  <si>
    <t>P207</t>
  </si>
  <si>
    <t>TR0062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</si>
  <si>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</si>
  <si>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</si>
  <si>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</si>
  <si>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</si>
  <si>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</si>
  <si>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</si>
  <si>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</si>
  <si>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</si>
  <si>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</si>
  <si>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</si>
  <si>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</si>
  <si>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</si>
  <si>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</si>
  <si>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</si>
  <si>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</si>
  <si>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</si>
  <si>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</si>
  <si>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</si>
  <si>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</si>
  <si>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</si>
  <si>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</si>
  <si>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TR0132</t>
  </si>
  <si>
    <t>P229</t>
  </si>
  <si>
    <t>P230</t>
  </si>
  <si>
    <t>P231</t>
  </si>
  <si>
    <t>P232</t>
  </si>
  <si>
    <t>TR0021</t>
  </si>
  <si>
    <t>P233</t>
  </si>
  <si>
    <t>TR0155</t>
  </si>
  <si>
    <t>P234</t>
  </si>
  <si>
    <t>TR0196</t>
  </si>
  <si>
    <t>P235</t>
  </si>
  <si>
    <t>P236</t>
  </si>
  <si>
    <t>P237</t>
  </si>
  <si>
    <t>P238</t>
  </si>
  <si>
    <t>P239</t>
  </si>
  <si>
    <t>P240</t>
  </si>
  <si>
    <t>TR0111</t>
  </si>
  <si>
    <t>P241</t>
  </si>
  <si>
    <t>TR0173</t>
  </si>
  <si>
    <t>P242</t>
  </si>
  <si>
    <t>TR0090</t>
  </si>
  <si>
    <t>P243</t>
  </si>
  <si>
    <t>TR0044</t>
  </si>
  <si>
    <t>P244</t>
  </si>
  <si>
    <t>TR0087</t>
  </si>
  <si>
    <t>P245</t>
  </si>
  <si>
    <t>P246</t>
  </si>
  <si>
    <t>P247</t>
  </si>
  <si>
    <t>TR0119</t>
  </si>
  <si>
    <t>P248</t>
  </si>
  <si>
    <t>P249</t>
  </si>
  <si>
    <t>P250</t>
  </si>
  <si>
    <t>P251</t>
  </si>
  <si>
    <t>P252</t>
  </si>
  <si>
    <t>P253</t>
  </si>
  <si>
    <t>TR0054</t>
  </si>
  <si>
    <t>P254</t>
  </si>
  <si>
    <t>TR0117</t>
  </si>
  <si>
    <t>P255</t>
  </si>
  <si>
    <t>P256</t>
  </si>
  <si>
    <t>TR0051</t>
  </si>
  <si>
    <t>P257</t>
  </si>
  <si>
    <t>TR0074</t>
  </si>
  <si>
    <t>P258</t>
  </si>
  <si>
    <t>TR0116</t>
  </si>
  <si>
    <t>P259</t>
  </si>
  <si>
    <t>P260</t>
  </si>
  <si>
    <t>P261</t>
  </si>
  <si>
    <t>P262</t>
  </si>
  <si>
    <t>TR0118</t>
  </si>
  <si>
    <t>P263</t>
  </si>
  <si>
    <t>P264</t>
  </si>
  <si>
    <t>P265</t>
  </si>
  <si>
    <t>P266</t>
  </si>
  <si>
    <t>TR0069</t>
  </si>
  <si>
    <t>P267</t>
  </si>
  <si>
    <t>P268</t>
  </si>
  <si>
    <t>TR0170</t>
  </si>
  <si>
    <t>P269</t>
  </si>
  <si>
    <t>P270</t>
  </si>
  <si>
    <t>TR0078</t>
  </si>
  <si>
    <t>P271</t>
  </si>
  <si>
    <t>TR0023</t>
  </si>
  <si>
    <t>P272</t>
  </si>
  <si>
    <t>P273</t>
  </si>
  <si>
    <t>P274</t>
  </si>
  <si>
    <t>P275</t>
  </si>
  <si>
    <t>P276</t>
  </si>
  <si>
    <t>P277</t>
  </si>
  <si>
    <t>P278</t>
  </si>
  <si>
    <t>TR0086</t>
  </si>
  <si>
    <t>P279</t>
  </si>
  <si>
    <t>TR0108</t>
  </si>
  <si>
    <t>P280</t>
  </si>
  <si>
    <t>P281</t>
  </si>
  <si>
    <t>P282</t>
  </si>
  <si>
    <t>TR0139</t>
  </si>
  <si>
    <t>P283</t>
  </si>
  <si>
    <t>P284</t>
  </si>
  <si>
    <t>P285</t>
  </si>
  <si>
    <t>TR0042</t>
  </si>
  <si>
    <t>P286</t>
  </si>
  <si>
    <t>TR0095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</si>
  <si>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</si>
  <si>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</si>
  <si>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</si>
  <si>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</si>
  <si>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</si>
  <si>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</si>
  <si>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</si>
  <si>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</si>
  <si>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</si>
  <si>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</si>
  <si>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TR0154</t>
  </si>
  <si>
    <t>P297</t>
  </si>
  <si>
    <t>P298</t>
  </si>
  <si>
    <t>P299</t>
  </si>
  <si>
    <t>TR0033</t>
  </si>
  <si>
    <t>P300</t>
  </si>
  <si>
    <t>P301</t>
  </si>
  <si>
    <t>P302</t>
  </si>
  <si>
    <t>TR0134</t>
  </si>
  <si>
    <t>P303</t>
  </si>
  <si>
    <t>P304</t>
  </si>
  <si>
    <t>P305</t>
  </si>
  <si>
    <t>P306</t>
  </si>
  <si>
    <t>P307</t>
  </si>
  <si>
    <t>P308</t>
  </si>
  <si>
    <t>TR0092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</si>
  <si>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</si>
  <si>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</si>
  <si>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</si>
  <si>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</si>
  <si>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</si>
  <si>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</si>
  <si>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</si>
  <si>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</si>
  <si>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</si>
  <si>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</si>
  <si>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</si>
  <si>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</si>
  <si>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</si>
  <si>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</si>
  <si>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</si>
  <si>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</si>
  <si>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</si>
  <si>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TR0072</t>
  </si>
  <si>
    <t>P326</t>
  </si>
  <si>
    <t>P327</t>
  </si>
  <si>
    <t>P328</t>
  </si>
  <si>
    <t>P329</t>
  </si>
  <si>
    <t>TR0027</t>
  </si>
  <si>
    <t>P330</t>
  </si>
  <si>
    <t>P331</t>
  </si>
  <si>
    <t>TR0053</t>
  </si>
  <si>
    <t>P332</t>
  </si>
  <si>
    <t>P333</t>
  </si>
  <si>
    <t>TR0045</t>
  </si>
  <si>
    <t>P334</t>
  </si>
  <si>
    <t>P335</t>
  </si>
  <si>
    <t>TR0187</t>
  </si>
  <si>
    <t>P336</t>
  </si>
  <si>
    <t>P337</t>
  </si>
  <si>
    <t>TR0131</t>
  </si>
  <si>
    <t>P338</t>
  </si>
  <si>
    <t>P339</t>
  </si>
  <si>
    <t>P340</t>
  </si>
  <si>
    <t>P341</t>
  </si>
  <si>
    <t>P342</t>
  </si>
  <si>
    <t>TR0193</t>
  </si>
  <si>
    <t>P343</t>
  </si>
  <si>
    <t>P344</t>
  </si>
  <si>
    <t>P345</t>
  </si>
  <si>
    <t>P346</t>
  </si>
  <si>
    <t>P347</t>
  </si>
  <si>
    <t>P348</t>
  </si>
  <si>
    <t>P349</t>
  </si>
  <si>
    <t>TR0057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</si>
  <si>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</si>
  <si>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</si>
  <si>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</si>
  <si>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</si>
  <si>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</si>
  <si>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</si>
  <si>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</si>
  <si>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</si>
  <si>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</si>
  <si>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</si>
  <si>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TR0188</t>
  </si>
  <si>
    <t>P360</t>
  </si>
  <si>
    <t>P361</t>
  </si>
  <si>
    <t>P362</t>
  </si>
  <si>
    <t>P363</t>
  </si>
  <si>
    <t>TR0079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</si>
  <si>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</si>
  <si>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</si>
  <si>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</si>
  <si>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</si>
  <si>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</si>
  <si>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</si>
  <si>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</si>
  <si>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</si>
  <si>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</si>
  <si>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</si>
  <si>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</si>
  <si>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</si>
  <si>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</si>
  <si>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</si>
  <si>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</si>
  <si>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TR0182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</si>
  <si>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</si>
  <si>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</si>
  <si>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</si>
  <si>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</si>
  <si>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</si>
  <si>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</si>
  <si>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</si>
  <si>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</si>
  <si>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</si>
  <si>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</si>
  <si>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</si>
  <si>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TR0001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</si>
  <si>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</si>
  <si>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</si>
  <si>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</si>
  <si>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</si>
  <si>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</si>
  <si>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</si>
  <si>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</si>
  <si>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</si>
  <si>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</si>
  <si>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</si>
  <si>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</si>
  <si>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</si>
  <si>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</si>
  <si>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</si>
  <si>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</si>
  <si>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</si>
  <si>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</si>
  <si>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</si>
  <si>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</si>
  <si>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</si>
  <si>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</si>
  <si>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</si>
  <si>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</si>
  <si>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</si>
  <si>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</si>
  <si>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</si>
  <si>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</si>
  <si>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</si>
  <si>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</si>
  <si>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</si>
  <si>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</si>
  <si>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</si>
  <si>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TR0101</t>
  </si>
  <si>
    <t>P422</t>
  </si>
  <si>
    <t>P423</t>
  </si>
  <si>
    <t>P424</t>
  </si>
  <si>
    <t>TR0127</t>
  </si>
  <si>
    <t>P425</t>
  </si>
  <si>
    <t>P426</t>
  </si>
  <si>
    <t>P427</t>
  </si>
  <si>
    <t>P428</t>
  </si>
  <si>
    <t>P429</t>
  </si>
  <si>
    <t>P430</t>
  </si>
  <si>
    <t>P431</t>
  </si>
  <si>
    <t>TR0199</t>
  </si>
  <si>
    <t>P432</t>
  </si>
  <si>
    <t>TR0070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</si>
  <si>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</si>
  <si>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</si>
  <si>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</si>
  <si>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</si>
  <si>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</si>
  <si>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</si>
  <si>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</si>
  <si>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</si>
  <si>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</si>
  <si>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</si>
  <si>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</si>
  <si>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</si>
  <si>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</si>
  <si>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</si>
  <si>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</si>
  <si>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</si>
  <si>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</si>
  <si>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</si>
  <si>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</si>
  <si>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</si>
  <si>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</si>
  <si>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</si>
  <si>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TR0112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</si>
  <si>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</si>
  <si>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</si>
  <si>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</si>
  <si>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</si>
  <si>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</si>
  <si>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</si>
  <si>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</si>
  <si>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</si>
  <si>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</si>
  <si>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</si>
  <si>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</si>
  <si>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</si>
  <si>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</si>
  <si>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TR0105</t>
  </si>
  <si>
    <t>P468</t>
  </si>
  <si>
    <t>P469</t>
  </si>
  <si>
    <t>P470</t>
  </si>
  <si>
    <t>TR0091</t>
  </si>
  <si>
    <t>P471</t>
  </si>
  <si>
    <t>P472</t>
  </si>
  <si>
    <t>P473</t>
  </si>
  <si>
    <t>P474</t>
  </si>
  <si>
    <t>P475</t>
  </si>
  <si>
    <t>P476</t>
  </si>
  <si>
    <t>TR0125</t>
  </si>
  <si>
    <t>P477</t>
  </si>
  <si>
    <t>P478</t>
  </si>
  <si>
    <t>TR0064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</si>
  <si>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</si>
  <si>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</si>
  <si>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</si>
  <si>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</si>
  <si>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</si>
  <si>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</si>
  <si>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</si>
  <si>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</si>
  <si>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</si>
  <si>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</si>
  <si>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</si>
  <si>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</si>
  <si>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</si>
  <si>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</si>
  <si>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</si>
  <si>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</si>
  <si>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</si>
  <si>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</si>
  <si>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</si>
  <si>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</si>
  <si>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TR0114</t>
  </si>
  <si>
    <t>P499</t>
  </si>
  <si>
    <t>P500</t>
  </si>
  <si>
    <t>P501</t>
  </si>
  <si>
    <t>TR0099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</si>
  <si>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</si>
  <si>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</si>
  <si>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</si>
  <si>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</si>
  <si>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</si>
  <si>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</si>
  <si>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</si>
  <si>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</si>
  <si>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</si>
  <si>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</si>
  <si>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</si>
  <si>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</si>
  <si>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TR0137</t>
  </si>
  <si>
    <t>P514</t>
  </si>
  <si>
    <t>P515</t>
  </si>
  <si>
    <t>TR0122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</si>
  <si>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</si>
  <si>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</si>
  <si>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</si>
  <si>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</si>
  <si>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</si>
  <si>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</si>
  <si>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</si>
  <si>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</si>
  <si>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</si>
  <si>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</si>
  <si>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</si>
  <si>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</si>
  <si>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</si>
  <si>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</si>
  <si>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TR0128</t>
  </si>
  <si>
    <t>P530</t>
  </si>
  <si>
    <t>P531</t>
  </si>
  <si>
    <t>P532</t>
  </si>
  <si>
    <t>P533</t>
  </si>
  <si>
    <t>P534</t>
  </si>
  <si>
    <t>P535</t>
  </si>
  <si>
    <t>P536</t>
  </si>
  <si>
    <t>P537</t>
  </si>
  <si>
    <t>TR0083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</si>
  <si>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</si>
  <si>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</si>
  <si>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</si>
  <si>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</si>
  <si>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</si>
  <si>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</si>
  <si>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</si>
  <si>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</si>
  <si>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</si>
  <si>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</si>
  <si>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</si>
  <si>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</si>
  <si>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</si>
  <si>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</si>
  <si>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</si>
  <si>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</si>
  <si>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</si>
  <si>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TR0088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</si>
  <si>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</si>
  <si>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</si>
  <si>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</si>
  <si>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</si>
  <si>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</si>
  <si>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</si>
  <si>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</si>
  <si>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</si>
  <si>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</si>
  <si>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</si>
  <si>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</si>
  <si>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</si>
  <si>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TR0159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</si>
  <si>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</si>
  <si>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</si>
  <si>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</si>
  <si>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</si>
  <si>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</si>
  <si>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</si>
  <si>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</si>
  <si>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</si>
  <si>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</si>
  <si>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</si>
  <si>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</si>
  <si>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</si>
  <si>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</si>
  <si>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</si>
  <si>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</si>
  <si>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</si>
  <si>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</si>
  <si>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</si>
  <si>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</si>
  <si>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</si>
  <si>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</si>
  <si>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</si>
  <si>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</si>
  <si>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</si>
  <si>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</si>
  <si>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TR0141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</si>
  <si>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</si>
  <si>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</si>
  <si>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</si>
  <si>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</si>
  <si>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</si>
  <si>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</si>
  <si>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</si>
  <si>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</si>
  <si>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</si>
  <si>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</si>
  <si>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</si>
  <si>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</si>
  <si>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</si>
  <si>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</si>
  <si>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</si>
  <si>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</si>
  <si>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</si>
  <si>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</si>
  <si>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</si>
  <si>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</si>
  <si>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</si>
  <si>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</si>
  <si>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</si>
  <si>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</si>
  <si>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</si>
  <si>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</si>
  <si>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</si>
  <si>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</si>
  <si>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</si>
  <si>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</si>
  <si>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</si>
  <si>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TR0013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</si>
  <si>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</si>
  <si>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</si>
  <si>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</si>
  <si>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</si>
  <si>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</si>
  <si>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</si>
  <si>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</si>
  <si>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</si>
  <si>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</si>
  <si>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</si>
  <si>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</si>
  <si>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</si>
  <si>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</si>
  <si>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</si>
  <si>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</si>
  <si>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</si>
  <si>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</si>
  <si>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</si>
  <si>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</si>
  <si>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</si>
  <si>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</si>
  <si>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</si>
  <si>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</si>
  <si>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</si>
  <si>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</si>
  <si>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</si>
  <si>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</si>
  <si>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</si>
  <si>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</si>
  <si>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</si>
  <si>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</si>
  <si>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</si>
  <si>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</si>
  <si>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</si>
  <si>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</si>
  <si>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</si>
  <si>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</si>
  <si>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</si>
  <si>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</si>
  <si>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</si>
  <si>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</si>
  <si>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TR0012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</si>
  <si>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</si>
  <si>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</si>
  <si>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</si>
  <si>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</si>
  <si>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</si>
  <si>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</si>
  <si>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</si>
  <si>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</si>
  <si>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</si>
  <si>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</si>
  <si>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</si>
  <si>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</si>
  <si>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</si>
  <si>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</si>
  <si>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</si>
  <si>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</si>
  <si>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</si>
  <si>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</si>
  <si>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</si>
  <si>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</si>
  <si>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</si>
  <si>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</si>
  <si>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</si>
  <si>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</si>
  <si>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</si>
  <si>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</si>
  <si>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</si>
  <si>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</si>
  <si>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</si>
  <si>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</si>
  <si>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</si>
  <si>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</si>
  <si>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</si>
  <si>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</si>
  <si>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</si>
  <si>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</si>
  <si>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</si>
  <si>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</si>
  <si>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</si>
  <si>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</si>
  <si>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</si>
  <si>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</si>
  <si>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</si>
  <si>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</si>
  <si>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TR0192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</si>
  <si>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</si>
  <si>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</si>
  <si>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</si>
  <si>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</si>
  <si>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</si>
  <si>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</si>
  <si>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</si>
  <si>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</si>
  <si>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</si>
  <si>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</si>
  <si>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</si>
  <si>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</si>
  <si>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</si>
  <si>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</si>
  <si>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</si>
  <si>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</si>
  <si>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</si>
  <si>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</si>
  <si>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</si>
  <si>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</si>
  <si>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</si>
  <si>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</si>
  <si>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TR0140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</si>
  <si>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</si>
  <si>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</si>
  <si>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</si>
  <si>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</si>
  <si>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</si>
  <si>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</si>
  <si>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</si>
  <si>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</si>
  <si>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</si>
  <si>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</si>
  <si>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</si>
  <si>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</si>
  <si>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</si>
  <si>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</si>
  <si>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</si>
  <si>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</si>
  <si>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</si>
  <si>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</si>
  <si>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</si>
  <si>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</si>
  <si>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</si>
  <si>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</si>
  <si>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</si>
  <si>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</si>
  <si>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</si>
  <si>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TR0043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</si>
  <si>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</si>
  <si>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</si>
  <si>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</si>
  <si>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</si>
  <si>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</si>
  <si>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</si>
  <si>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</si>
  <si>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</si>
  <si>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</si>
  <si>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</si>
  <si>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</si>
  <si>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</si>
  <si>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</si>
  <si>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</si>
  <si>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</si>
  <si>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</si>
  <si>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</si>
  <si>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</si>
  <si>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</si>
  <si>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</si>
  <si>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</si>
  <si>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</si>
  <si>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</si>
  <si>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</si>
  <si>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</si>
  <si>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</si>
  <si>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</si>
  <si>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</si>
  <si>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</si>
  <si>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</si>
  <si>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</si>
  <si>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</si>
  <si>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</si>
  <si>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</si>
  <si>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</si>
  <si>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</si>
  <si>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</si>
  <si>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</si>
  <si>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</si>
  <si>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</si>
  <si>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</si>
  <si>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</si>
  <si>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</si>
  <si>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</si>
  <si>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</si>
  <si>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</si>
  <si>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</si>
  <si>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</si>
  <si>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</si>
  <si>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</si>
  <si>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</si>
  <si>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</si>
  <si>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</si>
  <si>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</si>
  <si>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</si>
  <si>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</si>
  <si>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</si>
  <si>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</si>
  <si>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</si>
  <si>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</si>
  <si>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</si>
  <si>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</si>
  <si>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</si>
  <si>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</si>
  <si>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</si>
  <si>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TR0041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</si>
  <si>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</si>
  <si>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</si>
  <si>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</si>
  <si>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</si>
  <si>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</si>
  <si>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</si>
  <si>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</si>
  <si>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</si>
  <si>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</si>
  <si>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</si>
  <si>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</si>
  <si>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</si>
  <si>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</si>
  <si>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</si>
  <si>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</si>
  <si>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</si>
  <si>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</si>
  <si>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</si>
  <si>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</si>
  <si>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</si>
  <si>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</si>
  <si>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</si>
  <si>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</si>
  <si>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</si>
  <si>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</si>
  <si>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</si>
  <si>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</si>
  <si>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</si>
  <si>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</si>
  <si>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</si>
  <si>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</si>
  <si>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</si>
  <si>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</si>
  <si>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</si>
  <si>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</si>
  <si>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</si>
  <si>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</si>
  <si>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</si>
  <si>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</si>
  <si>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</si>
  <si>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</si>
  <si>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</si>
  <si>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</si>
  <si>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</si>
  <si>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</si>
  <si>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</si>
  <si>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</si>
  <si>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</si>
  <si>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</si>
  <si>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</si>
  <si>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</si>
  <si>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</si>
  <si>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</si>
  <si>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</si>
  <si>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</si>
  <si>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</si>
  <si>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</si>
  <si>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</si>
  <si>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TR0167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</si>
  <si>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</si>
  <si>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</si>
  <si>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</si>
  <si>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</si>
  <si>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</si>
  <si>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</si>
  <si>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</si>
  <si>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</si>
  <si>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</si>
  <si>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</si>
  <si>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</si>
  <si>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</si>
  <si>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</si>
  <si>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</si>
  <si>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</si>
  <si>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</si>
  <si>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</si>
  <si>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</si>
  <si>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</si>
  <si>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</si>
  <si>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</si>
  <si>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</si>
  <si>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</si>
  <si>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</si>
  <si>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</si>
  <si>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</si>
  <si>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</si>
  <si>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</si>
  <si>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</si>
  <si>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</si>
  <si>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</si>
  <si>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</si>
  <si>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</si>
  <si>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</si>
  <si>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</si>
  <si>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</si>
  <si>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</si>
  <si>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</si>
  <si>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</si>
  <si>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</si>
  <si>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</si>
  <si>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</si>
  <si>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</si>
  <si>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</si>
  <si>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</si>
  <si>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</si>
  <si>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</si>
  <si>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</si>
  <si>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</si>
  <si>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</si>
  <si>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</si>
  <si>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</si>
  <si>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</si>
  <si>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</si>
  <si>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</si>
  <si>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</si>
  <si>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</si>
  <si>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</si>
  <si>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</si>
  <si>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</si>
  <si>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</si>
  <si>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</si>
  <si>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</si>
  <si>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</si>
  <si>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</si>
  <si>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</si>
  <si>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</si>
  <si>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</si>
  <si>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</si>
  <si>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</si>
  <si>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</si>
  <si>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</si>
  <si>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</si>
  <si>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</si>
  <si>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</si>
  <si>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</si>
  <si>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</si>
  <si>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</si>
  <si>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</si>
  <si>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</si>
  <si>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</si>
  <si>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</si>
  <si>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</si>
  <si>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</si>
  <si>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</si>
  <si>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</si>
  <si>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</si>
  <si>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</si>
  <si>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</si>
  <si>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</si>
  <si>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</si>
  <si>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</si>
  <si>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</si>
  <si>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</si>
  <si>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</si>
  <si>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</si>
  <si>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</si>
  <si>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</si>
  <si>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</si>
  <si>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</si>
  <si>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</si>
  <si>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</si>
  <si>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</si>
  <si>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</si>
  <si>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</si>
  <si>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</si>
  <si>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</si>
  <si>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</si>
  <si>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</si>
  <si>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</si>
  <si>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</si>
  <si>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</si>
  <si>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</si>
  <si>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</si>
  <si>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</si>
  <si>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</si>
  <si>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</si>
  <si>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</si>
  <si>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</si>
  <si>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</si>
  <si>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</si>
  <si>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</si>
  <si>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</si>
  <si>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inistered</t>
  </si>
  <si>
    <t xml:space="preserve"> Nausea</t>
  </si>
  <si>
    <t>g</t>
  </si>
  <si>
    <t xml:space="preserve"> Fatigue</t>
  </si>
  <si>
    <t xml:space="preserve"> None</t>
  </si>
  <si>
    <t xml:space="preserve"> Headache</t>
  </si>
  <si>
    <t xml:space="preserve"> Dizziness</t>
  </si>
  <si>
    <r>
      <rPr>
        <sz val="11"/>
        <color theme="1"/>
        <rFont val="Calibri"/>
        <charset val="134"/>
        <scheme val="minor"/>
      </rPr>
      <t>○</t>
    </r>
    <r>
      <rPr>
        <b/>
        <sz val="11"/>
        <color rgb="FFFF0000"/>
        <rFont val="Calibri"/>
        <charset val="134"/>
        <scheme val="minor"/>
      </rPr>
      <t>Question: Analyze if there is a correlation between the duration of treatment and the number of side effects reported</t>
    </r>
    <r>
      <rPr>
        <sz val="11"/>
        <color theme="1"/>
        <rFont val="Calibri"/>
        <charset val="134"/>
        <scheme val="minor"/>
      </rPr>
      <t>.</t>
    </r>
  </si>
  <si>
    <t>This graph appears to show a single data point, which makes it difficult to determine any clear relationship between variables.</t>
  </si>
  <si>
    <t>There is only one point, correlation cannot be calculated because correlation requires at least two data points to measure the strength and direction of a relationship.</t>
  </si>
  <si>
    <t>Q9 Analyze the relationship between survival rates and progression-free survival.</t>
  </si>
  <si>
    <r>
      <rPr>
        <b/>
        <sz val="11"/>
        <color theme="1"/>
        <rFont val="Calibri"/>
        <charset val="134"/>
        <scheme val="minor"/>
      </rPr>
      <t>No Clear Correlation:</t>
    </r>
    <r>
      <rPr>
        <sz val="11"/>
        <color theme="1"/>
        <rFont val="Calibri"/>
        <charset val="134"/>
        <scheme val="minor"/>
      </rPr>
      <t xml:space="preserve"> Since the points are spread randomly, it suggests that </t>
    </r>
    <r>
      <rPr>
        <b/>
        <sz val="11"/>
        <color theme="1"/>
        <rFont val="Calibri"/>
        <charset val="134"/>
        <scheme val="minor"/>
      </rPr>
      <t>there is little to no linear relationship</t>
    </r>
    <r>
      <rPr>
        <sz val="11"/>
        <color theme="1"/>
        <rFont val="Calibri"/>
        <charset val="134"/>
        <scheme val="minor"/>
      </rPr>
      <t xml:space="preserve"> between the two variables.</t>
    </r>
  </si>
  <si>
    <r>
      <rPr>
        <b/>
        <sz val="11"/>
        <color theme="1"/>
        <rFont val="Calibri"/>
        <charset val="134"/>
        <scheme val="minor"/>
      </rPr>
      <t>Possible Zero or Weak Correlation:</t>
    </r>
    <r>
      <rPr>
        <sz val="11"/>
        <color theme="1"/>
        <rFont val="Calibri"/>
        <charset val="134"/>
        <scheme val="minor"/>
      </rPr>
      <t xml:space="preserve"> If you calculated the correlation coefficient, it would likely be close to </t>
    </r>
    <r>
      <rPr>
        <b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, confirming that knowing one variable does not help in predicting the other.</t>
    </r>
  </si>
  <si>
    <r>
      <rPr>
        <b/>
        <sz val="11"/>
        <color theme="1"/>
        <rFont val="Calibri"/>
        <charset val="134"/>
        <scheme val="minor"/>
      </rPr>
      <t>Non-Linear or Other Relationships:</t>
    </r>
    <r>
      <rPr>
        <sz val="11"/>
        <color theme="1"/>
        <rFont val="Calibri"/>
        <charset val="134"/>
        <scheme val="minor"/>
      </rPr>
      <t xml:space="preserve"> There might be hidden patterns that a linear correlation does not capture. If you suspect a non-linear relationship, try fitting a curve instead of a straight line.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</si>
</sst>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 * #,##0.000_ ;_ * \-#,##0.000_ ;_ * &quot;-&quot;??.0_ ;_ @_ "/>
    <numFmt numFmtId="182" formatCode="0.000_ "/>
    <numFmt numFmtId="183" formatCode="0.0000000000_ "/>
  </numFmts>
  <fonts count="29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00B0F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19" fillId="15" borderId="16" applyNumberFormat="0" applyAlignment="0" applyProtection="0"/>
    <xf numFmtId="0" fontId="20" fillId="16" borderId="17" applyNumberFormat="0" applyAlignment="0" applyProtection="0"/>
    <xf numFmtId="0" fontId="21" fillId="16" borderId="16" applyNumberFormat="0" applyAlignment="0" applyProtection="0"/>
    <xf numFmtId="0" fontId="22" fillId="17" borderId="18" applyNumberFormat="0" applyAlignment="0" applyProtection="0"/>
    <xf numFmtId="0" fontId="23" fillId="0" borderId="19" applyNumberFormat="0" applyFill="0" applyAlignment="0" applyProtection="0"/>
    <xf numFmtId="0" fontId="3" fillId="0" borderId="20" applyNumberFormat="0" applyFill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7" fillId="1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7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0" fillId="39" borderId="0" applyNumberFormat="0" applyBorder="0" applyAlignment="0" applyProtection="0"/>
    <xf numFmtId="0" fontId="27" fillId="40" borderId="0" applyNumberFormat="0" applyBorder="0" applyAlignment="0" applyProtection="0"/>
    <xf numFmtId="0" fontId="0" fillId="41" borderId="0" applyNumberFormat="0" applyBorder="0" applyAlignment="0" applyProtection="0"/>
    <xf numFmtId="0" fontId="0" fillId="42" borderId="0" applyNumberFormat="0" applyBorder="0" applyAlignment="0" applyProtection="0"/>
    <xf numFmtId="0" fontId="0" fillId="43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18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6" fontId="0" fillId="0" borderId="0" xfId="1" applyAlignmen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3" borderId="0" xfId="0" applyFont="1" applyFill="1"/>
    <xf numFmtId="0" fontId="0" fillId="5" borderId="0" xfId="0" applyFill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81" fontId="0" fillId="0" borderId="0" xfId="0" applyNumberFormat="1"/>
    <xf numFmtId="0" fontId="0" fillId="6" borderId="0" xfId="0" applyFill="1"/>
    <xf numFmtId="0" fontId="4" fillId="0" borderId="0" xfId="0" applyFont="1"/>
    <xf numFmtId="182" fontId="0" fillId="0" borderId="0" xfId="0" applyNumberFormat="1"/>
    <xf numFmtId="0" fontId="3" fillId="7" borderId="10" xfId="0" applyFont="1" applyFill="1" applyBorder="1"/>
    <xf numFmtId="0" fontId="3" fillId="0" borderId="10" xfId="0" applyFont="1" applyBorder="1"/>
    <xf numFmtId="0" fontId="0" fillId="0" borderId="10" xfId="0" applyBorder="1"/>
    <xf numFmtId="0" fontId="3" fillId="7" borderId="11" xfId="0" applyFont="1" applyFill="1" applyBorder="1"/>
    <xf numFmtId="0" fontId="3" fillId="7" borderId="0" xfId="0" applyFont="1" applyFill="1"/>
    <xf numFmtId="0" fontId="5" fillId="0" borderId="0" xfId="0" applyFont="1"/>
    <xf numFmtId="0" fontId="0" fillId="0" borderId="0" xfId="0" applyAlignment="1">
      <alignment horizontal="left" indent="1"/>
    </xf>
    <xf numFmtId="183" fontId="0" fillId="0" borderId="0" xfId="0" applyNumberFormat="1"/>
    <xf numFmtId="0" fontId="6" fillId="0" borderId="0" xfId="0" applyFont="1"/>
    <xf numFmtId="0" fontId="7" fillId="8" borderId="0" xfId="0" applyFont="1" applyFill="1"/>
    <xf numFmtId="0" fontId="4" fillId="9" borderId="0" xfId="0" applyFont="1" applyFill="1"/>
    <xf numFmtId="0" fontId="2" fillId="8" borderId="0" xfId="0" applyFont="1" applyFill="1"/>
    <xf numFmtId="0" fontId="4" fillId="8" borderId="0" xfId="0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indent="1"/>
    </xf>
    <xf numFmtId="2" fontId="0" fillId="0" borderId="0" xfId="0" applyNumberFormat="1"/>
    <xf numFmtId="0" fontId="0" fillId="8" borderId="0" xfId="0" applyFill="1"/>
    <xf numFmtId="0" fontId="0" fillId="10" borderId="0" xfId="0" applyFill="1"/>
    <xf numFmtId="0" fontId="0" fillId="0" borderId="0" xfId="0" applyFont="1" applyAlignment="1">
      <alignment wrapText="1"/>
    </xf>
    <xf numFmtId="0" fontId="0" fillId="8" borderId="0" xfId="0" applyFont="1" applyFill="1"/>
    <xf numFmtId="0" fontId="4" fillId="10" borderId="0" xfId="0" applyFont="1" applyFill="1"/>
    <xf numFmtId="0" fontId="0" fillId="11" borderId="0" xfId="0" applyFill="1"/>
    <xf numFmtId="0" fontId="6" fillId="0" borderId="0" xfId="0" applyFont="1" applyAlignment="1">
      <alignment wrapText="1"/>
    </xf>
    <xf numFmtId="0" fontId="2" fillId="10" borderId="0" xfId="0" applyFont="1" applyFill="1"/>
    <xf numFmtId="0" fontId="8" fillId="12" borderId="0" xfId="0" applyFont="1" applyFill="1"/>
    <xf numFmtId="0" fontId="3" fillId="12" borderId="0" xfId="0" applyFont="1" applyFill="1"/>
    <xf numFmtId="0" fontId="9" fillId="8" borderId="0" xfId="0" applyFont="1" applyFill="1"/>
    <xf numFmtId="0" fontId="10" fillId="8" borderId="0" xfId="0" applyFont="1" applyFill="1"/>
    <xf numFmtId="0" fontId="3" fillId="3" borderId="0" xfId="0" applyFont="1" applyFill="1"/>
    <xf numFmtId="0" fontId="0" fillId="10" borderId="0" xfId="0" applyFont="1" applyFill="1"/>
    <xf numFmtId="0" fontId="4" fillId="13" borderId="0" xfId="0" applyFont="1" applyFill="1"/>
    <xf numFmtId="0" fontId="0" fillId="13" borderId="0" xfId="0" applyFill="1"/>
    <xf numFmtId="0" fontId="1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92D050"/>
      </font>
    </dxf>
    <dxf>
      <font>
        <color rgb="FF92D05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92D05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2D050"/>
      </font>
    </dxf>
    <dxf>
      <font>
        <color rgb="FF92D05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92D050"/>
      </font>
    </dxf>
    <dxf>
      <font>
        <color rgb="FF92D05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numFmt numFmtId="183" formatCode="0.0000000000_ "/>
    </dxf>
    <dxf>
      <numFmt numFmtId="184" formatCode="0.000000_ "/>
    </dxf>
    <dxf>
      <numFmt numFmtId="185" formatCode="0.0000000_ "/>
    </dxf>
    <dxf>
      <numFmt numFmtId="186" formatCode="0.00000000_ "/>
    </dxf>
    <dxf>
      <numFmt numFmtId="187" formatCode="0.0000000_ "/>
    </dxf>
    <dxf>
      <numFmt numFmtId="188" formatCode="0.000000_ "/>
    </dxf>
    <dxf>
      <numFmt numFmtId="189" formatCode="0.00000_ "/>
    </dxf>
    <dxf>
      <numFmt numFmtId="190" formatCode="0.0000_ "/>
    </dxf>
    <dxf>
      <numFmt numFmtId="182" formatCode="0.000_ "/>
    </dxf>
    <dxf>
      <numFmt numFmtId="191" formatCode="0.00_ "/>
    </dxf>
    <dxf>
      <numFmt numFmtId="192" formatCode="0.00_ "/>
    </dxf>
    <dxf>
      <numFmt numFmtId="193" formatCode="0.0000000_ "/>
    </dxf>
    <dxf>
      <numFmt numFmtId="194" formatCode="0.000000_ "/>
    </dxf>
    <dxf>
      <numFmt numFmtId="195" formatCode="0.00000_ "/>
    </dxf>
    <dxf>
      <numFmt numFmtId="196" formatCode="0.0000_ "/>
    </dxf>
    <dxf>
      <numFmt numFmtId="182" formatCode="0.000_ "/>
    </dxf>
    <dxf>
      <numFmt numFmtId="197" formatCode="0.00_ "/>
    </dxf>
    <dxf>
      <numFmt numFmtId="198" formatCode="0.0000000_ "/>
    </dxf>
    <dxf>
      <numFmt numFmtId="199" formatCode="0.0000000_ "/>
    </dxf>
    <dxf>
      <numFmt numFmtId="200" formatCode="0.0000000_ "/>
    </dxf>
    <dxf>
      <numFmt numFmtId="201" formatCode="0.0000000_ "/>
    </dxf>
    <dxf>
      <numFmt numFmtId="202" formatCode="0.0000000_ "/>
    </dxf>
    <dxf>
      <numFmt numFmtId="203" formatCode="0.0000000_ "/>
    </dxf>
    <dxf>
      <numFmt numFmtId="204" formatCode="0.0000000_ "/>
    </dxf>
    <dxf>
      <numFmt numFmtId="205" formatCode="0.0000000_ "/>
    </dxf>
    <dxf>
      <numFmt numFmtId="206" formatCode="0.0000000_ "/>
    </dxf>
    <dxf>
      <numFmt numFmtId="207" formatCode="0.0000000_ "/>
    </dxf>
    <dxf>
      <numFmt numFmtId="208" formatCode="0.0000000_ "/>
    </dxf>
    <dxf>
      <numFmt numFmtId="209" formatCode="0.0000000_ "/>
    </dxf>
    <dxf>
      <numFmt numFmtId="210" formatCode="0.0000000_ "/>
    </dxf>
    <dxf>
      <numFmt numFmtId="211" formatCode="0.0000000_ "/>
    </dxf>
    <dxf>
      <numFmt numFmtId="212" formatCode="0.0000000_ "/>
    </dxf>
    <dxf>
      <numFmt numFmtId="213" formatCode="0.0000000_ "/>
    </dxf>
    <dxf>
      <numFmt numFmtId="214" formatCode="0.0000000_ "/>
    </dxf>
    <dxf>
      <numFmt numFmtId="215" formatCode="0.0000000_ "/>
    </dxf>
    <dxf>
      <numFmt numFmtId="216" formatCode="0.0000000_ "/>
    </dxf>
    <dxf>
      <numFmt numFmtId="217" formatCode="0.0000000_ "/>
    </dxf>
    <dxf>
      <numFmt numFmtId="218" formatCode="0.0000000_ "/>
    </dxf>
    <dxf>
      <numFmt numFmtId="219" formatCode="0.0000000_ "/>
    </dxf>
    <dxf>
      <numFmt numFmtId="220" formatCode="0.0000000_ "/>
    </dxf>
    <dxf>
      <numFmt numFmtId="221" formatCode="0.0000000_ "/>
    </dxf>
    <dxf>
      <numFmt numFmtId="222" formatCode="0.0000000_ "/>
    </dxf>
    <dxf>
      <numFmt numFmtId="223" formatCode="0.000000_ "/>
    </dxf>
    <dxf>
      <numFmt numFmtId="224" formatCode="0.000000_ "/>
    </dxf>
    <dxf>
      <numFmt numFmtId="225" formatCode="0.000000_ "/>
    </dxf>
    <dxf>
      <numFmt numFmtId="226" formatCode="0.000000_ "/>
    </dxf>
    <dxf>
      <numFmt numFmtId="227" formatCode="0.000000_ "/>
    </dxf>
    <dxf>
      <numFmt numFmtId="228" formatCode="0.000000_ "/>
    </dxf>
    <dxf>
      <numFmt numFmtId="229" formatCode="0.000000_ "/>
    </dxf>
    <dxf>
      <numFmt numFmtId="230" formatCode="0.000000_ "/>
    </dxf>
    <dxf>
      <numFmt numFmtId="231" formatCode="0.000000_ "/>
    </dxf>
    <dxf>
      <numFmt numFmtId="232" formatCode="0.000000_ "/>
    </dxf>
    <dxf>
      <numFmt numFmtId="233" formatCode="0.000000_ "/>
    </dxf>
    <dxf>
      <numFmt numFmtId="234" formatCode="0.000000_ "/>
    </dxf>
    <dxf>
      <numFmt numFmtId="235" formatCode="0.000000_ "/>
    </dxf>
    <dxf>
      <numFmt numFmtId="236" formatCode="0.000000_ "/>
    </dxf>
    <dxf>
      <numFmt numFmtId="237" formatCode="0.000000_ "/>
    </dxf>
    <dxf>
      <numFmt numFmtId="238" formatCode="0.000000_ "/>
    </dxf>
    <dxf>
      <numFmt numFmtId="239" formatCode="0.000000_ "/>
    </dxf>
    <dxf>
      <numFmt numFmtId="240" formatCode="0.000000_ "/>
    </dxf>
    <dxf>
      <numFmt numFmtId="241" formatCode="0.000000_ "/>
    </dxf>
    <dxf>
      <numFmt numFmtId="242" formatCode="0.000000_ "/>
    </dxf>
    <dxf>
      <numFmt numFmtId="243" formatCode="0.000000_ "/>
    </dxf>
    <dxf>
      <numFmt numFmtId="244" formatCode="0.000000_ "/>
    </dxf>
    <dxf>
      <numFmt numFmtId="245" formatCode="0.000000_ "/>
    </dxf>
    <dxf>
      <numFmt numFmtId="246" formatCode="0.000000_ "/>
    </dxf>
    <dxf>
      <numFmt numFmtId="247" formatCode="0.000000_ "/>
    </dxf>
    <dxf>
      <numFmt numFmtId="248" formatCode="0.00000_ "/>
    </dxf>
    <dxf>
      <numFmt numFmtId="249" formatCode="0.00000_ "/>
    </dxf>
    <dxf>
      <numFmt numFmtId="250" formatCode="0.00000_ "/>
    </dxf>
    <dxf>
      <numFmt numFmtId="251" formatCode="0.00000_ "/>
    </dxf>
    <dxf>
      <numFmt numFmtId="252" formatCode="0.00000_ "/>
    </dxf>
    <dxf>
      <numFmt numFmtId="253" formatCode="0.00000_ "/>
    </dxf>
    <dxf>
      <numFmt numFmtId="254" formatCode="0.00000_ "/>
    </dxf>
    <dxf>
      <numFmt numFmtId="255" formatCode="0.00000_ "/>
    </dxf>
    <dxf>
      <numFmt numFmtId="256" formatCode="0.00000_ "/>
    </dxf>
    <dxf>
      <numFmt numFmtId="257" formatCode="0.00000_ "/>
    </dxf>
    <dxf>
      <numFmt numFmtId="258" formatCode="0.00000_ "/>
    </dxf>
    <dxf>
      <numFmt numFmtId="259" formatCode="0.00000_ "/>
    </dxf>
    <dxf>
      <numFmt numFmtId="260" formatCode="0.00000_ "/>
    </dxf>
    <dxf>
      <numFmt numFmtId="261" formatCode="0.00000_ "/>
    </dxf>
    <dxf>
      <numFmt numFmtId="262" formatCode="0.00000_ "/>
    </dxf>
    <dxf>
      <numFmt numFmtId="263" formatCode="0.00000_ "/>
    </dxf>
    <dxf>
      <numFmt numFmtId="264" formatCode="0.00000_ "/>
    </dxf>
    <dxf>
      <numFmt numFmtId="265" formatCode="0.00000_ "/>
    </dxf>
    <dxf>
      <numFmt numFmtId="266" formatCode="0.00000_ "/>
    </dxf>
    <dxf>
      <numFmt numFmtId="267" formatCode="0.00000_ "/>
    </dxf>
    <dxf>
      <numFmt numFmtId="268" formatCode="0.00000_ "/>
    </dxf>
    <dxf>
      <numFmt numFmtId="269" formatCode="0.00000_ "/>
    </dxf>
    <dxf>
      <numFmt numFmtId="270" formatCode="0.00000_ "/>
    </dxf>
    <dxf>
      <numFmt numFmtId="271" formatCode="0.00000_ "/>
    </dxf>
    <dxf>
      <numFmt numFmtId="272" formatCode="0.00000_ "/>
    </dxf>
    <dxf>
      <numFmt numFmtId="273" formatCode="0.0000_ "/>
    </dxf>
    <dxf>
      <numFmt numFmtId="274" formatCode="0.0000_ "/>
    </dxf>
    <dxf>
      <numFmt numFmtId="275" formatCode="0.0000_ "/>
    </dxf>
    <dxf>
      <numFmt numFmtId="276" formatCode="0.0000_ "/>
    </dxf>
    <dxf>
      <numFmt numFmtId="277" formatCode="0.0000_ "/>
    </dxf>
    <dxf>
      <numFmt numFmtId="278" formatCode="0.0000_ "/>
    </dxf>
    <dxf>
      <numFmt numFmtId="279" formatCode="0.0000_ "/>
    </dxf>
    <dxf>
      <numFmt numFmtId="280" formatCode="0.0000_ "/>
    </dxf>
    <dxf>
      <numFmt numFmtId="281" formatCode="0.0000_ "/>
    </dxf>
    <dxf>
      <numFmt numFmtId="282" formatCode="0.0000_ "/>
    </dxf>
    <dxf>
      <numFmt numFmtId="283" formatCode="0.0000_ "/>
    </dxf>
    <dxf>
      <numFmt numFmtId="284" formatCode="0.0000_ "/>
    </dxf>
    <dxf>
      <numFmt numFmtId="285" formatCode="0.0000_ "/>
    </dxf>
    <dxf>
      <numFmt numFmtId="286" formatCode="0.0000_ "/>
    </dxf>
    <dxf>
      <numFmt numFmtId="287" formatCode="0.0000_ "/>
    </dxf>
    <dxf>
      <numFmt numFmtId="288" formatCode="0.0000_ "/>
    </dxf>
    <dxf>
      <numFmt numFmtId="289" formatCode="0.0000_ "/>
    </dxf>
    <dxf>
      <numFmt numFmtId="290" formatCode="0.0000_ "/>
    </dxf>
    <dxf>
      <numFmt numFmtId="291" formatCode="0.0000_ "/>
    </dxf>
    <dxf>
      <numFmt numFmtId="292" formatCode="0.0000_ "/>
    </dxf>
    <dxf>
      <numFmt numFmtId="293" formatCode="0.0000_ "/>
    </dxf>
    <dxf>
      <numFmt numFmtId="294" formatCode="0.0000_ "/>
    </dxf>
    <dxf>
      <numFmt numFmtId="295" formatCode="0.0000_ "/>
    </dxf>
    <dxf>
      <numFmt numFmtId="296" formatCode="0.0000_ "/>
    </dxf>
    <dxf>
      <numFmt numFmtId="297" formatCode="0.0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2" formatCode="0.000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fill>
        <patternFill patternType="solid">
          <bgColor rgb="FF00B0F0"/>
        </patternFill>
      </fill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numFmt numFmtId="181" formatCode="_ * #,##0.000_ ;_ * \-#,##0.000_ ;_ * &quot;-&quot;??.0_ ;_ @_ "/>
    </dxf>
    <dxf>
      <fill>
        <patternFill patternType="solid">
          <bgColor rgb="FFFF0000"/>
        </patternFill>
      </fill>
    </dxf>
    <dxf>
      <font>
        <color theme="1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ont>
        <color rgb="FFFFC000"/>
      </font>
    </dxf>
    <dxf>
      <font>
        <color rgb="FFFFC00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eetMetadata" Target="metadata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pivotCacheDefinition" Target="pivotCache/pivotCacheDefinition3.xml"/><Relationship Id="rId4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39" Type="http://schemas.openxmlformats.org/officeDocument/2006/relationships/pivotCacheDefinition" Target="pivotCache/pivotCacheDefinition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'Q1'!$A$4:$A$10</c:f>
              <c:strCache>
                <c:ptCount val="6"/>
                <c:pt idx="0">
                  <c:v>18-30</c:v>
                </c:pt>
                <c:pt idx="1">
                  <c:v>57-69</c:v>
                </c:pt>
                <c:pt idx="2">
                  <c:v>31-43</c:v>
                </c:pt>
                <c:pt idx="3">
                  <c:v>70-82</c:v>
                </c:pt>
                <c:pt idx="4">
                  <c:v>44-56</c:v>
                </c:pt>
                <c:pt idx="5">
                  <c:v>83-85</c:v>
                </c:pt>
              </c:strCache>
            </c:strRef>
          </c:cat>
          <c:val>
            <c:numRef>
              <c:f>'Q1'!$B$4:$B$10</c:f>
              <c:numCache>
                <c:formatCode>General</c:formatCode>
                <c:ptCount val="6"/>
                <c:pt idx="0">
                  <c:v>197</c:v>
                </c:pt>
                <c:pt idx="1">
                  <c:v>194</c:v>
                </c:pt>
                <c:pt idx="2">
                  <c:v>194</c:v>
                </c:pt>
                <c:pt idx="3">
                  <c:v>192</c:v>
                </c:pt>
                <c:pt idx="4">
                  <c:v>186</c:v>
                </c:pt>
                <c:pt idx="5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89144560"/>
        <c:axId val="135965687"/>
      </c:barChart>
      <c:catAx>
        <c:axId val="88914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965687"/>
        <c:crosses val="autoZero"/>
        <c:auto val="1"/>
        <c:lblAlgn val="ctr"/>
        <c:lblOffset val="100"/>
        <c:noMultiLvlLbl val="0"/>
      </c:catAx>
      <c:valAx>
        <c:axId val="13596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1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1301fb-5e3e-4b31-9f3f-6d7c8e7759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'Q2'!$A$4:$A$8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257</c:v>
                </c:pt>
                <c:pt idx="1">
                  <c:v>248</c:v>
                </c:pt>
                <c:pt idx="2">
                  <c:v>255</c:v>
                </c:pt>
                <c:pt idx="3">
                  <c:v>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45678579"/>
        <c:axId val="14619850"/>
      </c:barChart>
      <c:catAx>
        <c:axId val="5456785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19850"/>
        <c:crosses val="autoZero"/>
        <c:auto val="1"/>
        <c:lblAlgn val="ctr"/>
        <c:lblOffset val="100"/>
        <c:noMultiLvlLbl val="0"/>
      </c:catAx>
      <c:valAx>
        <c:axId val="146198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678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d42030-7600-45ed-8339-918aa7042c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Medicine.xlsx]Q3!PivotTable3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Dizziness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'Q3'!$A$5:$A$9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'Q3'!$B$5:$B$9</c:f>
              <c:numCache>
                <c:formatCode>General</c:formatCode>
                <c:ptCount val="4"/>
                <c:pt idx="0">
                  <c:v>52</c:v>
                </c:pt>
                <c:pt idx="1">
                  <c:v>38</c:v>
                </c:pt>
                <c:pt idx="2">
                  <c:v>57</c:v>
                </c:pt>
                <c:pt idx="3">
                  <c:v>62</c:v>
                </c:pt>
              </c:numCache>
            </c:numRef>
          </c:val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Fatigue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'Q3'!$A$5:$A$9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'Q3'!$C$5:$C$9</c:f>
              <c:numCache>
                <c:formatCode>General</c:formatCode>
                <c:ptCount val="4"/>
                <c:pt idx="0">
                  <c:v>55</c:v>
                </c:pt>
                <c:pt idx="1">
                  <c:v>51</c:v>
                </c:pt>
                <c:pt idx="2">
                  <c:v>48</c:v>
                </c:pt>
                <c:pt idx="3">
                  <c:v>51</c:v>
                </c:pt>
              </c:numCache>
            </c:numRef>
          </c:val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Headache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'Q3'!$A$5:$A$9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'Q3'!$D$5:$D$9</c:f>
              <c:numCache>
                <c:formatCode>General</c:formatCode>
                <c:ptCount val="4"/>
                <c:pt idx="0">
                  <c:v>45</c:v>
                </c:pt>
                <c:pt idx="1">
                  <c:v>45</c:v>
                </c:pt>
                <c:pt idx="2">
                  <c:v>60</c:v>
                </c:pt>
                <c:pt idx="3">
                  <c:v>56</c:v>
                </c:pt>
              </c:numCache>
            </c:numRef>
          </c:val>
        </c:ser>
        <c:ser>
          <c:idx val="3"/>
          <c:order val="3"/>
          <c:tx>
            <c:strRef>
              <c:f>'Q3'!$E$3:$E$4</c:f>
              <c:strCache>
                <c:ptCount val="1"/>
                <c:pt idx="0">
                  <c:v>Nausea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'Q3'!$A$5:$A$9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'Q3'!$E$5:$E$9</c:f>
              <c:numCache>
                <c:formatCode>General</c:formatCode>
                <c:ptCount val="4"/>
                <c:pt idx="0">
                  <c:v>57</c:v>
                </c:pt>
                <c:pt idx="1">
                  <c:v>56</c:v>
                </c:pt>
                <c:pt idx="2">
                  <c:v>58</c:v>
                </c:pt>
                <c:pt idx="3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413695"/>
        <c:axId val="463920016"/>
      </c:barChart>
      <c:catAx>
        <c:axId val="3041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920016"/>
        <c:crosses val="autoZero"/>
        <c:auto val="1"/>
        <c:lblAlgn val="ctr"/>
        <c:lblOffset val="100"/>
        <c:noMultiLvlLbl val="0"/>
      </c:catAx>
      <c:valAx>
        <c:axId val="4639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1ad1c5-4c4b-443d-a87c-7ef5684fbe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Medicine.xlsx]Q4!PivotTable4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'Q4'!$A$4:$A$9</c:f>
              <c:strCache>
                <c:ptCount val="5"/>
                <c:pt idx="0">
                  <c:v>African American</c:v>
                </c:pt>
                <c:pt idx="1">
                  <c:v>Asian</c:v>
                </c:pt>
                <c:pt idx="2">
                  <c:v>Caucasian</c:v>
                </c:pt>
                <c:pt idx="3">
                  <c:v>Hispanic</c:v>
                </c:pt>
                <c:pt idx="4">
                  <c:v>Other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208</c:v>
                </c:pt>
                <c:pt idx="1">
                  <c:v>202</c:v>
                </c:pt>
                <c:pt idx="2">
                  <c:v>201</c:v>
                </c:pt>
                <c:pt idx="3">
                  <c:v>198</c:v>
                </c:pt>
                <c:pt idx="4">
                  <c:v>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7043453"/>
        <c:axId val="649006108"/>
      </c:barChart>
      <c:catAx>
        <c:axId val="857043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006108"/>
        <c:crosses val="autoZero"/>
        <c:auto val="1"/>
        <c:lblAlgn val="ctr"/>
        <c:lblOffset val="100"/>
        <c:noMultiLvlLbl val="0"/>
      </c:catAx>
      <c:valAx>
        <c:axId val="649006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43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18587e-d4ce-4645-85ff-4551acf072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Medicine.xlsx]Q5!PivotTable6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'Q5'!$A$4:$A$8</c:f>
              <c:strCache>
                <c:ptCount val="4"/>
                <c:pt idx="0">
                  <c:v>DrugC</c:v>
                </c:pt>
                <c:pt idx="1">
                  <c:v>DrugA</c:v>
                </c:pt>
                <c:pt idx="2">
                  <c:v>DrugD</c:v>
                </c:pt>
                <c:pt idx="3">
                  <c:v>DrugB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121.851851851852</c:v>
                </c:pt>
                <c:pt idx="1">
                  <c:v>123.770491803279</c:v>
                </c:pt>
                <c:pt idx="2">
                  <c:v>124.701195219124</c:v>
                </c:pt>
                <c:pt idx="3">
                  <c:v>130.63829787234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2827211"/>
        <c:axId val="525715697"/>
      </c:barChart>
      <c:catAx>
        <c:axId val="9128272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715697"/>
        <c:crosses val="autoZero"/>
        <c:auto val="1"/>
        <c:lblAlgn val="ctr"/>
        <c:lblOffset val="100"/>
        <c:noMultiLvlLbl val="0"/>
      </c:catAx>
      <c:valAx>
        <c:axId val="525715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827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c853ee-e1ba-431d-aa04-036adc7155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Medicine.xlsx]Q6!PivotTable7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'Q6'!$A$4:$B$10</c:f>
              <c:strCache>
                <c:ptCount val="6"/>
                <c:pt idx="0">
                  <c:v>70-82</c:v>
                </c:pt>
                <c:pt idx="1">
                  <c:v>83-85</c:v>
                </c:pt>
                <c:pt idx="2">
                  <c:v>57-69</c:v>
                </c:pt>
                <c:pt idx="3">
                  <c:v>44-56</c:v>
                </c:pt>
                <c:pt idx="4">
                  <c:v>18-30</c:v>
                </c:pt>
                <c:pt idx="5">
                  <c:v>31-43</c:v>
                </c:pt>
              </c:strCache>
            </c:strRef>
          </c:cat>
          <c:val>
            <c:numRef>
              <c:f>'Q6'!$C$4:$C$10</c:f>
              <c:numCache>
                <c:formatCode>General</c:formatCode>
                <c:ptCount val="6"/>
                <c:pt idx="0">
                  <c:v>5.16302083333333</c:v>
                </c:pt>
                <c:pt idx="1">
                  <c:v>5.39189189189189</c:v>
                </c:pt>
                <c:pt idx="2">
                  <c:v>5.42268041237113</c:v>
                </c:pt>
                <c:pt idx="3">
                  <c:v>5.4510752688172</c:v>
                </c:pt>
                <c:pt idx="4">
                  <c:v>5.45431472081218</c:v>
                </c:pt>
                <c:pt idx="5">
                  <c:v>5.51185567010309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8382273"/>
        <c:axId val="328440634"/>
      </c:barChart>
      <c:catAx>
        <c:axId val="6583822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440634"/>
        <c:crosses val="autoZero"/>
        <c:auto val="1"/>
        <c:lblAlgn val="ctr"/>
        <c:lblOffset val="100"/>
        <c:noMultiLvlLbl val="0"/>
      </c:catAx>
      <c:valAx>
        <c:axId val="328440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3822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b673eb-62d1-4bc1-9733-6f381e2c1f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Medicine.xlsx]Q7!PivotTable8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'Q7'!$A$4:$A$6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'Q7'!$B$4:$B$6</c:f>
              <c:numCache>
                <c:formatCode>General</c:formatCode>
                <c:ptCount val="2"/>
                <c:pt idx="0">
                  <c:v>11.5079395085066</c:v>
                </c:pt>
                <c:pt idx="1">
                  <c:v>11.6870488322718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0956432"/>
        <c:axId val="769948423"/>
      </c:barChart>
      <c:catAx>
        <c:axId val="43095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948423"/>
        <c:crosses val="autoZero"/>
        <c:auto val="1"/>
        <c:lblAlgn val="ctr"/>
        <c:lblOffset val="100"/>
        <c:noMultiLvlLbl val="0"/>
      </c:catAx>
      <c:valAx>
        <c:axId val="76994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95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73b0a2-913c-4377-8eeb-c5ddecaee4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Medicine.xlsx]Q8!PivotTable9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'Q8'!$A$4:$B$19</c:f>
              <c:multiLvlStrCache>
                <c:ptCount val="12"/>
                <c:lvl>
                  <c:pt idx="0">
                    <c:v>DrugA</c:v>
                  </c:pt>
                  <c:pt idx="1">
                    <c:v>DrugB</c:v>
                  </c:pt>
                  <c:pt idx="2">
                    <c:v>DrugC</c:v>
                  </c:pt>
                  <c:pt idx="3">
                    <c:v>DrugD</c:v>
                  </c:pt>
                  <c:pt idx="4">
                    <c:v>DrugA</c:v>
                  </c:pt>
                  <c:pt idx="5">
                    <c:v>DrugB</c:v>
                  </c:pt>
                  <c:pt idx="6">
                    <c:v>DrugC</c:v>
                  </c:pt>
                  <c:pt idx="7">
                    <c:v>DrugD</c:v>
                  </c:pt>
                  <c:pt idx="8">
                    <c:v>DrugA</c:v>
                  </c:pt>
                  <c:pt idx="9">
                    <c:v>DrugB</c:v>
                  </c:pt>
                  <c:pt idx="10">
                    <c:v>DrugC</c:v>
                  </c:pt>
                  <c:pt idx="11">
                    <c:v>DrugD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Other</c:v>
                  </c:pt>
                </c:lvl>
              </c:multiLvlStrCache>
            </c:multiLvlStrRef>
          </c:cat>
          <c:val>
            <c:numRef>
              <c:f>'Q8'!$C$4:$C$19</c:f>
              <c:numCache>
                <c:formatCode>General</c:formatCode>
                <c:ptCount val="12"/>
                <c:pt idx="0">
                  <c:v>15.2159420289855</c:v>
                </c:pt>
                <c:pt idx="1">
                  <c:v>15.274025974026</c:v>
                </c:pt>
                <c:pt idx="2">
                  <c:v>14.5067415730337</c:v>
                </c:pt>
                <c:pt idx="3">
                  <c:v>15.4131578947368</c:v>
                </c:pt>
                <c:pt idx="4">
                  <c:v>14.2561224489796</c:v>
                </c:pt>
                <c:pt idx="5">
                  <c:v>15.2941176470588</c:v>
                </c:pt>
                <c:pt idx="6">
                  <c:v>14.8166666666667</c:v>
                </c:pt>
                <c:pt idx="7">
                  <c:v>15.1340206185567</c:v>
                </c:pt>
                <c:pt idx="8">
                  <c:v>15.2779220779221</c:v>
                </c:pt>
                <c:pt idx="9">
                  <c:v>14.9711111111111</c:v>
                </c:pt>
                <c:pt idx="10">
                  <c:v>14.4989010989011</c:v>
                </c:pt>
                <c:pt idx="11">
                  <c:v>15.2435897435897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3010000"/>
        <c:axId val="692134195"/>
      </c:barChart>
      <c:catAx>
        <c:axId val="27301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134195"/>
        <c:crosses val="autoZero"/>
        <c:auto val="1"/>
        <c:lblAlgn val="ctr"/>
        <c:lblOffset val="100"/>
        <c:noMultiLvlLbl val="0"/>
      </c:catAx>
      <c:valAx>
        <c:axId val="6921341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01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e47630-58be-4a38-8ce7-6911849e1f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Medicine.xlsx]Q9!PivotTable10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'Q9'!$A$4:$B$10</c:f>
              <c:strCache>
                <c:ptCount val="6"/>
                <c:pt idx="0">
                  <c:v>83-85</c:v>
                </c:pt>
                <c:pt idx="1">
                  <c:v>44-56</c:v>
                </c:pt>
                <c:pt idx="2">
                  <c:v>70-82</c:v>
                </c:pt>
                <c:pt idx="3">
                  <c:v>31-43</c:v>
                </c:pt>
                <c:pt idx="4">
                  <c:v>57-69</c:v>
                </c:pt>
                <c:pt idx="5">
                  <c:v>18-30</c:v>
                </c:pt>
              </c:strCache>
            </c:strRef>
          </c:cat>
          <c:val>
            <c:numRef>
              <c:f>'Q9'!$C$4:$C$10</c:f>
              <c:numCache>
                <c:formatCode>General</c:formatCode>
                <c:ptCount val="6"/>
                <c:pt idx="0">
                  <c:v>37</c:v>
                </c:pt>
                <c:pt idx="1">
                  <c:v>186</c:v>
                </c:pt>
                <c:pt idx="2">
                  <c:v>192</c:v>
                </c:pt>
                <c:pt idx="3">
                  <c:v>194</c:v>
                </c:pt>
                <c:pt idx="4">
                  <c:v>194</c:v>
                </c:pt>
                <c:pt idx="5">
                  <c:v>197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5659165"/>
        <c:axId val="633553701"/>
      </c:barChart>
      <c:catAx>
        <c:axId val="1956591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3553701"/>
        <c:crosses val="autoZero"/>
        <c:auto val="1"/>
        <c:lblAlgn val="ctr"/>
        <c:lblOffset val="100"/>
        <c:noMultiLvlLbl val="0"/>
      </c:catAx>
      <c:valAx>
        <c:axId val="633553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6591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ffb89e-49e0-4c2c-83b2-947672d499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Medicine.xlsx]Q10!PivotTable11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'Q10'!$A$4:$A$9</c:f>
              <c:strCache>
                <c:ptCount val="5"/>
                <c:pt idx="0">
                  <c:v>BRCA2</c:v>
                </c:pt>
                <c:pt idx="1">
                  <c:v>EGFR</c:v>
                </c:pt>
                <c:pt idx="2">
                  <c:v>TP53</c:v>
                </c:pt>
                <c:pt idx="3">
                  <c:v>HER2</c:v>
                </c:pt>
                <c:pt idx="4">
                  <c:v>BRCA1</c:v>
                </c:pt>
              </c:strCache>
            </c:strRef>
          </c:cat>
          <c:val>
            <c:numRef>
              <c:f>'Q10'!$B$4:$B$9</c:f>
              <c:numCache>
                <c:formatCode>General</c:formatCode>
                <c:ptCount val="5"/>
                <c:pt idx="0">
                  <c:v>5.24183673469388</c:v>
                </c:pt>
                <c:pt idx="1">
                  <c:v>5.27061611374407</c:v>
                </c:pt>
                <c:pt idx="2">
                  <c:v>5.43901098901099</c:v>
                </c:pt>
                <c:pt idx="3">
                  <c:v>5.51959798994974</c:v>
                </c:pt>
                <c:pt idx="4">
                  <c:v>5.53160377358491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6716912"/>
        <c:axId val="808886510"/>
      </c:barChart>
      <c:catAx>
        <c:axId val="196716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886510"/>
        <c:crosses val="autoZero"/>
        <c:auto val="1"/>
        <c:lblAlgn val="ctr"/>
        <c:lblOffset val="100"/>
        <c:noMultiLvlLbl val="0"/>
      </c:catAx>
      <c:valAx>
        <c:axId val="808886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d5300-c69f-4aba-87e9-caede694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Medicine.xlsx]Q11!PivotTable12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'Q11'!$A$4:$A$8</c:f>
              <c:strCach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strCache>
            </c:strRef>
          </c:cat>
          <c:val>
            <c:numRef>
              <c:f>'Q11'!$B$4:$B$8</c:f>
              <c:numCache>
                <c:formatCode>General</c:formatCode>
                <c:ptCount val="4"/>
                <c:pt idx="0">
                  <c:v>245</c:v>
                </c:pt>
                <c:pt idx="1">
                  <c:v>262</c:v>
                </c:pt>
                <c:pt idx="2">
                  <c:v>239</c:v>
                </c:pt>
                <c:pt idx="3">
                  <c:v>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7141161"/>
        <c:axId val="726264233"/>
      </c:barChart>
      <c:catAx>
        <c:axId val="807141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264233"/>
        <c:crosses val="autoZero"/>
        <c:auto val="1"/>
        <c:lblAlgn val="ctr"/>
        <c:lblOffset val="100"/>
        <c:noMultiLvlLbl val="0"/>
      </c:catAx>
      <c:valAx>
        <c:axId val="7262642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141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6b4faa-c7aa-4ee4-945b-3f95698452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Medicine.xlsx]Q11!PivotTable12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'Q11'!$A$4:$A$8</c:f>
              <c:strCach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strCache>
            </c:strRef>
          </c:cat>
          <c:val>
            <c:numRef>
              <c:f>'Q11'!$B$4:$B$8</c:f>
              <c:numCache>
                <c:formatCode>General</c:formatCode>
                <c:ptCount val="4"/>
                <c:pt idx="0">
                  <c:v>245</c:v>
                </c:pt>
                <c:pt idx="1">
                  <c:v>262</c:v>
                </c:pt>
                <c:pt idx="2">
                  <c:v>239</c:v>
                </c:pt>
                <c:pt idx="3">
                  <c:v>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8222219"/>
        <c:axId val="921537923"/>
      </c:barChart>
      <c:catAx>
        <c:axId val="5382222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37923"/>
        <c:crosses val="autoZero"/>
        <c:auto val="1"/>
        <c:lblAlgn val="ctr"/>
        <c:lblOffset val="100"/>
        <c:noMultiLvlLbl val="0"/>
      </c:catAx>
      <c:valAx>
        <c:axId val="921537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2222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9944bc-68d8-42fe-8234-362b7d4d70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Medicine.xlsx]ML1!PivotTable17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'ML1'!$C$3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'ML1'!$A$4:$B$28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Other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Other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Other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Other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Other</c:v>
                  </c:pt>
                  <c:pt idx="15">
                    <c:v>Female</c:v>
                  </c:pt>
                  <c:pt idx="16">
                    <c:v>Male</c:v>
                  </c:pt>
                  <c:pt idx="17">
                    <c:v>Other</c:v>
                  </c:pt>
                </c:lvl>
                <c:lvl>
                  <c:pt idx="0">
                    <c:v>70-82</c:v>
                  </c:pt>
                  <c:pt idx="3">
                    <c:v>83-85</c:v>
                  </c:pt>
                  <c:pt idx="6">
                    <c:v>57-69</c:v>
                  </c:pt>
                  <c:pt idx="9">
                    <c:v>44-56</c:v>
                  </c:pt>
                  <c:pt idx="12">
                    <c:v>18-30</c:v>
                  </c:pt>
                  <c:pt idx="15">
                    <c:v>31-43</c:v>
                  </c:pt>
                </c:lvl>
              </c:multiLvlStrCache>
            </c:multiLvlStrRef>
          </c:cat>
          <c:val>
            <c:numRef>
              <c:f>'ML1'!$C$4:$C$28</c:f>
              <c:numCache>
                <c:formatCode>General</c:formatCode>
                <c:ptCount val="18"/>
                <c:pt idx="0">
                  <c:v>5.39193548387097</c:v>
                </c:pt>
                <c:pt idx="1">
                  <c:v>5.12571428571429</c:v>
                </c:pt>
                <c:pt idx="2">
                  <c:v>4.97</c:v>
                </c:pt>
                <c:pt idx="3">
                  <c:v>4.83</c:v>
                </c:pt>
                <c:pt idx="4">
                  <c:v>5.40588235294118</c:v>
                </c:pt>
                <c:pt idx="5">
                  <c:v>5.93</c:v>
                </c:pt>
                <c:pt idx="6">
                  <c:v>5.1031746031746</c:v>
                </c:pt>
                <c:pt idx="7">
                  <c:v>5.4984375</c:v>
                </c:pt>
                <c:pt idx="8">
                  <c:v>5.65074626865672</c:v>
                </c:pt>
                <c:pt idx="9">
                  <c:v>5.85254237288136</c:v>
                </c:pt>
                <c:pt idx="10">
                  <c:v>5.54918032786885</c:v>
                </c:pt>
                <c:pt idx="11">
                  <c:v>5.00151515151515</c:v>
                </c:pt>
                <c:pt idx="12">
                  <c:v>5.16603773584906</c:v>
                </c:pt>
                <c:pt idx="13">
                  <c:v>5.67083333333333</c:v>
                </c:pt>
                <c:pt idx="14">
                  <c:v>5.45</c:v>
                </c:pt>
                <c:pt idx="15">
                  <c:v>5.7421875</c:v>
                </c:pt>
                <c:pt idx="16">
                  <c:v>5.46376811594203</c:v>
                </c:pt>
                <c:pt idx="17">
                  <c:v>5.32459016393443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87613426"/>
        <c:axId val="499155262"/>
      </c:barChart>
      <c:catAx>
        <c:axId val="1876134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155262"/>
        <c:crosses val="autoZero"/>
        <c:auto val="1"/>
        <c:lblAlgn val="ctr"/>
        <c:lblOffset val="100"/>
        <c:noMultiLvlLbl val="0"/>
      </c:catAx>
      <c:valAx>
        <c:axId val="4991552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613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8384e4-fd2e-4e3d-bcb1-43e9f5c74c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Medicine.xlsx]ML2!PivotTable1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'ML2'!$C$3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'ML2'!$A$4:$B$16</c:f>
              <c:multiLvlStrCache>
                <c:ptCount val="8"/>
                <c:lvl>
                  <c:pt idx="0">
                    <c:v>Negative</c:v>
                  </c:pt>
                  <c:pt idx="1">
                    <c:v>Positive</c:v>
                  </c:pt>
                  <c:pt idx="2">
                    <c:v>Negative</c:v>
                  </c:pt>
                  <c:pt idx="3">
                    <c:v>Positive</c:v>
                  </c:pt>
                  <c:pt idx="4">
                    <c:v>Negative</c:v>
                  </c:pt>
                  <c:pt idx="5">
                    <c:v>Positive</c:v>
                  </c:pt>
                  <c:pt idx="6">
                    <c:v>Negative</c:v>
                  </c:pt>
                  <c:pt idx="7">
                    <c:v>Positive</c:v>
                  </c:pt>
                </c:lvl>
                <c:lvl>
                  <c:pt idx="0">
                    <c:v>DrugA</c:v>
                  </c:pt>
                  <c:pt idx="2">
                    <c:v>DrugB</c:v>
                  </c:pt>
                  <c:pt idx="4">
                    <c:v>DrugC</c:v>
                  </c:pt>
                  <c:pt idx="6">
                    <c:v>DrugD</c:v>
                  </c:pt>
                </c:lvl>
              </c:multiLvlStrCache>
            </c:multiLvlStrRef>
          </c:cat>
          <c:val>
            <c:numRef>
              <c:f>'ML2'!$C$4:$C$16</c:f>
              <c:numCache>
                <c:formatCode>General</c:formatCode>
                <c:ptCount val="8"/>
                <c:pt idx="0">
                  <c:v>141</c:v>
                </c:pt>
                <c:pt idx="1">
                  <c:v>103</c:v>
                </c:pt>
                <c:pt idx="2">
                  <c:v>125</c:v>
                </c:pt>
                <c:pt idx="3">
                  <c:v>110</c:v>
                </c:pt>
                <c:pt idx="4">
                  <c:v>132</c:v>
                </c:pt>
                <c:pt idx="5">
                  <c:v>138</c:v>
                </c:pt>
                <c:pt idx="6">
                  <c:v>131</c:v>
                </c:pt>
                <c:pt idx="7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3417762"/>
        <c:axId val="854389268"/>
      </c:barChart>
      <c:catAx>
        <c:axId val="4934177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389268"/>
        <c:crosses val="autoZero"/>
        <c:auto val="1"/>
        <c:lblAlgn val="ctr"/>
        <c:lblOffset val="100"/>
        <c:noMultiLvlLbl val="0"/>
      </c:catAx>
      <c:valAx>
        <c:axId val="8543892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4177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c910cf-22b6-4672-b8c5-ea52999c06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'VIS2'!$B$3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'VIS2'!$A$4:$A$7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'VIS2'!$B$4:$B$7</c:f>
              <c:numCache>
                <c:formatCode>General</c:formatCode>
                <c:ptCount val="3"/>
                <c:pt idx="0">
                  <c:v>311</c:v>
                </c:pt>
                <c:pt idx="1">
                  <c:v>353</c:v>
                </c:pt>
                <c:pt idx="2">
                  <c:v>336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2da399-5575-44ca-8cb4-fdb2d95d18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Medicine.xlsx]VIS3!PivotTable5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'VIS3'!$B$3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'VIS3'!$A$4:$A$8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'VIS3'!$B$4:$B$8</c:f>
              <c:numCache>
                <c:formatCode>General</c:formatCode>
                <c:ptCount val="4"/>
                <c:pt idx="0">
                  <c:v>244</c:v>
                </c:pt>
                <c:pt idx="1">
                  <c:v>235</c:v>
                </c:pt>
                <c:pt idx="2">
                  <c:v>270</c:v>
                </c:pt>
                <c:pt idx="3">
                  <c:v>251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77353585"/>
        <c:axId val="395193213"/>
      </c:barChart>
      <c:catAx>
        <c:axId val="7735358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Drug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193213"/>
        <c:crosses val="autoZero"/>
        <c:auto val="1"/>
        <c:lblAlgn val="ctr"/>
        <c:lblOffset val="100"/>
        <c:noMultiLvlLbl val="0"/>
      </c:catAx>
      <c:valAx>
        <c:axId val="3951932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 of trail Phase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535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698c6d-b2a2-45ca-b70b-f35f0ed703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Medicine.xlsx]VIS4!PivotTable6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'VIS4'!$B$3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'VIS4'!$A$4:$A$8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'VIS4'!$B$4:$B$8</c:f>
              <c:numCache>
                <c:formatCode>_ * #,##0.000_ ;_ * \-#,##0.000_ ;_ * "-"??.0_ ;_ @_ </c:formatCode>
                <c:ptCount val="4"/>
                <c:pt idx="0">
                  <c:v>5.50819672131147</c:v>
                </c:pt>
                <c:pt idx="1">
                  <c:v>5.2663829787234</c:v>
                </c:pt>
                <c:pt idx="2">
                  <c:v>5.27481481481481</c:v>
                </c:pt>
                <c:pt idx="3">
                  <c:v>5.55657370517928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223178386"/>
        <c:axId val="469662472"/>
      </c:barChart>
      <c:catAx>
        <c:axId val="22317838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Drug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662472"/>
        <c:crosses val="autoZero"/>
        <c:auto val="1"/>
        <c:lblAlgn val="ctr"/>
        <c:lblOffset val="100"/>
        <c:noMultiLvlLbl val="0"/>
      </c:catAx>
      <c:valAx>
        <c:axId val="46966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 Of Efficacy_score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.000_ ;_ * \-#,##0.000_ ;_ * &quot;-&quot;??.0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178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f85964-5a87-4ca4-9298-6a777acde0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Medicine.xlsx]VIS5!PivotTable7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'VIS5'!$B$3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'VIS5'!$A$4:$A$8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'VIS5'!$B$4:$B$8</c:f>
              <c:numCache>
                <c:formatCode>General</c:formatCode>
                <c:ptCount val="4"/>
                <c:pt idx="0">
                  <c:v>244</c:v>
                </c:pt>
                <c:pt idx="1">
                  <c:v>235</c:v>
                </c:pt>
                <c:pt idx="2">
                  <c:v>270</c:v>
                </c:pt>
                <c:pt idx="3">
                  <c:v>251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656589271"/>
        <c:axId val="730035719"/>
      </c:barChart>
      <c:catAx>
        <c:axId val="6565892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035719"/>
        <c:crosses val="autoZero"/>
        <c:auto val="1"/>
        <c:lblAlgn val="ctr"/>
        <c:lblOffset val="100"/>
        <c:noMultiLvlLbl val="0"/>
      </c:catAx>
      <c:valAx>
        <c:axId val="730035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58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c014a6-ac68-4fbd-b9b5-2ed6a6460b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Medicine.xlsx]VIS6!PivotTable2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'VIS6'!$A$4:$A$8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'VIS6'!$B$4:$B$8</c:f>
              <c:numCache>
                <c:formatCode>General</c:formatCode>
                <c:ptCount val="4"/>
                <c:pt idx="0">
                  <c:v>14.85</c:v>
                </c:pt>
                <c:pt idx="1">
                  <c:v>15.163829787234</c:v>
                </c:pt>
                <c:pt idx="2">
                  <c:v>14.6074074074074</c:v>
                </c:pt>
                <c:pt idx="3">
                  <c:v>15.2525896414343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0"/>
        <c:axId val="683111159"/>
        <c:axId val="391034318"/>
      </c:lineChart>
      <c:catAx>
        <c:axId val="6831111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/>
                    </a:solidFill>
                  </a:rPr>
                  <a:t>Drug Name</a:t>
                </a:r>
                <a:endParaRPr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391034318"/>
        <c:crosses val="autoZero"/>
        <c:auto val="1"/>
        <c:lblAlgn val="ctr"/>
        <c:lblOffset val="100"/>
        <c:noMultiLvlLbl val="0"/>
      </c:catAx>
      <c:valAx>
        <c:axId val="39103431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/>
                    </a:solidFill>
                  </a:rPr>
                  <a:t>Average of survival rate</a:t>
                </a:r>
                <a:endParaRPr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683111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347648-1053-4acb-87bc-fbe4f1bea646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Medicine.xlsx]VIS7!PivotTable3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'VIS7'!$B$3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'VIS7'!$A$4:$A$7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'VIS7'!$B$4:$B$7</c:f>
              <c:numCache>
                <c:formatCode>General</c:formatCode>
                <c:ptCount val="3"/>
                <c:pt idx="0">
                  <c:v>0.385852090032154</c:v>
                </c:pt>
                <c:pt idx="1">
                  <c:v>0.337110481586402</c:v>
                </c:pt>
                <c:pt idx="2">
                  <c:v>0.321428571428571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510397307"/>
        <c:axId val="48034901"/>
      </c:barChart>
      <c:catAx>
        <c:axId val="5103973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34901"/>
        <c:crosses val="autoZero"/>
        <c:auto val="1"/>
        <c:lblAlgn val="ctr"/>
        <c:lblOffset val="100"/>
        <c:noMultiLvlLbl val="0"/>
      </c:catAx>
      <c:valAx>
        <c:axId val="48034901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3973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9c4c9f-3989-408a-9fd4-296e38743f0a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Medicine.xlsx]VIS10!PivotTable5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'VIS10'!$B$3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'VIS10'!$A$4:$A$8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'VIS10'!$B$4:$B$8</c:f>
              <c:numCache>
                <c:formatCode>General</c:formatCode>
                <c:ptCount val="4"/>
                <c:pt idx="0">
                  <c:v>11.952868852459</c:v>
                </c:pt>
                <c:pt idx="1">
                  <c:v>11.5714893617021</c:v>
                </c:pt>
                <c:pt idx="2">
                  <c:v>11.5962962962963</c:v>
                </c:pt>
                <c:pt idx="3">
                  <c:v>11.2569721115538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61983886"/>
        <c:axId val="179703275"/>
      </c:lineChart>
      <c:catAx>
        <c:axId val="4619838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703275"/>
        <c:crosses val="autoZero"/>
        <c:auto val="1"/>
        <c:lblAlgn val="ctr"/>
        <c:lblOffset val="100"/>
        <c:noMultiLvlLbl val="0"/>
      </c:catAx>
      <c:valAx>
        <c:axId val="1797032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Progression_Free_Survival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9838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d32b3a-35e6-4959-8209-91af7a5d7db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Medicine.xlsx]VIS11!PivotTable7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'VIS11'!$B$3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'VIS11'!$A$4:$A$10</c:f>
              <c:strCache>
                <c:ptCount val="6"/>
                <c:pt idx="0">
                  <c:v>18-30</c:v>
                </c:pt>
                <c:pt idx="1">
                  <c:v>31-43</c:v>
                </c:pt>
                <c:pt idx="2">
                  <c:v>44-56</c:v>
                </c:pt>
                <c:pt idx="3">
                  <c:v>57-69</c:v>
                </c:pt>
                <c:pt idx="4">
                  <c:v>70-82</c:v>
                </c:pt>
                <c:pt idx="5">
                  <c:v>83-85</c:v>
                </c:pt>
              </c:strCache>
            </c:strRef>
          </c:cat>
          <c:val>
            <c:numRef>
              <c:f>'VIS11'!$B$4:$B$10</c:f>
              <c:numCache>
                <c:formatCode>General</c:formatCode>
                <c:ptCount val="6"/>
                <c:pt idx="0">
                  <c:v>0.380710659898477</c:v>
                </c:pt>
                <c:pt idx="1">
                  <c:v>0.335051546391753</c:v>
                </c:pt>
                <c:pt idx="2">
                  <c:v>0.290322580645161</c:v>
                </c:pt>
                <c:pt idx="3">
                  <c:v>0.402061855670103</c:v>
                </c:pt>
                <c:pt idx="4">
                  <c:v>0.322916666666667</c:v>
                </c:pt>
                <c:pt idx="5">
                  <c:v>0.351351351351351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98197374"/>
        <c:axId val="555793268"/>
      </c:barChart>
      <c:catAx>
        <c:axId val="5981973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793268"/>
        <c:crosses val="autoZero"/>
        <c:auto val="1"/>
        <c:lblAlgn val="ctr"/>
        <c:lblOffset val="100"/>
        <c:noMultiLvlLbl val="0"/>
      </c:catAx>
      <c:valAx>
        <c:axId val="5557932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1973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f46ad4-1ebb-429c-af85-8779d8de72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Medicine.xlsx]VIS13!PivotTable8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'VIS13'!$B$3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'VIS13'!$A$4:$A$10</c:f>
              <c:strCache>
                <c:ptCount val="6"/>
                <c:pt idx="0">
                  <c:v>18-30</c:v>
                </c:pt>
                <c:pt idx="1">
                  <c:v>31-43</c:v>
                </c:pt>
                <c:pt idx="2">
                  <c:v>44-56</c:v>
                </c:pt>
                <c:pt idx="3">
                  <c:v>57-69</c:v>
                </c:pt>
                <c:pt idx="4">
                  <c:v>70-82</c:v>
                </c:pt>
                <c:pt idx="5">
                  <c:v>83-85</c:v>
                </c:pt>
              </c:strCache>
            </c:strRef>
          </c:cat>
          <c:val>
            <c:numRef>
              <c:f>'VIS13'!$B$4:$B$10</c:f>
              <c:numCache>
                <c:formatCode>General</c:formatCode>
                <c:ptCount val="6"/>
                <c:pt idx="0">
                  <c:v>197</c:v>
                </c:pt>
                <c:pt idx="1">
                  <c:v>194</c:v>
                </c:pt>
                <c:pt idx="2">
                  <c:v>186</c:v>
                </c:pt>
                <c:pt idx="3">
                  <c:v>194</c:v>
                </c:pt>
                <c:pt idx="4">
                  <c:v>192</c:v>
                </c:pt>
                <c:pt idx="5">
                  <c:v>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83596143"/>
        <c:axId val="450345955"/>
      </c:barChart>
      <c:catAx>
        <c:axId val="78359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345955"/>
        <c:crosses val="autoZero"/>
        <c:auto val="1"/>
        <c:lblAlgn val="ctr"/>
        <c:lblOffset val="100"/>
        <c:noMultiLvlLbl val="0"/>
      </c:catAx>
      <c:valAx>
        <c:axId val="450345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59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632d6d-661c-44f3-955b-4f42d76353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Medicine.xlsx]VIS14!PivotTable9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'VIS14'!$B$3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'VIS14'!$A$4:$A$6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'VIS14'!$B$4:$B$6</c:f>
              <c:numCache>
                <c:formatCode>General</c:formatCode>
                <c:ptCount val="2"/>
                <c:pt idx="0">
                  <c:v>11.5079395085066</c:v>
                </c:pt>
                <c:pt idx="1">
                  <c:v>11.6870488322718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35039773"/>
        <c:axId val="158765813"/>
      </c:barChart>
      <c:catAx>
        <c:axId val="235039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765813"/>
        <c:crosses val="autoZero"/>
        <c:auto val="1"/>
        <c:lblAlgn val="ctr"/>
        <c:lblOffset val="100"/>
        <c:noMultiLvlLbl val="0"/>
      </c:catAx>
      <c:valAx>
        <c:axId val="158765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03977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2bc3c5-f8c5-48fd-9550-56847dfff7a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[DACS19 - Pfizer’s Personalised Medicine.xlsx]VIS15!PivotTable10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'VIS15'!$B$3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'VIS15'!$A$4:$A$8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'VIS15'!$B$4:$B$8</c:f>
              <c:numCache>
                <c:formatCode>General</c:formatCode>
                <c:ptCount val="4"/>
                <c:pt idx="0">
                  <c:v>0.307392996108949</c:v>
                </c:pt>
                <c:pt idx="1">
                  <c:v>0.423387096774194</c:v>
                </c:pt>
                <c:pt idx="2">
                  <c:v>0.305882352941177</c:v>
                </c:pt>
                <c:pt idx="3">
                  <c:v>0.354166666666667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25977751"/>
        <c:axId val="977652861"/>
      </c:barChart>
      <c:catAx>
        <c:axId val="425977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652861"/>
        <c:crosses val="autoZero"/>
        <c:auto val="1"/>
        <c:lblAlgn val="ctr"/>
        <c:lblOffset val="100"/>
        <c:noMultiLvlLbl val="0"/>
      </c:catAx>
      <c:valAx>
        <c:axId val="9776528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977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f6280b-e7e6-4769-9ce7-aca5fb00b9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'ML4'!$A$1001</c:f>
              <c:strCache>
                <c:ptCount val="1"/>
                <c:pt idx="0">
                  <c:v>1094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'ML4'!$B$2:$B$1000</c:f>
              <c:strCache>
                <c:ptCount val="999"/>
                <c:pt idx="0">
                  <c:v>Headache</c:v>
                </c:pt>
                <c:pt idx="1">
                  <c:v>Headache</c:v>
                </c:pt>
                <c:pt idx="2">
                  <c:v>Fatigue</c:v>
                </c:pt>
                <c:pt idx="3">
                  <c:v>Dizziness</c:v>
                </c:pt>
                <c:pt idx="4">
                  <c:v>Dizziness</c:v>
                </c:pt>
                <c:pt idx="5">
                  <c:v>Headache</c:v>
                </c:pt>
                <c:pt idx="6">
                  <c:v>Dizziness</c:v>
                </c:pt>
                <c:pt idx="7">
                  <c:v>Dizziness</c:v>
                </c:pt>
                <c:pt idx="8">
                  <c:v>Dizziness</c:v>
                </c:pt>
                <c:pt idx="9">
                  <c:v>Headache</c:v>
                </c:pt>
                <c:pt idx="10">
                  <c:v>Headache</c:v>
                </c:pt>
                <c:pt idx="11">
                  <c:v>Nausea</c:v>
                </c:pt>
                <c:pt idx="12">
                  <c:v>Fatigue</c:v>
                </c:pt>
                <c:pt idx="13">
                  <c:v>None</c:v>
                </c:pt>
                <c:pt idx="14">
                  <c:v>Fatigue</c:v>
                </c:pt>
                <c:pt idx="15">
                  <c:v>Dizziness</c:v>
                </c:pt>
                <c:pt idx="16">
                  <c:v>None</c:v>
                </c:pt>
                <c:pt idx="17">
                  <c:v>Headache</c:v>
                </c:pt>
                <c:pt idx="18">
                  <c:v>Fatigue</c:v>
                </c:pt>
                <c:pt idx="19">
                  <c:v>Headache</c:v>
                </c:pt>
                <c:pt idx="20">
                  <c:v>Nausea</c:v>
                </c:pt>
                <c:pt idx="21">
                  <c:v>Headache</c:v>
                </c:pt>
                <c:pt idx="22">
                  <c:v>Fatigue</c:v>
                </c:pt>
                <c:pt idx="23">
                  <c:v>Fatigue</c:v>
                </c:pt>
                <c:pt idx="24">
                  <c:v>Nausea</c:v>
                </c:pt>
                <c:pt idx="25">
                  <c:v>Nausea</c:v>
                </c:pt>
                <c:pt idx="26">
                  <c:v>Headache</c:v>
                </c:pt>
                <c:pt idx="27">
                  <c:v>Headache</c:v>
                </c:pt>
                <c:pt idx="28">
                  <c:v>Fatigue</c:v>
                </c:pt>
                <c:pt idx="29">
                  <c:v>Headache</c:v>
                </c:pt>
                <c:pt idx="30">
                  <c:v>Nausea</c:v>
                </c:pt>
                <c:pt idx="31">
                  <c:v>None</c:v>
                </c:pt>
                <c:pt idx="32">
                  <c:v>Fatigue</c:v>
                </c:pt>
                <c:pt idx="33">
                  <c:v>Nausea</c:v>
                </c:pt>
                <c:pt idx="34">
                  <c:v>None</c:v>
                </c:pt>
                <c:pt idx="35">
                  <c:v>Fatigue</c:v>
                </c:pt>
                <c:pt idx="36">
                  <c:v>None</c:v>
                </c:pt>
                <c:pt idx="37">
                  <c:v>Fatigue</c:v>
                </c:pt>
                <c:pt idx="38">
                  <c:v>Fatigue</c:v>
                </c:pt>
                <c:pt idx="39">
                  <c:v>Nausea</c:v>
                </c:pt>
                <c:pt idx="40">
                  <c:v>Fatigue</c:v>
                </c:pt>
                <c:pt idx="41">
                  <c:v>Dizziness</c:v>
                </c:pt>
                <c:pt idx="42">
                  <c:v>None</c:v>
                </c:pt>
                <c:pt idx="43">
                  <c:v>Dizziness</c:v>
                </c:pt>
                <c:pt idx="44">
                  <c:v>Nausea</c:v>
                </c:pt>
                <c:pt idx="45">
                  <c:v>Dizziness</c:v>
                </c:pt>
                <c:pt idx="46">
                  <c:v>Dizziness</c:v>
                </c:pt>
                <c:pt idx="47">
                  <c:v>Headache</c:v>
                </c:pt>
                <c:pt idx="48">
                  <c:v>None</c:v>
                </c:pt>
                <c:pt idx="49">
                  <c:v>Nausea</c:v>
                </c:pt>
                <c:pt idx="50">
                  <c:v>Fatigue</c:v>
                </c:pt>
                <c:pt idx="51">
                  <c:v>None</c:v>
                </c:pt>
                <c:pt idx="52">
                  <c:v>Headache</c:v>
                </c:pt>
                <c:pt idx="53">
                  <c:v>None</c:v>
                </c:pt>
                <c:pt idx="54">
                  <c:v>Nausea</c:v>
                </c:pt>
                <c:pt idx="55">
                  <c:v>None</c:v>
                </c:pt>
                <c:pt idx="56">
                  <c:v>Nausea</c:v>
                </c:pt>
                <c:pt idx="57">
                  <c:v>Dizziness</c:v>
                </c:pt>
                <c:pt idx="58">
                  <c:v>Dizziness</c:v>
                </c:pt>
                <c:pt idx="59">
                  <c:v>None</c:v>
                </c:pt>
                <c:pt idx="60">
                  <c:v>Dizziness</c:v>
                </c:pt>
                <c:pt idx="61">
                  <c:v>Nausea</c:v>
                </c:pt>
                <c:pt idx="62">
                  <c:v>Headache</c:v>
                </c:pt>
                <c:pt idx="63">
                  <c:v>Nausea</c:v>
                </c:pt>
                <c:pt idx="64">
                  <c:v>Fatigue</c:v>
                </c:pt>
                <c:pt idx="65">
                  <c:v>Nausea</c:v>
                </c:pt>
                <c:pt idx="66">
                  <c:v>Nausea</c:v>
                </c:pt>
                <c:pt idx="67">
                  <c:v>None</c:v>
                </c:pt>
                <c:pt idx="68">
                  <c:v>Headache</c:v>
                </c:pt>
                <c:pt idx="69">
                  <c:v>Dizziness</c:v>
                </c:pt>
                <c:pt idx="70">
                  <c:v>Fatigue</c:v>
                </c:pt>
                <c:pt idx="71">
                  <c:v>Headache</c:v>
                </c:pt>
                <c:pt idx="72">
                  <c:v>Dizziness</c:v>
                </c:pt>
                <c:pt idx="73">
                  <c:v>Headache</c:v>
                </c:pt>
                <c:pt idx="74">
                  <c:v>Nausea</c:v>
                </c:pt>
                <c:pt idx="75">
                  <c:v>Nausea</c:v>
                </c:pt>
                <c:pt idx="76">
                  <c:v>None</c:v>
                </c:pt>
                <c:pt idx="77">
                  <c:v>Fatigue</c:v>
                </c:pt>
                <c:pt idx="78">
                  <c:v>None</c:v>
                </c:pt>
                <c:pt idx="79">
                  <c:v>Fatigue</c:v>
                </c:pt>
                <c:pt idx="80">
                  <c:v>Headache</c:v>
                </c:pt>
                <c:pt idx="81">
                  <c:v>Fatigue</c:v>
                </c:pt>
                <c:pt idx="82">
                  <c:v>Fatigue</c:v>
                </c:pt>
                <c:pt idx="83">
                  <c:v>Headache</c:v>
                </c:pt>
                <c:pt idx="84">
                  <c:v>Nausea</c:v>
                </c:pt>
                <c:pt idx="85">
                  <c:v>Nausea</c:v>
                </c:pt>
                <c:pt idx="86">
                  <c:v>None</c:v>
                </c:pt>
                <c:pt idx="87">
                  <c:v>Headache</c:v>
                </c:pt>
                <c:pt idx="88">
                  <c:v>Dizziness</c:v>
                </c:pt>
                <c:pt idx="89">
                  <c:v>Headache</c:v>
                </c:pt>
                <c:pt idx="90">
                  <c:v>Headache</c:v>
                </c:pt>
                <c:pt idx="91">
                  <c:v>Nausea</c:v>
                </c:pt>
                <c:pt idx="92">
                  <c:v>Fatigue</c:v>
                </c:pt>
                <c:pt idx="93">
                  <c:v>Fatigue</c:v>
                </c:pt>
                <c:pt idx="94">
                  <c:v>Dizziness</c:v>
                </c:pt>
                <c:pt idx="95">
                  <c:v>Fatigue</c:v>
                </c:pt>
                <c:pt idx="96">
                  <c:v>Dizziness</c:v>
                </c:pt>
                <c:pt idx="97">
                  <c:v>Fatigue</c:v>
                </c:pt>
                <c:pt idx="98">
                  <c:v>Dizziness</c:v>
                </c:pt>
                <c:pt idx="99">
                  <c:v>Nausea</c:v>
                </c:pt>
                <c:pt idx="100">
                  <c:v>None</c:v>
                </c:pt>
                <c:pt idx="101">
                  <c:v>Dizziness</c:v>
                </c:pt>
                <c:pt idx="102">
                  <c:v>None</c:v>
                </c:pt>
                <c:pt idx="103">
                  <c:v>Headache</c:v>
                </c:pt>
                <c:pt idx="104">
                  <c:v>Headache</c:v>
                </c:pt>
                <c:pt idx="105">
                  <c:v>Nausea</c:v>
                </c:pt>
                <c:pt idx="106">
                  <c:v>Dizziness</c:v>
                </c:pt>
                <c:pt idx="107">
                  <c:v>Nausea</c:v>
                </c:pt>
                <c:pt idx="108">
                  <c:v>Headache</c:v>
                </c:pt>
                <c:pt idx="109">
                  <c:v>None</c:v>
                </c:pt>
                <c:pt idx="110">
                  <c:v>Dizziness</c:v>
                </c:pt>
                <c:pt idx="111">
                  <c:v>Nausea</c:v>
                </c:pt>
                <c:pt idx="112">
                  <c:v>Fatigue</c:v>
                </c:pt>
                <c:pt idx="113">
                  <c:v>Dizziness</c:v>
                </c:pt>
                <c:pt idx="114">
                  <c:v>None</c:v>
                </c:pt>
                <c:pt idx="115">
                  <c:v>Nausea</c:v>
                </c:pt>
                <c:pt idx="116">
                  <c:v>Fatigue</c:v>
                </c:pt>
                <c:pt idx="117">
                  <c:v>Fatigue</c:v>
                </c:pt>
                <c:pt idx="118">
                  <c:v>None</c:v>
                </c:pt>
                <c:pt idx="119">
                  <c:v>Fatigue</c:v>
                </c:pt>
                <c:pt idx="120">
                  <c:v>Headache</c:v>
                </c:pt>
                <c:pt idx="121">
                  <c:v>Nausea</c:v>
                </c:pt>
                <c:pt idx="122">
                  <c:v>Headache</c:v>
                </c:pt>
                <c:pt idx="123">
                  <c:v>None</c:v>
                </c:pt>
                <c:pt idx="124">
                  <c:v>Headache</c:v>
                </c:pt>
                <c:pt idx="125">
                  <c:v>Headache</c:v>
                </c:pt>
                <c:pt idx="126">
                  <c:v>None</c:v>
                </c:pt>
                <c:pt idx="127">
                  <c:v>Headache</c:v>
                </c:pt>
                <c:pt idx="128">
                  <c:v>Dizziness</c:v>
                </c:pt>
                <c:pt idx="129">
                  <c:v>Fatigue</c:v>
                </c:pt>
                <c:pt idx="130">
                  <c:v>Fatigue</c:v>
                </c:pt>
                <c:pt idx="131">
                  <c:v>Nausea</c:v>
                </c:pt>
                <c:pt idx="132">
                  <c:v>Dizziness</c:v>
                </c:pt>
                <c:pt idx="133">
                  <c:v>Fatigue</c:v>
                </c:pt>
                <c:pt idx="134">
                  <c:v>Fatigue</c:v>
                </c:pt>
                <c:pt idx="135">
                  <c:v>Headache</c:v>
                </c:pt>
                <c:pt idx="136">
                  <c:v>Fatigue</c:v>
                </c:pt>
                <c:pt idx="137">
                  <c:v>Dizziness</c:v>
                </c:pt>
                <c:pt idx="138">
                  <c:v>Headache</c:v>
                </c:pt>
                <c:pt idx="139">
                  <c:v>Headache</c:v>
                </c:pt>
                <c:pt idx="140">
                  <c:v>Headache</c:v>
                </c:pt>
                <c:pt idx="141">
                  <c:v>Fatigue</c:v>
                </c:pt>
                <c:pt idx="142">
                  <c:v>None</c:v>
                </c:pt>
                <c:pt idx="143">
                  <c:v>Dizziness</c:v>
                </c:pt>
                <c:pt idx="144">
                  <c:v>Dizziness</c:v>
                </c:pt>
                <c:pt idx="145">
                  <c:v>None</c:v>
                </c:pt>
                <c:pt idx="146">
                  <c:v>Fatigue</c:v>
                </c:pt>
                <c:pt idx="147">
                  <c:v>Fatigue</c:v>
                </c:pt>
                <c:pt idx="148">
                  <c:v>Nausea</c:v>
                </c:pt>
                <c:pt idx="149">
                  <c:v>Fatigue</c:v>
                </c:pt>
                <c:pt idx="150">
                  <c:v>None</c:v>
                </c:pt>
                <c:pt idx="151">
                  <c:v>None</c:v>
                </c:pt>
                <c:pt idx="152">
                  <c:v>None</c:v>
                </c:pt>
                <c:pt idx="153">
                  <c:v>None</c:v>
                </c:pt>
                <c:pt idx="154">
                  <c:v>Headache</c:v>
                </c:pt>
                <c:pt idx="155">
                  <c:v>Fatigue</c:v>
                </c:pt>
                <c:pt idx="156">
                  <c:v>Fatigue</c:v>
                </c:pt>
                <c:pt idx="157">
                  <c:v>None</c:v>
                </c:pt>
                <c:pt idx="158">
                  <c:v>Dizziness</c:v>
                </c:pt>
                <c:pt idx="159">
                  <c:v>Nausea</c:v>
                </c:pt>
                <c:pt idx="160">
                  <c:v>None</c:v>
                </c:pt>
                <c:pt idx="161">
                  <c:v>Fatigue</c:v>
                </c:pt>
                <c:pt idx="162">
                  <c:v>Nausea</c:v>
                </c:pt>
                <c:pt idx="163">
                  <c:v>Nausea</c:v>
                </c:pt>
                <c:pt idx="164">
                  <c:v>Dizziness</c:v>
                </c:pt>
                <c:pt idx="165">
                  <c:v>Dizziness</c:v>
                </c:pt>
                <c:pt idx="166">
                  <c:v>Nausea</c:v>
                </c:pt>
                <c:pt idx="167">
                  <c:v>None</c:v>
                </c:pt>
                <c:pt idx="168">
                  <c:v>Nausea</c:v>
                </c:pt>
                <c:pt idx="169">
                  <c:v>Headache</c:v>
                </c:pt>
                <c:pt idx="170">
                  <c:v>Dizziness</c:v>
                </c:pt>
                <c:pt idx="171">
                  <c:v>Dizziness</c:v>
                </c:pt>
                <c:pt idx="172">
                  <c:v>None</c:v>
                </c:pt>
                <c:pt idx="173">
                  <c:v>Nausea</c:v>
                </c:pt>
                <c:pt idx="174">
                  <c:v>Nausea</c:v>
                </c:pt>
                <c:pt idx="175">
                  <c:v>Dizziness</c:v>
                </c:pt>
                <c:pt idx="176">
                  <c:v>None</c:v>
                </c:pt>
                <c:pt idx="177">
                  <c:v>Headache</c:v>
                </c:pt>
                <c:pt idx="178">
                  <c:v>Dizziness</c:v>
                </c:pt>
                <c:pt idx="179">
                  <c:v>None</c:v>
                </c:pt>
                <c:pt idx="180">
                  <c:v>Nausea</c:v>
                </c:pt>
                <c:pt idx="181">
                  <c:v>Headache</c:v>
                </c:pt>
                <c:pt idx="182">
                  <c:v>Nausea</c:v>
                </c:pt>
                <c:pt idx="183">
                  <c:v>Headache</c:v>
                </c:pt>
                <c:pt idx="184">
                  <c:v>Headache</c:v>
                </c:pt>
                <c:pt idx="185">
                  <c:v>Nausea</c:v>
                </c:pt>
                <c:pt idx="186">
                  <c:v>None</c:v>
                </c:pt>
                <c:pt idx="187">
                  <c:v>Headache</c:v>
                </c:pt>
                <c:pt idx="188">
                  <c:v>Headache</c:v>
                </c:pt>
                <c:pt idx="189">
                  <c:v>None</c:v>
                </c:pt>
                <c:pt idx="190">
                  <c:v>Dizziness</c:v>
                </c:pt>
                <c:pt idx="191">
                  <c:v>Dizziness</c:v>
                </c:pt>
                <c:pt idx="192">
                  <c:v>Headache</c:v>
                </c:pt>
                <c:pt idx="193">
                  <c:v>Fatigue</c:v>
                </c:pt>
                <c:pt idx="194">
                  <c:v>Dizziness</c:v>
                </c:pt>
                <c:pt idx="195">
                  <c:v>Dizziness</c:v>
                </c:pt>
                <c:pt idx="196">
                  <c:v>Nausea</c:v>
                </c:pt>
                <c:pt idx="197">
                  <c:v>Headache</c:v>
                </c:pt>
                <c:pt idx="198">
                  <c:v>Fatigue</c:v>
                </c:pt>
                <c:pt idx="199">
                  <c:v>Nausea</c:v>
                </c:pt>
                <c:pt idx="200">
                  <c:v>Nausea</c:v>
                </c:pt>
                <c:pt idx="201">
                  <c:v>Headache</c:v>
                </c:pt>
                <c:pt idx="202">
                  <c:v>None</c:v>
                </c:pt>
                <c:pt idx="203">
                  <c:v>Fatigue</c:v>
                </c:pt>
                <c:pt idx="204">
                  <c:v>Headache</c:v>
                </c:pt>
                <c:pt idx="205">
                  <c:v>Dizziness</c:v>
                </c:pt>
                <c:pt idx="206">
                  <c:v>Dizziness</c:v>
                </c:pt>
                <c:pt idx="207">
                  <c:v>Fatigue</c:v>
                </c:pt>
                <c:pt idx="208">
                  <c:v>Dizziness</c:v>
                </c:pt>
                <c:pt idx="209">
                  <c:v>Fatigue</c:v>
                </c:pt>
                <c:pt idx="210">
                  <c:v>Fatigue</c:v>
                </c:pt>
                <c:pt idx="211">
                  <c:v>Headache</c:v>
                </c:pt>
                <c:pt idx="212">
                  <c:v>Dizziness</c:v>
                </c:pt>
                <c:pt idx="213">
                  <c:v>Fatigue</c:v>
                </c:pt>
                <c:pt idx="214">
                  <c:v>Dizziness</c:v>
                </c:pt>
                <c:pt idx="215">
                  <c:v>Nausea</c:v>
                </c:pt>
                <c:pt idx="216">
                  <c:v>Headache</c:v>
                </c:pt>
                <c:pt idx="217">
                  <c:v>Fatigue</c:v>
                </c:pt>
                <c:pt idx="218">
                  <c:v>Nausea</c:v>
                </c:pt>
                <c:pt idx="219">
                  <c:v>None</c:v>
                </c:pt>
                <c:pt idx="220">
                  <c:v>None</c:v>
                </c:pt>
                <c:pt idx="221">
                  <c:v>Fatigue</c:v>
                </c:pt>
                <c:pt idx="222">
                  <c:v>Nausea</c:v>
                </c:pt>
                <c:pt idx="223">
                  <c:v>Dizziness</c:v>
                </c:pt>
                <c:pt idx="224">
                  <c:v>Headache</c:v>
                </c:pt>
                <c:pt idx="225">
                  <c:v>Headache</c:v>
                </c:pt>
                <c:pt idx="226">
                  <c:v>None</c:v>
                </c:pt>
                <c:pt idx="227">
                  <c:v>Dizziness</c:v>
                </c:pt>
                <c:pt idx="228">
                  <c:v>Nausea</c:v>
                </c:pt>
                <c:pt idx="229">
                  <c:v>None</c:v>
                </c:pt>
                <c:pt idx="230">
                  <c:v>Fatigue</c:v>
                </c:pt>
                <c:pt idx="231">
                  <c:v>Nausea</c:v>
                </c:pt>
                <c:pt idx="232">
                  <c:v>Dizziness</c:v>
                </c:pt>
                <c:pt idx="233">
                  <c:v>Dizziness</c:v>
                </c:pt>
                <c:pt idx="234">
                  <c:v>Fatigue</c:v>
                </c:pt>
                <c:pt idx="235">
                  <c:v>Dizziness</c:v>
                </c:pt>
                <c:pt idx="236">
                  <c:v>Headache</c:v>
                </c:pt>
                <c:pt idx="237">
                  <c:v>Headache</c:v>
                </c:pt>
                <c:pt idx="238">
                  <c:v>None</c:v>
                </c:pt>
                <c:pt idx="239">
                  <c:v>Headache</c:v>
                </c:pt>
                <c:pt idx="240">
                  <c:v>Dizziness</c:v>
                </c:pt>
                <c:pt idx="241">
                  <c:v>Dizziness</c:v>
                </c:pt>
                <c:pt idx="242">
                  <c:v>Dizziness</c:v>
                </c:pt>
                <c:pt idx="243">
                  <c:v>Dizziness</c:v>
                </c:pt>
                <c:pt idx="244">
                  <c:v>Dizziness</c:v>
                </c:pt>
                <c:pt idx="245">
                  <c:v>Dizziness</c:v>
                </c:pt>
                <c:pt idx="246">
                  <c:v>Fatigue</c:v>
                </c:pt>
                <c:pt idx="247">
                  <c:v>Nausea</c:v>
                </c:pt>
                <c:pt idx="248">
                  <c:v>Headache</c:v>
                </c:pt>
                <c:pt idx="249">
                  <c:v>Nausea</c:v>
                </c:pt>
                <c:pt idx="250">
                  <c:v>None</c:v>
                </c:pt>
                <c:pt idx="251">
                  <c:v>Nausea</c:v>
                </c:pt>
                <c:pt idx="252">
                  <c:v>Headache</c:v>
                </c:pt>
                <c:pt idx="253">
                  <c:v>Nausea</c:v>
                </c:pt>
                <c:pt idx="254">
                  <c:v>Fatigue</c:v>
                </c:pt>
                <c:pt idx="255">
                  <c:v>Fatigue</c:v>
                </c:pt>
                <c:pt idx="256">
                  <c:v>Headache</c:v>
                </c:pt>
                <c:pt idx="257">
                  <c:v>None</c:v>
                </c:pt>
                <c:pt idx="258">
                  <c:v>None</c:v>
                </c:pt>
                <c:pt idx="259">
                  <c:v>Fatigue</c:v>
                </c:pt>
                <c:pt idx="260">
                  <c:v>Headache</c:v>
                </c:pt>
                <c:pt idx="261">
                  <c:v>Nausea</c:v>
                </c:pt>
                <c:pt idx="262">
                  <c:v>Nausea</c:v>
                </c:pt>
                <c:pt idx="263">
                  <c:v>Dizziness</c:v>
                </c:pt>
                <c:pt idx="264">
                  <c:v>Headache</c:v>
                </c:pt>
                <c:pt idx="265">
                  <c:v>Dizziness</c:v>
                </c:pt>
                <c:pt idx="266">
                  <c:v>Headache</c:v>
                </c:pt>
                <c:pt idx="267">
                  <c:v>Dizziness</c:v>
                </c:pt>
                <c:pt idx="268">
                  <c:v>Headache</c:v>
                </c:pt>
                <c:pt idx="269">
                  <c:v>Dizziness</c:v>
                </c:pt>
                <c:pt idx="270">
                  <c:v>Headache</c:v>
                </c:pt>
                <c:pt idx="271">
                  <c:v>Nausea</c:v>
                </c:pt>
                <c:pt idx="272">
                  <c:v>Headache</c:v>
                </c:pt>
                <c:pt idx="273">
                  <c:v>Fatigue</c:v>
                </c:pt>
                <c:pt idx="274">
                  <c:v>Dizziness</c:v>
                </c:pt>
                <c:pt idx="275">
                  <c:v>Dizziness</c:v>
                </c:pt>
                <c:pt idx="276">
                  <c:v>Dizziness</c:v>
                </c:pt>
                <c:pt idx="277">
                  <c:v>Nausea</c:v>
                </c:pt>
                <c:pt idx="278">
                  <c:v>Fatigue</c:v>
                </c:pt>
                <c:pt idx="279">
                  <c:v>Fatigue</c:v>
                </c:pt>
                <c:pt idx="280">
                  <c:v>Headache</c:v>
                </c:pt>
                <c:pt idx="281">
                  <c:v>None</c:v>
                </c:pt>
                <c:pt idx="282">
                  <c:v>Dizziness</c:v>
                </c:pt>
                <c:pt idx="283">
                  <c:v>Headache</c:v>
                </c:pt>
                <c:pt idx="284">
                  <c:v>Dizziness</c:v>
                </c:pt>
                <c:pt idx="285">
                  <c:v>None</c:v>
                </c:pt>
                <c:pt idx="286">
                  <c:v>Nausea</c:v>
                </c:pt>
                <c:pt idx="287">
                  <c:v>Headache</c:v>
                </c:pt>
                <c:pt idx="288">
                  <c:v>Fatigue</c:v>
                </c:pt>
                <c:pt idx="289">
                  <c:v>Headache</c:v>
                </c:pt>
                <c:pt idx="290">
                  <c:v>Fatigue</c:v>
                </c:pt>
                <c:pt idx="291">
                  <c:v>Dizziness</c:v>
                </c:pt>
                <c:pt idx="292">
                  <c:v>Nausea</c:v>
                </c:pt>
                <c:pt idx="293">
                  <c:v>None</c:v>
                </c:pt>
                <c:pt idx="294">
                  <c:v>Nausea</c:v>
                </c:pt>
                <c:pt idx="295">
                  <c:v>Nausea</c:v>
                </c:pt>
                <c:pt idx="296">
                  <c:v>Headache</c:v>
                </c:pt>
                <c:pt idx="297">
                  <c:v>None</c:v>
                </c:pt>
                <c:pt idx="298">
                  <c:v>Nausea</c:v>
                </c:pt>
                <c:pt idx="299">
                  <c:v>Dizziness</c:v>
                </c:pt>
                <c:pt idx="300">
                  <c:v>Fatigue</c:v>
                </c:pt>
                <c:pt idx="301">
                  <c:v>Nausea</c:v>
                </c:pt>
                <c:pt idx="302">
                  <c:v>Dizziness</c:v>
                </c:pt>
                <c:pt idx="303">
                  <c:v>Dizziness</c:v>
                </c:pt>
                <c:pt idx="304">
                  <c:v>Nausea</c:v>
                </c:pt>
                <c:pt idx="305">
                  <c:v>Dizziness</c:v>
                </c:pt>
                <c:pt idx="306">
                  <c:v>Headache</c:v>
                </c:pt>
                <c:pt idx="307">
                  <c:v>Dizziness</c:v>
                </c:pt>
                <c:pt idx="308">
                  <c:v>Nausea</c:v>
                </c:pt>
                <c:pt idx="309">
                  <c:v>Fatigue</c:v>
                </c:pt>
                <c:pt idx="310">
                  <c:v>Fatigue</c:v>
                </c:pt>
                <c:pt idx="311">
                  <c:v>None</c:v>
                </c:pt>
                <c:pt idx="312">
                  <c:v>Dizziness</c:v>
                </c:pt>
                <c:pt idx="313">
                  <c:v>None</c:v>
                </c:pt>
                <c:pt idx="314">
                  <c:v>None</c:v>
                </c:pt>
                <c:pt idx="315">
                  <c:v>Dizziness</c:v>
                </c:pt>
                <c:pt idx="316">
                  <c:v>Nausea</c:v>
                </c:pt>
                <c:pt idx="317">
                  <c:v>Dizziness</c:v>
                </c:pt>
                <c:pt idx="318">
                  <c:v>None</c:v>
                </c:pt>
                <c:pt idx="319">
                  <c:v>Fatigue</c:v>
                </c:pt>
                <c:pt idx="320">
                  <c:v>Dizziness</c:v>
                </c:pt>
                <c:pt idx="321">
                  <c:v>None</c:v>
                </c:pt>
                <c:pt idx="322">
                  <c:v>Dizziness</c:v>
                </c:pt>
                <c:pt idx="323">
                  <c:v>Headache</c:v>
                </c:pt>
                <c:pt idx="324">
                  <c:v>Fatigue</c:v>
                </c:pt>
                <c:pt idx="325">
                  <c:v>Fatigue</c:v>
                </c:pt>
                <c:pt idx="326">
                  <c:v>None</c:v>
                </c:pt>
                <c:pt idx="327">
                  <c:v>Nausea</c:v>
                </c:pt>
                <c:pt idx="328">
                  <c:v>Dizziness</c:v>
                </c:pt>
                <c:pt idx="329">
                  <c:v>Headache</c:v>
                </c:pt>
                <c:pt idx="330">
                  <c:v>Nausea</c:v>
                </c:pt>
                <c:pt idx="331">
                  <c:v>Fatigue</c:v>
                </c:pt>
                <c:pt idx="332">
                  <c:v>Dizziness</c:v>
                </c:pt>
                <c:pt idx="333">
                  <c:v>Headache</c:v>
                </c:pt>
                <c:pt idx="334">
                  <c:v>None</c:v>
                </c:pt>
                <c:pt idx="335">
                  <c:v>None</c:v>
                </c:pt>
                <c:pt idx="336">
                  <c:v>Headache</c:v>
                </c:pt>
                <c:pt idx="337">
                  <c:v>Fatigue</c:v>
                </c:pt>
                <c:pt idx="338">
                  <c:v>Dizziness</c:v>
                </c:pt>
                <c:pt idx="339">
                  <c:v>Fatigue</c:v>
                </c:pt>
                <c:pt idx="340">
                  <c:v>Nausea</c:v>
                </c:pt>
                <c:pt idx="341">
                  <c:v>Dizziness</c:v>
                </c:pt>
                <c:pt idx="342">
                  <c:v>Headache</c:v>
                </c:pt>
                <c:pt idx="343">
                  <c:v>Fatigue</c:v>
                </c:pt>
                <c:pt idx="344">
                  <c:v>Fatigue</c:v>
                </c:pt>
                <c:pt idx="345">
                  <c:v>Nausea</c:v>
                </c:pt>
                <c:pt idx="346">
                  <c:v>Nausea</c:v>
                </c:pt>
                <c:pt idx="347">
                  <c:v>Nausea</c:v>
                </c:pt>
                <c:pt idx="348">
                  <c:v>Headache</c:v>
                </c:pt>
                <c:pt idx="349">
                  <c:v>Fatigue</c:v>
                </c:pt>
                <c:pt idx="350">
                  <c:v>None</c:v>
                </c:pt>
                <c:pt idx="351">
                  <c:v>Fatigue</c:v>
                </c:pt>
                <c:pt idx="352">
                  <c:v>Fatigue</c:v>
                </c:pt>
                <c:pt idx="353">
                  <c:v>Nausea</c:v>
                </c:pt>
                <c:pt idx="354">
                  <c:v>Dizziness</c:v>
                </c:pt>
                <c:pt idx="355">
                  <c:v>Nausea</c:v>
                </c:pt>
                <c:pt idx="356">
                  <c:v>Dizziness</c:v>
                </c:pt>
                <c:pt idx="357">
                  <c:v>Fatigue</c:v>
                </c:pt>
                <c:pt idx="358">
                  <c:v>Fatigue</c:v>
                </c:pt>
                <c:pt idx="359">
                  <c:v>None</c:v>
                </c:pt>
                <c:pt idx="360">
                  <c:v>Dizziness</c:v>
                </c:pt>
                <c:pt idx="361">
                  <c:v>Fatigue</c:v>
                </c:pt>
                <c:pt idx="362">
                  <c:v>Nausea</c:v>
                </c:pt>
                <c:pt idx="363">
                  <c:v>Fatigue</c:v>
                </c:pt>
                <c:pt idx="364">
                  <c:v>Fatigue</c:v>
                </c:pt>
                <c:pt idx="365">
                  <c:v>Fatigue</c:v>
                </c:pt>
                <c:pt idx="366">
                  <c:v>Fatigue</c:v>
                </c:pt>
                <c:pt idx="367">
                  <c:v>None</c:v>
                </c:pt>
                <c:pt idx="368">
                  <c:v>None</c:v>
                </c:pt>
                <c:pt idx="369">
                  <c:v>Fatigue</c:v>
                </c:pt>
                <c:pt idx="370">
                  <c:v>Dizziness</c:v>
                </c:pt>
                <c:pt idx="371">
                  <c:v>None</c:v>
                </c:pt>
                <c:pt idx="372">
                  <c:v>Nausea</c:v>
                </c:pt>
                <c:pt idx="373">
                  <c:v>Headache</c:v>
                </c:pt>
                <c:pt idx="374">
                  <c:v>Headache</c:v>
                </c:pt>
                <c:pt idx="375">
                  <c:v>Dizziness</c:v>
                </c:pt>
                <c:pt idx="376">
                  <c:v>Fatigue</c:v>
                </c:pt>
                <c:pt idx="377">
                  <c:v>Dizziness</c:v>
                </c:pt>
                <c:pt idx="378">
                  <c:v>Nausea</c:v>
                </c:pt>
                <c:pt idx="379">
                  <c:v>Nausea</c:v>
                </c:pt>
                <c:pt idx="380">
                  <c:v>Headache</c:v>
                </c:pt>
                <c:pt idx="381">
                  <c:v>Nausea</c:v>
                </c:pt>
                <c:pt idx="382">
                  <c:v>None</c:v>
                </c:pt>
                <c:pt idx="383">
                  <c:v>Dizziness</c:v>
                </c:pt>
                <c:pt idx="384">
                  <c:v>Fatigue</c:v>
                </c:pt>
                <c:pt idx="385">
                  <c:v>Headache</c:v>
                </c:pt>
                <c:pt idx="386">
                  <c:v>Fatigue</c:v>
                </c:pt>
                <c:pt idx="387">
                  <c:v>Headache</c:v>
                </c:pt>
                <c:pt idx="388">
                  <c:v>Nausea</c:v>
                </c:pt>
                <c:pt idx="389">
                  <c:v>Fatigue</c:v>
                </c:pt>
                <c:pt idx="390">
                  <c:v>Fatigue</c:v>
                </c:pt>
                <c:pt idx="391">
                  <c:v>Headache</c:v>
                </c:pt>
                <c:pt idx="392">
                  <c:v>Headache</c:v>
                </c:pt>
                <c:pt idx="393">
                  <c:v>Fatigue</c:v>
                </c:pt>
                <c:pt idx="394">
                  <c:v>Headache</c:v>
                </c:pt>
                <c:pt idx="395">
                  <c:v>Dizziness</c:v>
                </c:pt>
                <c:pt idx="396">
                  <c:v>Dizziness</c:v>
                </c:pt>
                <c:pt idx="397">
                  <c:v>None</c:v>
                </c:pt>
                <c:pt idx="398">
                  <c:v>Headache</c:v>
                </c:pt>
                <c:pt idx="399">
                  <c:v>Headache</c:v>
                </c:pt>
                <c:pt idx="400">
                  <c:v>None</c:v>
                </c:pt>
                <c:pt idx="401">
                  <c:v>Fatigue</c:v>
                </c:pt>
                <c:pt idx="402">
                  <c:v>None</c:v>
                </c:pt>
                <c:pt idx="403">
                  <c:v>None</c:v>
                </c:pt>
                <c:pt idx="404">
                  <c:v>Headache</c:v>
                </c:pt>
                <c:pt idx="405">
                  <c:v>None</c:v>
                </c:pt>
                <c:pt idx="406">
                  <c:v>Nausea</c:v>
                </c:pt>
                <c:pt idx="407">
                  <c:v>None</c:v>
                </c:pt>
                <c:pt idx="408">
                  <c:v>Dizziness</c:v>
                </c:pt>
                <c:pt idx="409">
                  <c:v>Fatigue</c:v>
                </c:pt>
                <c:pt idx="410">
                  <c:v>Headache</c:v>
                </c:pt>
                <c:pt idx="411">
                  <c:v>Nausea</c:v>
                </c:pt>
                <c:pt idx="412">
                  <c:v>None</c:v>
                </c:pt>
                <c:pt idx="413">
                  <c:v>Nausea</c:v>
                </c:pt>
                <c:pt idx="414">
                  <c:v>None</c:v>
                </c:pt>
                <c:pt idx="415">
                  <c:v>Headache</c:v>
                </c:pt>
                <c:pt idx="416">
                  <c:v>None</c:v>
                </c:pt>
                <c:pt idx="417">
                  <c:v>None</c:v>
                </c:pt>
                <c:pt idx="418">
                  <c:v>Headache</c:v>
                </c:pt>
                <c:pt idx="419">
                  <c:v>Dizziness</c:v>
                </c:pt>
                <c:pt idx="420">
                  <c:v>Headache</c:v>
                </c:pt>
                <c:pt idx="421">
                  <c:v>Nausea</c:v>
                </c:pt>
                <c:pt idx="422">
                  <c:v>Nausea</c:v>
                </c:pt>
                <c:pt idx="423">
                  <c:v>Fatigue</c:v>
                </c:pt>
                <c:pt idx="424">
                  <c:v>Headache</c:v>
                </c:pt>
                <c:pt idx="425">
                  <c:v>Nausea</c:v>
                </c:pt>
                <c:pt idx="426">
                  <c:v>Headache</c:v>
                </c:pt>
                <c:pt idx="427">
                  <c:v>None</c:v>
                </c:pt>
                <c:pt idx="428">
                  <c:v>Fatigue</c:v>
                </c:pt>
                <c:pt idx="429">
                  <c:v>Nausea</c:v>
                </c:pt>
                <c:pt idx="430">
                  <c:v>Nausea</c:v>
                </c:pt>
                <c:pt idx="431">
                  <c:v>Dizziness</c:v>
                </c:pt>
                <c:pt idx="432">
                  <c:v>Headache</c:v>
                </c:pt>
                <c:pt idx="433">
                  <c:v>Nausea</c:v>
                </c:pt>
                <c:pt idx="434">
                  <c:v>Nausea</c:v>
                </c:pt>
                <c:pt idx="435">
                  <c:v>Nausea</c:v>
                </c:pt>
                <c:pt idx="436">
                  <c:v>Fatigue</c:v>
                </c:pt>
                <c:pt idx="437">
                  <c:v>Headache</c:v>
                </c:pt>
                <c:pt idx="438">
                  <c:v>Headache</c:v>
                </c:pt>
                <c:pt idx="439">
                  <c:v>Fatigue</c:v>
                </c:pt>
                <c:pt idx="440">
                  <c:v>Nausea</c:v>
                </c:pt>
                <c:pt idx="441">
                  <c:v>Fatigue</c:v>
                </c:pt>
                <c:pt idx="442">
                  <c:v>None</c:v>
                </c:pt>
                <c:pt idx="443">
                  <c:v>Dizziness</c:v>
                </c:pt>
                <c:pt idx="444">
                  <c:v>Fatigue</c:v>
                </c:pt>
                <c:pt idx="445">
                  <c:v>Headache</c:v>
                </c:pt>
                <c:pt idx="446">
                  <c:v>Nausea</c:v>
                </c:pt>
                <c:pt idx="447">
                  <c:v>Nausea</c:v>
                </c:pt>
                <c:pt idx="448">
                  <c:v>Nausea</c:v>
                </c:pt>
                <c:pt idx="449">
                  <c:v>Headache</c:v>
                </c:pt>
                <c:pt idx="450">
                  <c:v>None</c:v>
                </c:pt>
                <c:pt idx="451">
                  <c:v>Dizziness</c:v>
                </c:pt>
                <c:pt idx="452">
                  <c:v>Dizziness</c:v>
                </c:pt>
                <c:pt idx="453">
                  <c:v>Fatigue</c:v>
                </c:pt>
                <c:pt idx="454">
                  <c:v>Fatigue</c:v>
                </c:pt>
                <c:pt idx="455">
                  <c:v>Dizziness</c:v>
                </c:pt>
                <c:pt idx="456">
                  <c:v>Headache</c:v>
                </c:pt>
                <c:pt idx="457">
                  <c:v>Fatigue</c:v>
                </c:pt>
                <c:pt idx="458">
                  <c:v>Nausea</c:v>
                </c:pt>
                <c:pt idx="459">
                  <c:v>Nausea</c:v>
                </c:pt>
                <c:pt idx="460">
                  <c:v>Headache</c:v>
                </c:pt>
                <c:pt idx="461">
                  <c:v>Fatigue</c:v>
                </c:pt>
                <c:pt idx="462">
                  <c:v>Nausea</c:v>
                </c:pt>
                <c:pt idx="463">
                  <c:v>Nausea</c:v>
                </c:pt>
                <c:pt idx="464">
                  <c:v>Dizziness</c:v>
                </c:pt>
                <c:pt idx="465">
                  <c:v>Dizziness</c:v>
                </c:pt>
                <c:pt idx="466">
                  <c:v>Nausea</c:v>
                </c:pt>
                <c:pt idx="467">
                  <c:v>Nausea</c:v>
                </c:pt>
                <c:pt idx="468">
                  <c:v>Fatigue</c:v>
                </c:pt>
                <c:pt idx="469">
                  <c:v>Headache</c:v>
                </c:pt>
                <c:pt idx="470">
                  <c:v>Dizziness</c:v>
                </c:pt>
                <c:pt idx="471">
                  <c:v>Fatigue</c:v>
                </c:pt>
                <c:pt idx="472">
                  <c:v>Fatigue</c:v>
                </c:pt>
                <c:pt idx="473">
                  <c:v>Nausea</c:v>
                </c:pt>
                <c:pt idx="474">
                  <c:v>Dizziness</c:v>
                </c:pt>
                <c:pt idx="475">
                  <c:v>Headache</c:v>
                </c:pt>
                <c:pt idx="476">
                  <c:v>Dizziness</c:v>
                </c:pt>
                <c:pt idx="477">
                  <c:v>Headache</c:v>
                </c:pt>
                <c:pt idx="478">
                  <c:v>Dizziness</c:v>
                </c:pt>
                <c:pt idx="479">
                  <c:v>Dizziness</c:v>
                </c:pt>
                <c:pt idx="480">
                  <c:v>Fatigue</c:v>
                </c:pt>
                <c:pt idx="481">
                  <c:v>Nausea</c:v>
                </c:pt>
                <c:pt idx="482">
                  <c:v>Dizziness</c:v>
                </c:pt>
                <c:pt idx="483">
                  <c:v>Headache</c:v>
                </c:pt>
                <c:pt idx="484">
                  <c:v>Headache</c:v>
                </c:pt>
                <c:pt idx="485">
                  <c:v>None</c:v>
                </c:pt>
                <c:pt idx="486">
                  <c:v>Dizziness</c:v>
                </c:pt>
                <c:pt idx="487">
                  <c:v>Headache</c:v>
                </c:pt>
                <c:pt idx="488">
                  <c:v>Headache</c:v>
                </c:pt>
                <c:pt idx="489">
                  <c:v>None</c:v>
                </c:pt>
                <c:pt idx="490">
                  <c:v>Dizziness</c:v>
                </c:pt>
                <c:pt idx="491">
                  <c:v>Fatigue</c:v>
                </c:pt>
                <c:pt idx="492">
                  <c:v>Headache</c:v>
                </c:pt>
                <c:pt idx="493">
                  <c:v>None</c:v>
                </c:pt>
                <c:pt idx="494">
                  <c:v>None</c:v>
                </c:pt>
                <c:pt idx="495">
                  <c:v>Dizziness</c:v>
                </c:pt>
                <c:pt idx="496">
                  <c:v>Dizziness</c:v>
                </c:pt>
                <c:pt idx="497">
                  <c:v>None</c:v>
                </c:pt>
                <c:pt idx="498">
                  <c:v>Nausea</c:v>
                </c:pt>
                <c:pt idx="499">
                  <c:v>None</c:v>
                </c:pt>
                <c:pt idx="500">
                  <c:v>Dizziness</c:v>
                </c:pt>
                <c:pt idx="501">
                  <c:v>Fatigue</c:v>
                </c:pt>
                <c:pt idx="502">
                  <c:v>None</c:v>
                </c:pt>
                <c:pt idx="503">
                  <c:v>Dizziness</c:v>
                </c:pt>
                <c:pt idx="504">
                  <c:v>None</c:v>
                </c:pt>
                <c:pt idx="505">
                  <c:v>Dizziness</c:v>
                </c:pt>
                <c:pt idx="506">
                  <c:v>Headache</c:v>
                </c:pt>
                <c:pt idx="507">
                  <c:v>Fatigue</c:v>
                </c:pt>
                <c:pt idx="508">
                  <c:v>Dizziness</c:v>
                </c:pt>
                <c:pt idx="509">
                  <c:v>Headache</c:v>
                </c:pt>
                <c:pt idx="510">
                  <c:v>Fatigue</c:v>
                </c:pt>
                <c:pt idx="511">
                  <c:v>Nausea</c:v>
                </c:pt>
                <c:pt idx="512">
                  <c:v>Fatigue</c:v>
                </c:pt>
                <c:pt idx="513">
                  <c:v>None</c:v>
                </c:pt>
                <c:pt idx="514">
                  <c:v>Headache</c:v>
                </c:pt>
                <c:pt idx="515">
                  <c:v>None</c:v>
                </c:pt>
                <c:pt idx="516">
                  <c:v>Headache</c:v>
                </c:pt>
                <c:pt idx="517">
                  <c:v>Headache</c:v>
                </c:pt>
                <c:pt idx="518">
                  <c:v>Nausea</c:v>
                </c:pt>
                <c:pt idx="519">
                  <c:v>Headache</c:v>
                </c:pt>
                <c:pt idx="520">
                  <c:v>Dizziness</c:v>
                </c:pt>
                <c:pt idx="521">
                  <c:v>Fatigue</c:v>
                </c:pt>
                <c:pt idx="522">
                  <c:v>Nausea</c:v>
                </c:pt>
                <c:pt idx="523">
                  <c:v>Nausea</c:v>
                </c:pt>
                <c:pt idx="524">
                  <c:v>Fatigue</c:v>
                </c:pt>
                <c:pt idx="525">
                  <c:v>Nausea</c:v>
                </c:pt>
                <c:pt idx="526">
                  <c:v>None</c:v>
                </c:pt>
                <c:pt idx="527">
                  <c:v>Headache</c:v>
                </c:pt>
                <c:pt idx="528">
                  <c:v>Dizziness</c:v>
                </c:pt>
                <c:pt idx="529">
                  <c:v>Fatigue</c:v>
                </c:pt>
                <c:pt idx="530">
                  <c:v>Dizziness</c:v>
                </c:pt>
                <c:pt idx="531">
                  <c:v>Dizziness</c:v>
                </c:pt>
                <c:pt idx="532">
                  <c:v>None</c:v>
                </c:pt>
                <c:pt idx="533">
                  <c:v>None</c:v>
                </c:pt>
                <c:pt idx="534">
                  <c:v>Fatigue</c:v>
                </c:pt>
                <c:pt idx="535">
                  <c:v>Headache</c:v>
                </c:pt>
                <c:pt idx="536">
                  <c:v>Headache</c:v>
                </c:pt>
                <c:pt idx="537">
                  <c:v>Headache</c:v>
                </c:pt>
                <c:pt idx="538">
                  <c:v>Dizziness</c:v>
                </c:pt>
                <c:pt idx="539">
                  <c:v>Headache</c:v>
                </c:pt>
                <c:pt idx="540">
                  <c:v>None</c:v>
                </c:pt>
                <c:pt idx="541">
                  <c:v>Fatigue</c:v>
                </c:pt>
                <c:pt idx="542">
                  <c:v>Headache</c:v>
                </c:pt>
                <c:pt idx="543">
                  <c:v>Nausea</c:v>
                </c:pt>
                <c:pt idx="544">
                  <c:v>Headache</c:v>
                </c:pt>
                <c:pt idx="545">
                  <c:v>Dizziness</c:v>
                </c:pt>
                <c:pt idx="546">
                  <c:v>Nausea</c:v>
                </c:pt>
                <c:pt idx="547">
                  <c:v>Nausea</c:v>
                </c:pt>
                <c:pt idx="548">
                  <c:v>None</c:v>
                </c:pt>
                <c:pt idx="549">
                  <c:v>Headache</c:v>
                </c:pt>
                <c:pt idx="550">
                  <c:v>Dizziness</c:v>
                </c:pt>
                <c:pt idx="551">
                  <c:v>None</c:v>
                </c:pt>
                <c:pt idx="552">
                  <c:v>None</c:v>
                </c:pt>
                <c:pt idx="553">
                  <c:v>None</c:v>
                </c:pt>
                <c:pt idx="554">
                  <c:v>Fatigue</c:v>
                </c:pt>
                <c:pt idx="555">
                  <c:v>Dizziness</c:v>
                </c:pt>
                <c:pt idx="556">
                  <c:v>None</c:v>
                </c:pt>
                <c:pt idx="557">
                  <c:v>Headache</c:v>
                </c:pt>
                <c:pt idx="558">
                  <c:v>Dizziness</c:v>
                </c:pt>
                <c:pt idx="559">
                  <c:v>Dizziness</c:v>
                </c:pt>
                <c:pt idx="560">
                  <c:v>Headache</c:v>
                </c:pt>
                <c:pt idx="561">
                  <c:v>Dizziness</c:v>
                </c:pt>
                <c:pt idx="562">
                  <c:v>Headache</c:v>
                </c:pt>
                <c:pt idx="563">
                  <c:v>None</c:v>
                </c:pt>
                <c:pt idx="564">
                  <c:v>Headache</c:v>
                </c:pt>
                <c:pt idx="565">
                  <c:v>Nausea</c:v>
                </c:pt>
                <c:pt idx="566">
                  <c:v>Nausea</c:v>
                </c:pt>
                <c:pt idx="567">
                  <c:v>Dizziness</c:v>
                </c:pt>
                <c:pt idx="568">
                  <c:v>Nausea</c:v>
                </c:pt>
                <c:pt idx="569">
                  <c:v>Headache</c:v>
                </c:pt>
                <c:pt idx="570">
                  <c:v>Headache</c:v>
                </c:pt>
                <c:pt idx="571">
                  <c:v>Dizziness</c:v>
                </c:pt>
                <c:pt idx="572">
                  <c:v>Headache</c:v>
                </c:pt>
                <c:pt idx="573">
                  <c:v>Nausea</c:v>
                </c:pt>
                <c:pt idx="574">
                  <c:v>Dizziness</c:v>
                </c:pt>
                <c:pt idx="575">
                  <c:v>Nausea</c:v>
                </c:pt>
                <c:pt idx="576">
                  <c:v>Dizziness</c:v>
                </c:pt>
                <c:pt idx="577">
                  <c:v>Dizziness</c:v>
                </c:pt>
                <c:pt idx="578">
                  <c:v>Dizziness</c:v>
                </c:pt>
                <c:pt idx="579">
                  <c:v>None</c:v>
                </c:pt>
                <c:pt idx="580">
                  <c:v>Fatigue</c:v>
                </c:pt>
                <c:pt idx="581">
                  <c:v>Fatigue</c:v>
                </c:pt>
                <c:pt idx="582">
                  <c:v>Headache</c:v>
                </c:pt>
                <c:pt idx="583">
                  <c:v>None</c:v>
                </c:pt>
                <c:pt idx="584">
                  <c:v>Nausea</c:v>
                </c:pt>
                <c:pt idx="585">
                  <c:v>Fatigue</c:v>
                </c:pt>
                <c:pt idx="586">
                  <c:v>Nausea</c:v>
                </c:pt>
                <c:pt idx="587">
                  <c:v>Nausea</c:v>
                </c:pt>
                <c:pt idx="588">
                  <c:v>Fatigue</c:v>
                </c:pt>
                <c:pt idx="589">
                  <c:v>Headache</c:v>
                </c:pt>
                <c:pt idx="590">
                  <c:v>None</c:v>
                </c:pt>
                <c:pt idx="591">
                  <c:v>Fatigue</c:v>
                </c:pt>
                <c:pt idx="592">
                  <c:v>Nausea</c:v>
                </c:pt>
                <c:pt idx="593">
                  <c:v>Fatigue</c:v>
                </c:pt>
                <c:pt idx="594">
                  <c:v>Fatigue</c:v>
                </c:pt>
                <c:pt idx="595">
                  <c:v>Fatigue</c:v>
                </c:pt>
                <c:pt idx="596">
                  <c:v>Headache</c:v>
                </c:pt>
                <c:pt idx="597">
                  <c:v>Dizziness</c:v>
                </c:pt>
                <c:pt idx="598">
                  <c:v>Dizziness</c:v>
                </c:pt>
                <c:pt idx="599">
                  <c:v>Nausea</c:v>
                </c:pt>
                <c:pt idx="600">
                  <c:v>Nausea</c:v>
                </c:pt>
                <c:pt idx="601">
                  <c:v>Dizziness</c:v>
                </c:pt>
                <c:pt idx="602">
                  <c:v>None</c:v>
                </c:pt>
                <c:pt idx="603">
                  <c:v>Nausea</c:v>
                </c:pt>
                <c:pt idx="604">
                  <c:v>None</c:v>
                </c:pt>
                <c:pt idx="605">
                  <c:v>Fatigue</c:v>
                </c:pt>
                <c:pt idx="606">
                  <c:v>Fatigue</c:v>
                </c:pt>
                <c:pt idx="607">
                  <c:v>Dizziness</c:v>
                </c:pt>
                <c:pt idx="608">
                  <c:v>Fatigue</c:v>
                </c:pt>
                <c:pt idx="609">
                  <c:v>Fatigue</c:v>
                </c:pt>
                <c:pt idx="610">
                  <c:v>None</c:v>
                </c:pt>
                <c:pt idx="611">
                  <c:v>Fatigue</c:v>
                </c:pt>
                <c:pt idx="612">
                  <c:v>Headache</c:v>
                </c:pt>
                <c:pt idx="613">
                  <c:v>Headache</c:v>
                </c:pt>
                <c:pt idx="614">
                  <c:v>Fatigue</c:v>
                </c:pt>
                <c:pt idx="615">
                  <c:v>Headache</c:v>
                </c:pt>
                <c:pt idx="616">
                  <c:v>Nausea</c:v>
                </c:pt>
                <c:pt idx="617">
                  <c:v>Fatigue</c:v>
                </c:pt>
                <c:pt idx="618">
                  <c:v>Fatigue</c:v>
                </c:pt>
                <c:pt idx="619">
                  <c:v>Headache</c:v>
                </c:pt>
                <c:pt idx="620">
                  <c:v>None</c:v>
                </c:pt>
                <c:pt idx="621">
                  <c:v>None</c:v>
                </c:pt>
                <c:pt idx="622">
                  <c:v>None</c:v>
                </c:pt>
                <c:pt idx="623">
                  <c:v>Headache</c:v>
                </c:pt>
                <c:pt idx="624">
                  <c:v>None</c:v>
                </c:pt>
                <c:pt idx="625">
                  <c:v>None</c:v>
                </c:pt>
                <c:pt idx="626">
                  <c:v>Dizziness</c:v>
                </c:pt>
                <c:pt idx="627">
                  <c:v>Nausea</c:v>
                </c:pt>
                <c:pt idx="628">
                  <c:v>Headache</c:v>
                </c:pt>
                <c:pt idx="629">
                  <c:v>Nausea</c:v>
                </c:pt>
                <c:pt idx="630">
                  <c:v>Headache</c:v>
                </c:pt>
                <c:pt idx="631">
                  <c:v>Nausea</c:v>
                </c:pt>
                <c:pt idx="632">
                  <c:v>Headache</c:v>
                </c:pt>
                <c:pt idx="633">
                  <c:v>Nausea</c:v>
                </c:pt>
                <c:pt idx="634">
                  <c:v>Nausea</c:v>
                </c:pt>
                <c:pt idx="635">
                  <c:v>Headache</c:v>
                </c:pt>
                <c:pt idx="636">
                  <c:v>Nausea</c:v>
                </c:pt>
                <c:pt idx="637">
                  <c:v>Fatigue</c:v>
                </c:pt>
                <c:pt idx="638">
                  <c:v>Fatigue</c:v>
                </c:pt>
                <c:pt idx="639">
                  <c:v>Headache</c:v>
                </c:pt>
                <c:pt idx="640">
                  <c:v>Headache</c:v>
                </c:pt>
                <c:pt idx="641">
                  <c:v>Dizziness</c:v>
                </c:pt>
                <c:pt idx="642">
                  <c:v>None</c:v>
                </c:pt>
                <c:pt idx="643">
                  <c:v>Fatigue</c:v>
                </c:pt>
                <c:pt idx="644">
                  <c:v>None</c:v>
                </c:pt>
                <c:pt idx="645">
                  <c:v>Nausea</c:v>
                </c:pt>
                <c:pt idx="646">
                  <c:v>Nausea</c:v>
                </c:pt>
                <c:pt idx="647">
                  <c:v>Dizziness</c:v>
                </c:pt>
                <c:pt idx="648">
                  <c:v>None</c:v>
                </c:pt>
                <c:pt idx="649">
                  <c:v>Fatigue</c:v>
                </c:pt>
                <c:pt idx="650">
                  <c:v>None</c:v>
                </c:pt>
                <c:pt idx="651">
                  <c:v>Headache</c:v>
                </c:pt>
                <c:pt idx="652">
                  <c:v>Fatigue</c:v>
                </c:pt>
                <c:pt idx="653">
                  <c:v>Fatigue</c:v>
                </c:pt>
                <c:pt idx="654">
                  <c:v>Nausea</c:v>
                </c:pt>
                <c:pt idx="655">
                  <c:v>Fatigue</c:v>
                </c:pt>
                <c:pt idx="656">
                  <c:v>Dizziness</c:v>
                </c:pt>
                <c:pt idx="657">
                  <c:v>None</c:v>
                </c:pt>
                <c:pt idx="658">
                  <c:v>Nausea</c:v>
                </c:pt>
                <c:pt idx="659">
                  <c:v>Headache</c:v>
                </c:pt>
                <c:pt idx="660">
                  <c:v>Dizziness</c:v>
                </c:pt>
                <c:pt idx="661">
                  <c:v>Headache</c:v>
                </c:pt>
                <c:pt idx="662">
                  <c:v>Nausea</c:v>
                </c:pt>
                <c:pt idx="663">
                  <c:v>Headache</c:v>
                </c:pt>
                <c:pt idx="664">
                  <c:v>None</c:v>
                </c:pt>
                <c:pt idx="665">
                  <c:v>Dizziness</c:v>
                </c:pt>
                <c:pt idx="666">
                  <c:v>None</c:v>
                </c:pt>
                <c:pt idx="667">
                  <c:v>Nausea</c:v>
                </c:pt>
                <c:pt idx="668">
                  <c:v>None</c:v>
                </c:pt>
                <c:pt idx="669">
                  <c:v>Nausea</c:v>
                </c:pt>
                <c:pt idx="670">
                  <c:v>Headache</c:v>
                </c:pt>
                <c:pt idx="671">
                  <c:v>None</c:v>
                </c:pt>
                <c:pt idx="672">
                  <c:v>Nausea</c:v>
                </c:pt>
                <c:pt idx="673">
                  <c:v>Fatigue</c:v>
                </c:pt>
                <c:pt idx="674">
                  <c:v>Dizziness</c:v>
                </c:pt>
                <c:pt idx="675">
                  <c:v>Dizziness</c:v>
                </c:pt>
                <c:pt idx="676">
                  <c:v>Nausea</c:v>
                </c:pt>
                <c:pt idx="677">
                  <c:v>None</c:v>
                </c:pt>
                <c:pt idx="678">
                  <c:v>Fatigue</c:v>
                </c:pt>
                <c:pt idx="679">
                  <c:v>None</c:v>
                </c:pt>
                <c:pt idx="680">
                  <c:v>None</c:v>
                </c:pt>
                <c:pt idx="681">
                  <c:v>Dizziness</c:v>
                </c:pt>
                <c:pt idx="682">
                  <c:v>Dizziness</c:v>
                </c:pt>
                <c:pt idx="683">
                  <c:v>Fatigue</c:v>
                </c:pt>
                <c:pt idx="684">
                  <c:v>Nausea</c:v>
                </c:pt>
                <c:pt idx="685">
                  <c:v>Dizziness</c:v>
                </c:pt>
                <c:pt idx="686">
                  <c:v>None</c:v>
                </c:pt>
                <c:pt idx="687">
                  <c:v>Fatigue</c:v>
                </c:pt>
                <c:pt idx="688">
                  <c:v>Fatigue</c:v>
                </c:pt>
                <c:pt idx="689">
                  <c:v>Fatigue</c:v>
                </c:pt>
                <c:pt idx="690">
                  <c:v>Nausea</c:v>
                </c:pt>
                <c:pt idx="691">
                  <c:v>None</c:v>
                </c:pt>
                <c:pt idx="692">
                  <c:v>Headache</c:v>
                </c:pt>
                <c:pt idx="693">
                  <c:v>Headache</c:v>
                </c:pt>
                <c:pt idx="694">
                  <c:v>Dizziness</c:v>
                </c:pt>
                <c:pt idx="695">
                  <c:v>Dizziness</c:v>
                </c:pt>
                <c:pt idx="696">
                  <c:v>Nausea</c:v>
                </c:pt>
                <c:pt idx="697">
                  <c:v>Dizziness</c:v>
                </c:pt>
                <c:pt idx="698">
                  <c:v>Dizziness</c:v>
                </c:pt>
                <c:pt idx="699">
                  <c:v>Dizziness</c:v>
                </c:pt>
                <c:pt idx="700">
                  <c:v>Nausea</c:v>
                </c:pt>
                <c:pt idx="701">
                  <c:v>Fatigue</c:v>
                </c:pt>
                <c:pt idx="702">
                  <c:v>None</c:v>
                </c:pt>
                <c:pt idx="703">
                  <c:v>Fatigue</c:v>
                </c:pt>
                <c:pt idx="704">
                  <c:v>Fatigue</c:v>
                </c:pt>
                <c:pt idx="705">
                  <c:v>None</c:v>
                </c:pt>
                <c:pt idx="706">
                  <c:v>Nausea</c:v>
                </c:pt>
                <c:pt idx="707">
                  <c:v>None</c:v>
                </c:pt>
                <c:pt idx="708">
                  <c:v>None</c:v>
                </c:pt>
                <c:pt idx="709">
                  <c:v>Headache</c:v>
                </c:pt>
                <c:pt idx="710">
                  <c:v>Nausea</c:v>
                </c:pt>
                <c:pt idx="711">
                  <c:v>Fatigue</c:v>
                </c:pt>
                <c:pt idx="712">
                  <c:v>None</c:v>
                </c:pt>
                <c:pt idx="713">
                  <c:v>Nausea</c:v>
                </c:pt>
                <c:pt idx="714">
                  <c:v>Nausea</c:v>
                </c:pt>
                <c:pt idx="715">
                  <c:v>Nausea</c:v>
                </c:pt>
                <c:pt idx="716">
                  <c:v>Nausea</c:v>
                </c:pt>
                <c:pt idx="717">
                  <c:v>Fatigue</c:v>
                </c:pt>
                <c:pt idx="718">
                  <c:v>Nausea</c:v>
                </c:pt>
                <c:pt idx="719">
                  <c:v>Fatigue</c:v>
                </c:pt>
                <c:pt idx="720">
                  <c:v>Fatigue</c:v>
                </c:pt>
                <c:pt idx="721">
                  <c:v>Nausea</c:v>
                </c:pt>
                <c:pt idx="722">
                  <c:v>Headache</c:v>
                </c:pt>
                <c:pt idx="723">
                  <c:v>Headache</c:v>
                </c:pt>
                <c:pt idx="724">
                  <c:v>Nausea</c:v>
                </c:pt>
                <c:pt idx="725">
                  <c:v>Fatigue</c:v>
                </c:pt>
                <c:pt idx="726">
                  <c:v>Dizziness</c:v>
                </c:pt>
                <c:pt idx="727">
                  <c:v>Dizziness</c:v>
                </c:pt>
                <c:pt idx="728">
                  <c:v>Fatigue</c:v>
                </c:pt>
                <c:pt idx="729">
                  <c:v>None</c:v>
                </c:pt>
                <c:pt idx="730">
                  <c:v>Headache</c:v>
                </c:pt>
                <c:pt idx="731">
                  <c:v>Nausea</c:v>
                </c:pt>
                <c:pt idx="732">
                  <c:v>Dizziness</c:v>
                </c:pt>
                <c:pt idx="733">
                  <c:v>Dizziness</c:v>
                </c:pt>
                <c:pt idx="734">
                  <c:v>Headache</c:v>
                </c:pt>
                <c:pt idx="735">
                  <c:v>Dizziness</c:v>
                </c:pt>
                <c:pt idx="736">
                  <c:v>Dizziness</c:v>
                </c:pt>
                <c:pt idx="737">
                  <c:v>Fatigue</c:v>
                </c:pt>
                <c:pt idx="738">
                  <c:v>Fatigue</c:v>
                </c:pt>
                <c:pt idx="739">
                  <c:v>Dizziness</c:v>
                </c:pt>
                <c:pt idx="740">
                  <c:v>Nausea</c:v>
                </c:pt>
                <c:pt idx="741">
                  <c:v>Dizziness</c:v>
                </c:pt>
                <c:pt idx="742">
                  <c:v>Dizziness</c:v>
                </c:pt>
                <c:pt idx="743">
                  <c:v>Dizziness</c:v>
                </c:pt>
                <c:pt idx="744">
                  <c:v>Dizziness</c:v>
                </c:pt>
                <c:pt idx="745">
                  <c:v>Dizziness</c:v>
                </c:pt>
                <c:pt idx="746">
                  <c:v>None</c:v>
                </c:pt>
                <c:pt idx="747">
                  <c:v>Headache</c:v>
                </c:pt>
                <c:pt idx="748">
                  <c:v>Dizziness</c:v>
                </c:pt>
                <c:pt idx="749">
                  <c:v>Dizziness</c:v>
                </c:pt>
                <c:pt idx="750">
                  <c:v>Headache</c:v>
                </c:pt>
                <c:pt idx="751">
                  <c:v>Nausea</c:v>
                </c:pt>
                <c:pt idx="752">
                  <c:v>Fatigue</c:v>
                </c:pt>
                <c:pt idx="753">
                  <c:v>Headache</c:v>
                </c:pt>
                <c:pt idx="754">
                  <c:v>Fatigue</c:v>
                </c:pt>
                <c:pt idx="755">
                  <c:v>None</c:v>
                </c:pt>
                <c:pt idx="756">
                  <c:v>Headache</c:v>
                </c:pt>
                <c:pt idx="757">
                  <c:v>Nausea</c:v>
                </c:pt>
                <c:pt idx="758">
                  <c:v>Fatigue</c:v>
                </c:pt>
                <c:pt idx="759">
                  <c:v>Headache</c:v>
                </c:pt>
                <c:pt idx="760">
                  <c:v>Fatigue</c:v>
                </c:pt>
                <c:pt idx="761">
                  <c:v>Dizziness</c:v>
                </c:pt>
                <c:pt idx="762">
                  <c:v>Headache</c:v>
                </c:pt>
                <c:pt idx="763">
                  <c:v>Headache</c:v>
                </c:pt>
                <c:pt idx="764">
                  <c:v>Nausea</c:v>
                </c:pt>
                <c:pt idx="765">
                  <c:v>None</c:v>
                </c:pt>
                <c:pt idx="766">
                  <c:v>Dizziness</c:v>
                </c:pt>
                <c:pt idx="767">
                  <c:v>Dizziness</c:v>
                </c:pt>
                <c:pt idx="768">
                  <c:v>Headache</c:v>
                </c:pt>
                <c:pt idx="769">
                  <c:v>Dizziness</c:v>
                </c:pt>
                <c:pt idx="770">
                  <c:v>Nausea</c:v>
                </c:pt>
                <c:pt idx="771">
                  <c:v>Nausea</c:v>
                </c:pt>
                <c:pt idx="772">
                  <c:v>Headache</c:v>
                </c:pt>
                <c:pt idx="773">
                  <c:v>Dizziness</c:v>
                </c:pt>
                <c:pt idx="774">
                  <c:v>Nausea</c:v>
                </c:pt>
                <c:pt idx="775">
                  <c:v>None</c:v>
                </c:pt>
                <c:pt idx="776">
                  <c:v>Nausea</c:v>
                </c:pt>
                <c:pt idx="777">
                  <c:v>Dizziness</c:v>
                </c:pt>
                <c:pt idx="778">
                  <c:v>Fatigue</c:v>
                </c:pt>
                <c:pt idx="779">
                  <c:v>Fatigue</c:v>
                </c:pt>
                <c:pt idx="780">
                  <c:v>Nausea</c:v>
                </c:pt>
                <c:pt idx="781">
                  <c:v>None</c:v>
                </c:pt>
                <c:pt idx="782">
                  <c:v>Headache</c:v>
                </c:pt>
                <c:pt idx="783">
                  <c:v>Dizziness</c:v>
                </c:pt>
                <c:pt idx="784">
                  <c:v>Nausea</c:v>
                </c:pt>
                <c:pt idx="785">
                  <c:v>Dizziness</c:v>
                </c:pt>
                <c:pt idx="786">
                  <c:v>Dizziness</c:v>
                </c:pt>
                <c:pt idx="787">
                  <c:v>Dizziness</c:v>
                </c:pt>
                <c:pt idx="788">
                  <c:v>Nausea</c:v>
                </c:pt>
                <c:pt idx="789">
                  <c:v>Dizziness</c:v>
                </c:pt>
                <c:pt idx="790">
                  <c:v>None</c:v>
                </c:pt>
                <c:pt idx="791">
                  <c:v>Nausea</c:v>
                </c:pt>
                <c:pt idx="792">
                  <c:v>Nausea</c:v>
                </c:pt>
                <c:pt idx="793">
                  <c:v>Nausea</c:v>
                </c:pt>
                <c:pt idx="794">
                  <c:v>None</c:v>
                </c:pt>
                <c:pt idx="795">
                  <c:v>Fatigue</c:v>
                </c:pt>
                <c:pt idx="796">
                  <c:v>Dizziness</c:v>
                </c:pt>
                <c:pt idx="797">
                  <c:v>Dizziness</c:v>
                </c:pt>
                <c:pt idx="798">
                  <c:v>Headache</c:v>
                </c:pt>
                <c:pt idx="799">
                  <c:v>Headache</c:v>
                </c:pt>
                <c:pt idx="800">
                  <c:v>None</c:v>
                </c:pt>
                <c:pt idx="801">
                  <c:v>None</c:v>
                </c:pt>
                <c:pt idx="802">
                  <c:v>Fatigue</c:v>
                </c:pt>
                <c:pt idx="803">
                  <c:v>Headache</c:v>
                </c:pt>
                <c:pt idx="804">
                  <c:v>Nausea</c:v>
                </c:pt>
                <c:pt idx="805">
                  <c:v>Nausea</c:v>
                </c:pt>
                <c:pt idx="806">
                  <c:v>Fatigue</c:v>
                </c:pt>
                <c:pt idx="807">
                  <c:v>Headache</c:v>
                </c:pt>
                <c:pt idx="808">
                  <c:v>Fatigue</c:v>
                </c:pt>
                <c:pt idx="809">
                  <c:v>None</c:v>
                </c:pt>
                <c:pt idx="810">
                  <c:v>Dizziness</c:v>
                </c:pt>
                <c:pt idx="811">
                  <c:v>Fatigue</c:v>
                </c:pt>
                <c:pt idx="812">
                  <c:v>Dizziness</c:v>
                </c:pt>
                <c:pt idx="813">
                  <c:v>Nausea</c:v>
                </c:pt>
                <c:pt idx="814">
                  <c:v>None</c:v>
                </c:pt>
                <c:pt idx="815">
                  <c:v>Fatigue</c:v>
                </c:pt>
                <c:pt idx="816">
                  <c:v>Nausea</c:v>
                </c:pt>
                <c:pt idx="817">
                  <c:v>Nausea</c:v>
                </c:pt>
                <c:pt idx="818">
                  <c:v>Dizziness</c:v>
                </c:pt>
                <c:pt idx="819">
                  <c:v>Headache</c:v>
                </c:pt>
                <c:pt idx="820">
                  <c:v>None</c:v>
                </c:pt>
                <c:pt idx="821">
                  <c:v>Fatigue</c:v>
                </c:pt>
                <c:pt idx="822">
                  <c:v>None</c:v>
                </c:pt>
                <c:pt idx="823">
                  <c:v>Nausea</c:v>
                </c:pt>
                <c:pt idx="824">
                  <c:v>Dizziness</c:v>
                </c:pt>
                <c:pt idx="825">
                  <c:v>Nausea</c:v>
                </c:pt>
                <c:pt idx="826">
                  <c:v>Dizziness</c:v>
                </c:pt>
                <c:pt idx="827">
                  <c:v>Fatigue</c:v>
                </c:pt>
                <c:pt idx="828">
                  <c:v>None</c:v>
                </c:pt>
                <c:pt idx="829">
                  <c:v>Headache</c:v>
                </c:pt>
                <c:pt idx="830">
                  <c:v>None</c:v>
                </c:pt>
                <c:pt idx="831">
                  <c:v>Fatigue</c:v>
                </c:pt>
                <c:pt idx="832">
                  <c:v>Fatigue</c:v>
                </c:pt>
                <c:pt idx="833">
                  <c:v>Fatigue</c:v>
                </c:pt>
                <c:pt idx="834">
                  <c:v>Dizziness</c:v>
                </c:pt>
                <c:pt idx="835">
                  <c:v>Nausea</c:v>
                </c:pt>
                <c:pt idx="836">
                  <c:v>Dizziness</c:v>
                </c:pt>
                <c:pt idx="837">
                  <c:v>Nausea</c:v>
                </c:pt>
                <c:pt idx="838">
                  <c:v>Fatigue</c:v>
                </c:pt>
                <c:pt idx="839">
                  <c:v>Nausea</c:v>
                </c:pt>
                <c:pt idx="840">
                  <c:v>Fatigue</c:v>
                </c:pt>
                <c:pt idx="841">
                  <c:v>Nausea</c:v>
                </c:pt>
                <c:pt idx="842">
                  <c:v>Headache</c:v>
                </c:pt>
                <c:pt idx="843">
                  <c:v>Nausea</c:v>
                </c:pt>
                <c:pt idx="844">
                  <c:v>Dizziness</c:v>
                </c:pt>
                <c:pt idx="845">
                  <c:v>Headache</c:v>
                </c:pt>
                <c:pt idx="846">
                  <c:v>None</c:v>
                </c:pt>
                <c:pt idx="847">
                  <c:v>None</c:v>
                </c:pt>
                <c:pt idx="848">
                  <c:v>Nausea</c:v>
                </c:pt>
                <c:pt idx="849">
                  <c:v>None</c:v>
                </c:pt>
                <c:pt idx="850">
                  <c:v>Fatigue</c:v>
                </c:pt>
                <c:pt idx="851">
                  <c:v>Fatigue</c:v>
                </c:pt>
                <c:pt idx="852">
                  <c:v>Dizziness</c:v>
                </c:pt>
                <c:pt idx="853">
                  <c:v>Nausea</c:v>
                </c:pt>
                <c:pt idx="854">
                  <c:v>None</c:v>
                </c:pt>
                <c:pt idx="855">
                  <c:v>Headache</c:v>
                </c:pt>
                <c:pt idx="856">
                  <c:v>Nausea</c:v>
                </c:pt>
                <c:pt idx="857">
                  <c:v>None</c:v>
                </c:pt>
                <c:pt idx="858">
                  <c:v>Dizziness</c:v>
                </c:pt>
                <c:pt idx="859">
                  <c:v>Fatigue</c:v>
                </c:pt>
                <c:pt idx="860">
                  <c:v>None</c:v>
                </c:pt>
                <c:pt idx="861">
                  <c:v>Headache</c:v>
                </c:pt>
                <c:pt idx="862">
                  <c:v>Fatigue</c:v>
                </c:pt>
                <c:pt idx="863">
                  <c:v>Nausea</c:v>
                </c:pt>
                <c:pt idx="864">
                  <c:v>Headache</c:v>
                </c:pt>
                <c:pt idx="865">
                  <c:v>Fatigue</c:v>
                </c:pt>
                <c:pt idx="866">
                  <c:v>Fatigue</c:v>
                </c:pt>
                <c:pt idx="867">
                  <c:v>Headache</c:v>
                </c:pt>
                <c:pt idx="868">
                  <c:v>Headache</c:v>
                </c:pt>
                <c:pt idx="869">
                  <c:v>None</c:v>
                </c:pt>
                <c:pt idx="870">
                  <c:v>Fatigue</c:v>
                </c:pt>
                <c:pt idx="871">
                  <c:v>Dizziness</c:v>
                </c:pt>
                <c:pt idx="872">
                  <c:v>Nausea</c:v>
                </c:pt>
                <c:pt idx="873">
                  <c:v>Headache</c:v>
                </c:pt>
                <c:pt idx="874">
                  <c:v>Fatigue</c:v>
                </c:pt>
                <c:pt idx="875">
                  <c:v>Dizziness</c:v>
                </c:pt>
                <c:pt idx="876">
                  <c:v>Nausea</c:v>
                </c:pt>
                <c:pt idx="877">
                  <c:v>Dizziness</c:v>
                </c:pt>
                <c:pt idx="878">
                  <c:v>Nausea</c:v>
                </c:pt>
                <c:pt idx="879">
                  <c:v>None</c:v>
                </c:pt>
                <c:pt idx="880">
                  <c:v>Nausea</c:v>
                </c:pt>
                <c:pt idx="881">
                  <c:v>Headache</c:v>
                </c:pt>
                <c:pt idx="882">
                  <c:v>None</c:v>
                </c:pt>
                <c:pt idx="883">
                  <c:v>None</c:v>
                </c:pt>
                <c:pt idx="884">
                  <c:v>Nausea</c:v>
                </c:pt>
                <c:pt idx="885">
                  <c:v>Fatigue</c:v>
                </c:pt>
                <c:pt idx="886">
                  <c:v>Nausea</c:v>
                </c:pt>
                <c:pt idx="887">
                  <c:v>Dizziness</c:v>
                </c:pt>
                <c:pt idx="888">
                  <c:v>Fatigue</c:v>
                </c:pt>
                <c:pt idx="889">
                  <c:v>Headache</c:v>
                </c:pt>
                <c:pt idx="890">
                  <c:v>Nausea</c:v>
                </c:pt>
                <c:pt idx="891">
                  <c:v>Fatigue</c:v>
                </c:pt>
                <c:pt idx="892">
                  <c:v>None</c:v>
                </c:pt>
                <c:pt idx="893">
                  <c:v>None</c:v>
                </c:pt>
                <c:pt idx="894">
                  <c:v>Headache</c:v>
                </c:pt>
                <c:pt idx="895">
                  <c:v>Headache</c:v>
                </c:pt>
                <c:pt idx="896">
                  <c:v>Fatigue</c:v>
                </c:pt>
                <c:pt idx="897">
                  <c:v>Fatigue</c:v>
                </c:pt>
                <c:pt idx="898">
                  <c:v>Nausea</c:v>
                </c:pt>
                <c:pt idx="899">
                  <c:v>Headache</c:v>
                </c:pt>
                <c:pt idx="900">
                  <c:v>Nausea</c:v>
                </c:pt>
                <c:pt idx="901">
                  <c:v>None</c:v>
                </c:pt>
                <c:pt idx="902">
                  <c:v>Headache</c:v>
                </c:pt>
                <c:pt idx="903">
                  <c:v>None</c:v>
                </c:pt>
                <c:pt idx="904">
                  <c:v>Fatigue</c:v>
                </c:pt>
                <c:pt idx="905">
                  <c:v>Nausea</c:v>
                </c:pt>
                <c:pt idx="906">
                  <c:v>Dizziness</c:v>
                </c:pt>
                <c:pt idx="907">
                  <c:v>Dizziness</c:v>
                </c:pt>
                <c:pt idx="908">
                  <c:v>Fatigue</c:v>
                </c:pt>
                <c:pt idx="909">
                  <c:v>Dizziness</c:v>
                </c:pt>
                <c:pt idx="910">
                  <c:v>Headache</c:v>
                </c:pt>
                <c:pt idx="911">
                  <c:v>Fatigue</c:v>
                </c:pt>
                <c:pt idx="912">
                  <c:v>Fatigue</c:v>
                </c:pt>
                <c:pt idx="913">
                  <c:v>Fatigue</c:v>
                </c:pt>
                <c:pt idx="914">
                  <c:v>Nausea</c:v>
                </c:pt>
                <c:pt idx="915">
                  <c:v>Headache</c:v>
                </c:pt>
                <c:pt idx="916">
                  <c:v>Headache</c:v>
                </c:pt>
                <c:pt idx="917">
                  <c:v>Dizziness</c:v>
                </c:pt>
                <c:pt idx="918">
                  <c:v>Dizziness</c:v>
                </c:pt>
                <c:pt idx="919">
                  <c:v>Dizziness</c:v>
                </c:pt>
                <c:pt idx="920">
                  <c:v>Nausea</c:v>
                </c:pt>
                <c:pt idx="921">
                  <c:v>Dizziness</c:v>
                </c:pt>
                <c:pt idx="922">
                  <c:v>Headache</c:v>
                </c:pt>
                <c:pt idx="923">
                  <c:v>Nausea</c:v>
                </c:pt>
                <c:pt idx="924">
                  <c:v>None</c:v>
                </c:pt>
                <c:pt idx="925">
                  <c:v>Nausea</c:v>
                </c:pt>
                <c:pt idx="926">
                  <c:v>Headache</c:v>
                </c:pt>
                <c:pt idx="927">
                  <c:v>Fatigue</c:v>
                </c:pt>
                <c:pt idx="928">
                  <c:v>None</c:v>
                </c:pt>
                <c:pt idx="929">
                  <c:v>Dizziness</c:v>
                </c:pt>
                <c:pt idx="930">
                  <c:v>Dizziness</c:v>
                </c:pt>
                <c:pt idx="931">
                  <c:v>Fatigue</c:v>
                </c:pt>
                <c:pt idx="932">
                  <c:v>Fatigue</c:v>
                </c:pt>
                <c:pt idx="933">
                  <c:v>None</c:v>
                </c:pt>
                <c:pt idx="934">
                  <c:v>None</c:v>
                </c:pt>
                <c:pt idx="935">
                  <c:v>Dizziness</c:v>
                </c:pt>
                <c:pt idx="936">
                  <c:v>Fatigue</c:v>
                </c:pt>
                <c:pt idx="937">
                  <c:v>Dizziness</c:v>
                </c:pt>
                <c:pt idx="938">
                  <c:v>Headache</c:v>
                </c:pt>
                <c:pt idx="939">
                  <c:v>Nausea</c:v>
                </c:pt>
                <c:pt idx="940">
                  <c:v>Nausea</c:v>
                </c:pt>
                <c:pt idx="941">
                  <c:v>Dizziness</c:v>
                </c:pt>
                <c:pt idx="942">
                  <c:v>Fatigue</c:v>
                </c:pt>
                <c:pt idx="943">
                  <c:v>None</c:v>
                </c:pt>
                <c:pt idx="944">
                  <c:v>Nausea</c:v>
                </c:pt>
                <c:pt idx="945">
                  <c:v>None</c:v>
                </c:pt>
                <c:pt idx="946">
                  <c:v>Nausea</c:v>
                </c:pt>
                <c:pt idx="947">
                  <c:v>Dizziness</c:v>
                </c:pt>
                <c:pt idx="948">
                  <c:v>Dizziness</c:v>
                </c:pt>
                <c:pt idx="949">
                  <c:v>Nausea</c:v>
                </c:pt>
                <c:pt idx="950">
                  <c:v>Headache</c:v>
                </c:pt>
                <c:pt idx="951">
                  <c:v>Nausea</c:v>
                </c:pt>
                <c:pt idx="952">
                  <c:v>Headache</c:v>
                </c:pt>
                <c:pt idx="953">
                  <c:v>Nausea</c:v>
                </c:pt>
                <c:pt idx="954">
                  <c:v>None</c:v>
                </c:pt>
                <c:pt idx="955">
                  <c:v>Headache</c:v>
                </c:pt>
                <c:pt idx="956">
                  <c:v>Headache</c:v>
                </c:pt>
                <c:pt idx="957">
                  <c:v>Fatigue</c:v>
                </c:pt>
                <c:pt idx="958">
                  <c:v>Nausea</c:v>
                </c:pt>
                <c:pt idx="959">
                  <c:v>Headache</c:v>
                </c:pt>
                <c:pt idx="960">
                  <c:v>Fatigue</c:v>
                </c:pt>
                <c:pt idx="961">
                  <c:v>Fatigue</c:v>
                </c:pt>
                <c:pt idx="962">
                  <c:v>Headache</c:v>
                </c:pt>
                <c:pt idx="963">
                  <c:v>None</c:v>
                </c:pt>
                <c:pt idx="964">
                  <c:v>Nausea</c:v>
                </c:pt>
                <c:pt idx="965">
                  <c:v>Fatigue</c:v>
                </c:pt>
                <c:pt idx="966">
                  <c:v>Headache</c:v>
                </c:pt>
                <c:pt idx="967">
                  <c:v>Headache</c:v>
                </c:pt>
                <c:pt idx="968">
                  <c:v>None</c:v>
                </c:pt>
                <c:pt idx="969">
                  <c:v>Fatigue</c:v>
                </c:pt>
                <c:pt idx="970">
                  <c:v>Dizziness</c:v>
                </c:pt>
                <c:pt idx="971">
                  <c:v>Nausea</c:v>
                </c:pt>
                <c:pt idx="972">
                  <c:v>Dizziness</c:v>
                </c:pt>
                <c:pt idx="973">
                  <c:v>Dizziness</c:v>
                </c:pt>
                <c:pt idx="974">
                  <c:v>Headache</c:v>
                </c:pt>
                <c:pt idx="975">
                  <c:v>Fatigue</c:v>
                </c:pt>
                <c:pt idx="976">
                  <c:v>Fatigue</c:v>
                </c:pt>
                <c:pt idx="977">
                  <c:v>Fatigue</c:v>
                </c:pt>
                <c:pt idx="978">
                  <c:v>Nausea</c:v>
                </c:pt>
                <c:pt idx="979">
                  <c:v>Headache</c:v>
                </c:pt>
                <c:pt idx="980">
                  <c:v>Dizziness</c:v>
                </c:pt>
                <c:pt idx="981">
                  <c:v>None</c:v>
                </c:pt>
                <c:pt idx="982">
                  <c:v>Headache</c:v>
                </c:pt>
                <c:pt idx="983">
                  <c:v>Nausea</c:v>
                </c:pt>
                <c:pt idx="984">
                  <c:v>Headache</c:v>
                </c:pt>
                <c:pt idx="985">
                  <c:v>Nausea</c:v>
                </c:pt>
                <c:pt idx="986">
                  <c:v>Dizziness</c:v>
                </c:pt>
                <c:pt idx="987">
                  <c:v>Dizziness</c:v>
                </c:pt>
                <c:pt idx="988">
                  <c:v>Headache</c:v>
                </c:pt>
                <c:pt idx="989">
                  <c:v>Nausea</c:v>
                </c:pt>
                <c:pt idx="990">
                  <c:v>Nausea</c:v>
                </c:pt>
                <c:pt idx="991">
                  <c:v>Fatigue</c:v>
                </c:pt>
                <c:pt idx="992">
                  <c:v>Nausea</c:v>
                </c:pt>
                <c:pt idx="993">
                  <c:v>Headache</c:v>
                </c:pt>
                <c:pt idx="994">
                  <c:v>Headache</c:v>
                </c:pt>
                <c:pt idx="995">
                  <c:v>Nausea</c:v>
                </c:pt>
                <c:pt idx="996">
                  <c:v>None</c:v>
                </c:pt>
                <c:pt idx="997">
                  <c:v>Headache</c:v>
                </c:pt>
                <c:pt idx="998">
                  <c:v>Headache</c:v>
                </c:pt>
              </c:strCache>
            </c:strRef>
          </c:xVal>
          <c:yVal>
            <c:numRef>
              <c:f>'ML4'!$B$1001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9299214"/>
        <c:axId val="378150706"/>
      </c:scatterChart>
      <c:valAx>
        <c:axId val="9592992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150706"/>
        <c:crosses val="autoZero"/>
        <c:crossBetween val="midCat"/>
      </c:valAx>
      <c:valAx>
        <c:axId val="3781507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2992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251610-9f3e-4599-9bf5-045f11d61a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'ML9'!$B$4</c:f>
              <c:strCache>
                <c:ptCount val="1"/>
                <c:pt idx="0">
                  <c:v>Survival_Rate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xVal>
            <c:numRef>
              <c:f>'ML9'!$A$5:$A$1004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3">
                  <c:v>3.2</c:v>
                </c:pt>
                <c:pt idx="14">
                  <c:v>3.3</c:v>
                </c:pt>
                <c:pt idx="15">
                  <c:v>3.3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3.7</c:v>
                </c:pt>
                <c:pt idx="36">
                  <c:v>3.7</c:v>
                </c:pt>
                <c:pt idx="37">
                  <c:v>3.7</c:v>
                </c:pt>
                <c:pt idx="38">
                  <c:v>3.7</c:v>
                </c:pt>
                <c:pt idx="39">
                  <c:v>3.7</c:v>
                </c:pt>
                <c:pt idx="40">
                  <c:v>3.7</c:v>
                </c:pt>
                <c:pt idx="41">
                  <c:v>3.7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3.8</c:v>
                </c:pt>
                <c:pt idx="46">
                  <c:v>3.8</c:v>
                </c:pt>
                <c:pt idx="47">
                  <c:v>3.8</c:v>
                </c:pt>
                <c:pt idx="48">
                  <c:v>3.8</c:v>
                </c:pt>
                <c:pt idx="49">
                  <c:v>3.8</c:v>
                </c:pt>
                <c:pt idx="50">
                  <c:v>3.8</c:v>
                </c:pt>
                <c:pt idx="51">
                  <c:v>3.8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3.9</c:v>
                </c:pt>
                <c:pt idx="57">
                  <c:v>3.9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4.1</c:v>
                </c:pt>
                <c:pt idx="66">
                  <c:v>4.1</c:v>
                </c:pt>
                <c:pt idx="67">
                  <c:v>4.1</c:v>
                </c:pt>
                <c:pt idx="68">
                  <c:v>4.1</c:v>
                </c:pt>
                <c:pt idx="69">
                  <c:v>4.1</c:v>
                </c:pt>
                <c:pt idx="70">
                  <c:v>4.1</c:v>
                </c:pt>
                <c:pt idx="71">
                  <c:v>4.1</c:v>
                </c:pt>
                <c:pt idx="72">
                  <c:v>4.1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4.2</c:v>
                </c:pt>
                <c:pt idx="77">
                  <c:v>4.2</c:v>
                </c:pt>
                <c:pt idx="78">
                  <c:v>4.2</c:v>
                </c:pt>
                <c:pt idx="79">
                  <c:v>4.2</c:v>
                </c:pt>
                <c:pt idx="80">
                  <c:v>4.2</c:v>
                </c:pt>
                <c:pt idx="81">
                  <c:v>4.2</c:v>
                </c:pt>
                <c:pt idx="82">
                  <c:v>4.2</c:v>
                </c:pt>
                <c:pt idx="83">
                  <c:v>4.2</c:v>
                </c:pt>
                <c:pt idx="84">
                  <c:v>4.3</c:v>
                </c:pt>
                <c:pt idx="85">
                  <c:v>4.3</c:v>
                </c:pt>
                <c:pt idx="86">
                  <c:v>4.3</c:v>
                </c:pt>
                <c:pt idx="87">
                  <c:v>4.3</c:v>
                </c:pt>
                <c:pt idx="88">
                  <c:v>4.4</c:v>
                </c:pt>
                <c:pt idx="89">
                  <c:v>4.4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4.6</c:v>
                </c:pt>
                <c:pt idx="96">
                  <c:v>4.6</c:v>
                </c:pt>
                <c:pt idx="97">
                  <c:v>4.7</c:v>
                </c:pt>
                <c:pt idx="98">
                  <c:v>4.7</c:v>
                </c:pt>
                <c:pt idx="99">
                  <c:v>4.7</c:v>
                </c:pt>
                <c:pt idx="100">
                  <c:v>4.7</c:v>
                </c:pt>
                <c:pt idx="101">
                  <c:v>4.7</c:v>
                </c:pt>
                <c:pt idx="102">
                  <c:v>4.7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4.9</c:v>
                </c:pt>
                <c:pt idx="108">
                  <c:v>4.9</c:v>
                </c:pt>
                <c:pt idx="109">
                  <c:v>4.9</c:v>
                </c:pt>
                <c:pt idx="110">
                  <c:v>4.9</c:v>
                </c:pt>
                <c:pt idx="111">
                  <c:v>4.9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5.1</c:v>
                </c:pt>
                <c:pt idx="119">
                  <c:v>5.1</c:v>
                </c:pt>
                <c:pt idx="120">
                  <c:v>5.1</c:v>
                </c:pt>
                <c:pt idx="121">
                  <c:v>5.2</c:v>
                </c:pt>
                <c:pt idx="122">
                  <c:v>5.2</c:v>
                </c:pt>
                <c:pt idx="123">
                  <c:v>5.2</c:v>
                </c:pt>
                <c:pt idx="124">
                  <c:v>5.2</c:v>
                </c:pt>
                <c:pt idx="125">
                  <c:v>5.2</c:v>
                </c:pt>
                <c:pt idx="126">
                  <c:v>5.2</c:v>
                </c:pt>
                <c:pt idx="127">
                  <c:v>5.2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5.3</c:v>
                </c:pt>
                <c:pt idx="132">
                  <c:v>5.3</c:v>
                </c:pt>
                <c:pt idx="133">
                  <c:v>5.3</c:v>
                </c:pt>
                <c:pt idx="134">
                  <c:v>5.3</c:v>
                </c:pt>
                <c:pt idx="135">
                  <c:v>5.4</c:v>
                </c:pt>
                <c:pt idx="136">
                  <c:v>5.4</c:v>
                </c:pt>
                <c:pt idx="137">
                  <c:v>5.4</c:v>
                </c:pt>
                <c:pt idx="138">
                  <c:v>5.4</c:v>
                </c:pt>
                <c:pt idx="139">
                  <c:v>5.4</c:v>
                </c:pt>
                <c:pt idx="140">
                  <c:v>5.4</c:v>
                </c:pt>
                <c:pt idx="141">
                  <c:v>5.4</c:v>
                </c:pt>
                <c:pt idx="142">
                  <c:v>5.5</c:v>
                </c:pt>
                <c:pt idx="143">
                  <c:v>5.5</c:v>
                </c:pt>
                <c:pt idx="144">
                  <c:v>5.5</c:v>
                </c:pt>
                <c:pt idx="145">
                  <c:v>5.5</c:v>
                </c:pt>
                <c:pt idx="146">
                  <c:v>5.6</c:v>
                </c:pt>
                <c:pt idx="147">
                  <c:v>5.6</c:v>
                </c:pt>
                <c:pt idx="148">
                  <c:v>5.6</c:v>
                </c:pt>
                <c:pt idx="149">
                  <c:v>5.6</c:v>
                </c:pt>
                <c:pt idx="150">
                  <c:v>5.6</c:v>
                </c:pt>
                <c:pt idx="151">
                  <c:v>5.6</c:v>
                </c:pt>
                <c:pt idx="152">
                  <c:v>5.7</c:v>
                </c:pt>
                <c:pt idx="153">
                  <c:v>5.7</c:v>
                </c:pt>
                <c:pt idx="154">
                  <c:v>5.7</c:v>
                </c:pt>
                <c:pt idx="155">
                  <c:v>5.7</c:v>
                </c:pt>
                <c:pt idx="156">
                  <c:v>5.7</c:v>
                </c:pt>
                <c:pt idx="157">
                  <c:v>5.8</c:v>
                </c:pt>
                <c:pt idx="158">
                  <c:v>5.8</c:v>
                </c:pt>
                <c:pt idx="159">
                  <c:v>5.8</c:v>
                </c:pt>
                <c:pt idx="160">
                  <c:v>5.8</c:v>
                </c:pt>
                <c:pt idx="161">
                  <c:v>5.8</c:v>
                </c:pt>
                <c:pt idx="162">
                  <c:v>5.8</c:v>
                </c:pt>
                <c:pt idx="163">
                  <c:v>5.9</c:v>
                </c:pt>
                <c:pt idx="164">
                  <c:v>5.9</c:v>
                </c:pt>
                <c:pt idx="165">
                  <c:v>5.9</c:v>
                </c:pt>
                <c:pt idx="166">
                  <c:v>5.9</c:v>
                </c:pt>
                <c:pt idx="167">
                  <c:v>5.9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6.1</c:v>
                </c:pt>
                <c:pt idx="175">
                  <c:v>6.1</c:v>
                </c:pt>
                <c:pt idx="176">
                  <c:v>6.1</c:v>
                </c:pt>
                <c:pt idx="177">
                  <c:v>6.1</c:v>
                </c:pt>
                <c:pt idx="178">
                  <c:v>6.1</c:v>
                </c:pt>
                <c:pt idx="179">
                  <c:v>6.2</c:v>
                </c:pt>
                <c:pt idx="180">
                  <c:v>6.2</c:v>
                </c:pt>
                <c:pt idx="181">
                  <c:v>6.2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6.3</c:v>
                </c:pt>
                <c:pt idx="187">
                  <c:v>6.3</c:v>
                </c:pt>
                <c:pt idx="188">
                  <c:v>6.3</c:v>
                </c:pt>
                <c:pt idx="189">
                  <c:v>6.3</c:v>
                </c:pt>
                <c:pt idx="190">
                  <c:v>6.3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6.6</c:v>
                </c:pt>
                <c:pt idx="202">
                  <c:v>6.6</c:v>
                </c:pt>
                <c:pt idx="203">
                  <c:v>6.6</c:v>
                </c:pt>
                <c:pt idx="204">
                  <c:v>6.6</c:v>
                </c:pt>
                <c:pt idx="205">
                  <c:v>6.6</c:v>
                </c:pt>
                <c:pt idx="206">
                  <c:v>6.7</c:v>
                </c:pt>
                <c:pt idx="207">
                  <c:v>6.7</c:v>
                </c:pt>
                <c:pt idx="208">
                  <c:v>6.7</c:v>
                </c:pt>
                <c:pt idx="209">
                  <c:v>6.7</c:v>
                </c:pt>
                <c:pt idx="210">
                  <c:v>6.7</c:v>
                </c:pt>
                <c:pt idx="211">
                  <c:v>6.7</c:v>
                </c:pt>
                <c:pt idx="212">
                  <c:v>6.7</c:v>
                </c:pt>
                <c:pt idx="213">
                  <c:v>6.8</c:v>
                </c:pt>
                <c:pt idx="214">
                  <c:v>6.8</c:v>
                </c:pt>
                <c:pt idx="215">
                  <c:v>6.8</c:v>
                </c:pt>
                <c:pt idx="216">
                  <c:v>6.8</c:v>
                </c:pt>
                <c:pt idx="217">
                  <c:v>6.8</c:v>
                </c:pt>
                <c:pt idx="218">
                  <c:v>6.8</c:v>
                </c:pt>
                <c:pt idx="219">
                  <c:v>6.8</c:v>
                </c:pt>
                <c:pt idx="220">
                  <c:v>6.8</c:v>
                </c:pt>
                <c:pt idx="221">
                  <c:v>6.9</c:v>
                </c:pt>
                <c:pt idx="222">
                  <c:v>6.9</c:v>
                </c:pt>
                <c:pt idx="223">
                  <c:v>6.9</c:v>
                </c:pt>
                <c:pt idx="224">
                  <c:v>6.9</c:v>
                </c:pt>
                <c:pt idx="225">
                  <c:v>6.9</c:v>
                </c:pt>
                <c:pt idx="226">
                  <c:v>6.9</c:v>
                </c:pt>
                <c:pt idx="227">
                  <c:v>6.9</c:v>
                </c:pt>
                <c:pt idx="228">
                  <c:v>6.9</c:v>
                </c:pt>
                <c:pt idx="229">
                  <c:v>6.9</c:v>
                </c:pt>
                <c:pt idx="230">
                  <c:v>6.9</c:v>
                </c:pt>
                <c:pt idx="231">
                  <c:v>6.9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7.1</c:v>
                </c:pt>
                <c:pt idx="238">
                  <c:v>7.1</c:v>
                </c:pt>
                <c:pt idx="239">
                  <c:v>7.1</c:v>
                </c:pt>
                <c:pt idx="240">
                  <c:v>7.1</c:v>
                </c:pt>
                <c:pt idx="241">
                  <c:v>7.1</c:v>
                </c:pt>
                <c:pt idx="242">
                  <c:v>7.1</c:v>
                </c:pt>
                <c:pt idx="243">
                  <c:v>7.2</c:v>
                </c:pt>
                <c:pt idx="244">
                  <c:v>7.2</c:v>
                </c:pt>
                <c:pt idx="245">
                  <c:v>7.2</c:v>
                </c:pt>
                <c:pt idx="246">
                  <c:v>7.2</c:v>
                </c:pt>
                <c:pt idx="247">
                  <c:v>7.3</c:v>
                </c:pt>
                <c:pt idx="248">
                  <c:v>7.3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</c:v>
                </c:pt>
                <c:pt idx="254">
                  <c:v>7.4</c:v>
                </c:pt>
                <c:pt idx="255">
                  <c:v>7.4</c:v>
                </c:pt>
                <c:pt idx="256">
                  <c:v>7.4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7.6</c:v>
                </c:pt>
                <c:pt idx="268">
                  <c:v>7.6</c:v>
                </c:pt>
                <c:pt idx="269">
                  <c:v>7.6</c:v>
                </c:pt>
                <c:pt idx="270">
                  <c:v>7.7</c:v>
                </c:pt>
                <c:pt idx="271">
                  <c:v>7.7</c:v>
                </c:pt>
                <c:pt idx="272">
                  <c:v>7.7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7.9</c:v>
                </c:pt>
                <c:pt idx="279">
                  <c:v>7.9</c:v>
                </c:pt>
                <c:pt idx="280">
                  <c:v>7.9</c:v>
                </c:pt>
                <c:pt idx="281">
                  <c:v>7.9</c:v>
                </c:pt>
                <c:pt idx="282">
                  <c:v>7.9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8.1</c:v>
                </c:pt>
                <c:pt idx="289">
                  <c:v>8.1</c:v>
                </c:pt>
                <c:pt idx="290">
                  <c:v>8.1</c:v>
                </c:pt>
                <c:pt idx="291">
                  <c:v>8.1</c:v>
                </c:pt>
                <c:pt idx="292">
                  <c:v>8.1</c:v>
                </c:pt>
                <c:pt idx="293">
                  <c:v>8.2</c:v>
                </c:pt>
                <c:pt idx="294">
                  <c:v>8.2</c:v>
                </c:pt>
                <c:pt idx="295">
                  <c:v>8.2</c:v>
                </c:pt>
                <c:pt idx="296">
                  <c:v>8.2</c:v>
                </c:pt>
                <c:pt idx="297">
                  <c:v>8.2</c:v>
                </c:pt>
                <c:pt idx="298">
                  <c:v>8.3</c:v>
                </c:pt>
                <c:pt idx="299">
                  <c:v>8.3</c:v>
                </c:pt>
                <c:pt idx="300">
                  <c:v>8.4</c:v>
                </c:pt>
                <c:pt idx="301">
                  <c:v>8.4</c:v>
                </c:pt>
                <c:pt idx="302">
                  <c:v>8.4</c:v>
                </c:pt>
                <c:pt idx="303">
                  <c:v>8.4</c:v>
                </c:pt>
                <c:pt idx="304">
                  <c:v>8.4</c:v>
                </c:pt>
                <c:pt idx="305">
                  <c:v>8.4</c:v>
                </c:pt>
                <c:pt idx="306">
                  <c:v>8.5</c:v>
                </c:pt>
                <c:pt idx="307">
                  <c:v>8.5</c:v>
                </c:pt>
                <c:pt idx="308">
                  <c:v>8.5</c:v>
                </c:pt>
                <c:pt idx="309">
                  <c:v>8.5</c:v>
                </c:pt>
                <c:pt idx="310">
                  <c:v>8.5</c:v>
                </c:pt>
                <c:pt idx="311">
                  <c:v>8.5</c:v>
                </c:pt>
                <c:pt idx="312">
                  <c:v>8.6</c:v>
                </c:pt>
                <c:pt idx="313">
                  <c:v>8.6</c:v>
                </c:pt>
                <c:pt idx="314">
                  <c:v>8.6</c:v>
                </c:pt>
                <c:pt idx="315">
                  <c:v>8.6</c:v>
                </c:pt>
                <c:pt idx="316">
                  <c:v>8.6</c:v>
                </c:pt>
                <c:pt idx="317">
                  <c:v>8.7</c:v>
                </c:pt>
                <c:pt idx="318">
                  <c:v>8.7</c:v>
                </c:pt>
                <c:pt idx="319">
                  <c:v>8.7</c:v>
                </c:pt>
                <c:pt idx="320">
                  <c:v>8.7</c:v>
                </c:pt>
                <c:pt idx="321">
                  <c:v>8.7</c:v>
                </c:pt>
                <c:pt idx="322">
                  <c:v>8.7</c:v>
                </c:pt>
                <c:pt idx="323">
                  <c:v>8.8</c:v>
                </c:pt>
                <c:pt idx="324">
                  <c:v>8.8</c:v>
                </c:pt>
                <c:pt idx="325">
                  <c:v>8.8</c:v>
                </c:pt>
                <c:pt idx="326">
                  <c:v>8.8</c:v>
                </c:pt>
                <c:pt idx="327">
                  <c:v>8.9</c:v>
                </c:pt>
                <c:pt idx="328">
                  <c:v>8.9</c:v>
                </c:pt>
                <c:pt idx="329">
                  <c:v>8.9</c:v>
                </c:pt>
                <c:pt idx="330">
                  <c:v>8.9</c:v>
                </c:pt>
                <c:pt idx="331">
                  <c:v>8.9</c:v>
                </c:pt>
                <c:pt idx="332">
                  <c:v>8.9</c:v>
                </c:pt>
                <c:pt idx="333">
                  <c:v>8.9</c:v>
                </c:pt>
                <c:pt idx="334">
                  <c:v>8.9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9.1</c:v>
                </c:pt>
                <c:pt idx="340">
                  <c:v>9.1</c:v>
                </c:pt>
                <c:pt idx="341">
                  <c:v>9.1</c:v>
                </c:pt>
                <c:pt idx="342">
                  <c:v>9.1</c:v>
                </c:pt>
                <c:pt idx="343">
                  <c:v>9.1</c:v>
                </c:pt>
                <c:pt idx="344">
                  <c:v>9.1</c:v>
                </c:pt>
                <c:pt idx="345">
                  <c:v>9.2</c:v>
                </c:pt>
                <c:pt idx="346">
                  <c:v>9.2</c:v>
                </c:pt>
                <c:pt idx="347">
                  <c:v>9.3</c:v>
                </c:pt>
                <c:pt idx="348">
                  <c:v>9.3</c:v>
                </c:pt>
                <c:pt idx="349">
                  <c:v>9.3</c:v>
                </c:pt>
                <c:pt idx="350">
                  <c:v>9.3</c:v>
                </c:pt>
                <c:pt idx="351">
                  <c:v>9.4</c:v>
                </c:pt>
                <c:pt idx="352">
                  <c:v>9.4</c:v>
                </c:pt>
                <c:pt idx="353">
                  <c:v>9.4</c:v>
                </c:pt>
                <c:pt idx="354">
                  <c:v>9.4</c:v>
                </c:pt>
                <c:pt idx="355">
                  <c:v>9.4</c:v>
                </c:pt>
                <c:pt idx="356">
                  <c:v>9.5</c:v>
                </c:pt>
                <c:pt idx="357">
                  <c:v>9.5</c:v>
                </c:pt>
                <c:pt idx="358">
                  <c:v>9.5</c:v>
                </c:pt>
                <c:pt idx="359">
                  <c:v>9.5</c:v>
                </c:pt>
                <c:pt idx="360">
                  <c:v>9.5</c:v>
                </c:pt>
                <c:pt idx="361">
                  <c:v>9.5</c:v>
                </c:pt>
                <c:pt idx="362">
                  <c:v>9.5</c:v>
                </c:pt>
                <c:pt idx="363">
                  <c:v>9.5</c:v>
                </c:pt>
                <c:pt idx="364">
                  <c:v>9.6</c:v>
                </c:pt>
                <c:pt idx="365">
                  <c:v>9.6</c:v>
                </c:pt>
                <c:pt idx="366">
                  <c:v>9.6</c:v>
                </c:pt>
                <c:pt idx="367">
                  <c:v>9.6</c:v>
                </c:pt>
                <c:pt idx="368">
                  <c:v>9.7</c:v>
                </c:pt>
                <c:pt idx="369">
                  <c:v>9.7</c:v>
                </c:pt>
                <c:pt idx="370">
                  <c:v>9.7</c:v>
                </c:pt>
                <c:pt idx="371">
                  <c:v>9.7</c:v>
                </c:pt>
                <c:pt idx="372">
                  <c:v>9.7</c:v>
                </c:pt>
                <c:pt idx="373">
                  <c:v>9.7</c:v>
                </c:pt>
                <c:pt idx="374">
                  <c:v>9.7</c:v>
                </c:pt>
                <c:pt idx="375">
                  <c:v>9.7</c:v>
                </c:pt>
                <c:pt idx="376">
                  <c:v>9.8</c:v>
                </c:pt>
                <c:pt idx="377">
                  <c:v>9.8</c:v>
                </c:pt>
                <c:pt idx="378">
                  <c:v>9.8</c:v>
                </c:pt>
                <c:pt idx="379">
                  <c:v>9.8</c:v>
                </c:pt>
                <c:pt idx="380">
                  <c:v>9.8</c:v>
                </c:pt>
                <c:pt idx="381">
                  <c:v>9.8</c:v>
                </c:pt>
                <c:pt idx="382">
                  <c:v>9.8</c:v>
                </c:pt>
                <c:pt idx="383">
                  <c:v>9.8</c:v>
                </c:pt>
                <c:pt idx="384">
                  <c:v>9.8</c:v>
                </c:pt>
                <c:pt idx="385">
                  <c:v>9.8</c:v>
                </c:pt>
                <c:pt idx="386">
                  <c:v>9.9</c:v>
                </c:pt>
                <c:pt idx="387">
                  <c:v>9.9</c:v>
                </c:pt>
                <c:pt idx="388">
                  <c:v>9.9</c:v>
                </c:pt>
                <c:pt idx="389">
                  <c:v>9.9</c:v>
                </c:pt>
                <c:pt idx="390">
                  <c:v>9.9</c:v>
                </c:pt>
                <c:pt idx="391">
                  <c:v>9.9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10.1</c:v>
                </c:pt>
                <c:pt idx="404">
                  <c:v>10.1</c:v>
                </c:pt>
                <c:pt idx="405">
                  <c:v>10.1</c:v>
                </c:pt>
                <c:pt idx="406">
                  <c:v>10.1</c:v>
                </c:pt>
                <c:pt idx="407">
                  <c:v>10.1</c:v>
                </c:pt>
                <c:pt idx="408">
                  <c:v>10.1</c:v>
                </c:pt>
                <c:pt idx="409">
                  <c:v>10.1</c:v>
                </c:pt>
                <c:pt idx="410">
                  <c:v>10.1</c:v>
                </c:pt>
                <c:pt idx="411">
                  <c:v>10.1</c:v>
                </c:pt>
                <c:pt idx="412">
                  <c:v>10.2</c:v>
                </c:pt>
                <c:pt idx="413">
                  <c:v>10.2</c:v>
                </c:pt>
                <c:pt idx="414">
                  <c:v>10.2</c:v>
                </c:pt>
                <c:pt idx="415">
                  <c:v>10.2</c:v>
                </c:pt>
                <c:pt idx="416">
                  <c:v>10.2</c:v>
                </c:pt>
                <c:pt idx="417">
                  <c:v>10.2</c:v>
                </c:pt>
                <c:pt idx="418">
                  <c:v>10.3</c:v>
                </c:pt>
                <c:pt idx="419">
                  <c:v>10.3</c:v>
                </c:pt>
                <c:pt idx="420">
                  <c:v>10.3</c:v>
                </c:pt>
                <c:pt idx="421">
                  <c:v>10.3</c:v>
                </c:pt>
                <c:pt idx="422">
                  <c:v>10.3</c:v>
                </c:pt>
                <c:pt idx="423">
                  <c:v>10.3</c:v>
                </c:pt>
                <c:pt idx="424">
                  <c:v>10.3</c:v>
                </c:pt>
                <c:pt idx="425">
                  <c:v>10.4</c:v>
                </c:pt>
                <c:pt idx="426">
                  <c:v>10.4</c:v>
                </c:pt>
                <c:pt idx="427">
                  <c:v>10.4</c:v>
                </c:pt>
                <c:pt idx="428">
                  <c:v>10.4</c:v>
                </c:pt>
                <c:pt idx="429">
                  <c:v>10.4</c:v>
                </c:pt>
                <c:pt idx="430">
                  <c:v>10.4</c:v>
                </c:pt>
                <c:pt idx="431">
                  <c:v>10.4</c:v>
                </c:pt>
                <c:pt idx="432">
                  <c:v>10.4</c:v>
                </c:pt>
                <c:pt idx="433">
                  <c:v>10.5</c:v>
                </c:pt>
                <c:pt idx="434">
                  <c:v>10.5</c:v>
                </c:pt>
                <c:pt idx="435">
                  <c:v>10.5</c:v>
                </c:pt>
                <c:pt idx="436">
                  <c:v>10.5</c:v>
                </c:pt>
                <c:pt idx="437">
                  <c:v>10.5</c:v>
                </c:pt>
                <c:pt idx="438">
                  <c:v>10.6</c:v>
                </c:pt>
                <c:pt idx="439">
                  <c:v>10.6</c:v>
                </c:pt>
                <c:pt idx="440">
                  <c:v>10.6</c:v>
                </c:pt>
                <c:pt idx="441">
                  <c:v>10.6</c:v>
                </c:pt>
                <c:pt idx="442">
                  <c:v>10.6</c:v>
                </c:pt>
                <c:pt idx="443">
                  <c:v>10.6</c:v>
                </c:pt>
                <c:pt idx="444">
                  <c:v>10.6</c:v>
                </c:pt>
                <c:pt idx="445">
                  <c:v>10.7</c:v>
                </c:pt>
                <c:pt idx="446">
                  <c:v>10.7</c:v>
                </c:pt>
                <c:pt idx="447">
                  <c:v>10.7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10.7</c:v>
                </c:pt>
                <c:pt idx="452">
                  <c:v>10.7</c:v>
                </c:pt>
                <c:pt idx="453">
                  <c:v>10.8</c:v>
                </c:pt>
                <c:pt idx="454">
                  <c:v>10.8</c:v>
                </c:pt>
                <c:pt idx="455">
                  <c:v>10.8</c:v>
                </c:pt>
                <c:pt idx="456">
                  <c:v>10.8</c:v>
                </c:pt>
                <c:pt idx="457">
                  <c:v>10.8</c:v>
                </c:pt>
                <c:pt idx="458">
                  <c:v>10.8</c:v>
                </c:pt>
                <c:pt idx="459">
                  <c:v>10.9</c:v>
                </c:pt>
                <c:pt idx="460">
                  <c:v>10.9</c:v>
                </c:pt>
                <c:pt idx="461">
                  <c:v>10.9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11.1</c:v>
                </c:pt>
                <c:pt idx="466">
                  <c:v>11.1</c:v>
                </c:pt>
                <c:pt idx="467">
                  <c:v>11.1</c:v>
                </c:pt>
                <c:pt idx="468">
                  <c:v>11.1</c:v>
                </c:pt>
                <c:pt idx="469">
                  <c:v>11.1</c:v>
                </c:pt>
                <c:pt idx="470">
                  <c:v>11.2</c:v>
                </c:pt>
                <c:pt idx="471">
                  <c:v>11.2</c:v>
                </c:pt>
                <c:pt idx="472">
                  <c:v>11.2</c:v>
                </c:pt>
                <c:pt idx="473">
                  <c:v>11.2</c:v>
                </c:pt>
                <c:pt idx="474">
                  <c:v>11.2</c:v>
                </c:pt>
                <c:pt idx="475">
                  <c:v>11.3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11.3</c:v>
                </c:pt>
                <c:pt idx="480">
                  <c:v>11.3</c:v>
                </c:pt>
                <c:pt idx="481">
                  <c:v>11.3</c:v>
                </c:pt>
                <c:pt idx="482">
                  <c:v>11.4</c:v>
                </c:pt>
                <c:pt idx="483">
                  <c:v>11.4</c:v>
                </c:pt>
                <c:pt idx="484">
                  <c:v>11.4</c:v>
                </c:pt>
                <c:pt idx="485">
                  <c:v>11.4</c:v>
                </c:pt>
                <c:pt idx="486">
                  <c:v>11.4</c:v>
                </c:pt>
                <c:pt idx="487">
                  <c:v>11.5</c:v>
                </c:pt>
                <c:pt idx="488">
                  <c:v>11.5</c:v>
                </c:pt>
                <c:pt idx="489">
                  <c:v>11.5</c:v>
                </c:pt>
                <c:pt idx="490">
                  <c:v>11.5</c:v>
                </c:pt>
                <c:pt idx="491">
                  <c:v>11.5</c:v>
                </c:pt>
                <c:pt idx="492">
                  <c:v>11.5</c:v>
                </c:pt>
                <c:pt idx="493">
                  <c:v>11.6</c:v>
                </c:pt>
                <c:pt idx="494">
                  <c:v>11.6</c:v>
                </c:pt>
                <c:pt idx="495">
                  <c:v>11.6</c:v>
                </c:pt>
                <c:pt idx="496">
                  <c:v>11.6</c:v>
                </c:pt>
                <c:pt idx="497">
                  <c:v>11.7</c:v>
                </c:pt>
                <c:pt idx="498">
                  <c:v>11.7</c:v>
                </c:pt>
                <c:pt idx="499">
                  <c:v>11.7</c:v>
                </c:pt>
                <c:pt idx="500">
                  <c:v>11.7</c:v>
                </c:pt>
                <c:pt idx="501">
                  <c:v>11.7</c:v>
                </c:pt>
                <c:pt idx="502">
                  <c:v>11.7</c:v>
                </c:pt>
                <c:pt idx="503">
                  <c:v>11.7</c:v>
                </c:pt>
                <c:pt idx="504">
                  <c:v>11.7</c:v>
                </c:pt>
                <c:pt idx="505">
                  <c:v>11.8</c:v>
                </c:pt>
                <c:pt idx="506">
                  <c:v>11.8</c:v>
                </c:pt>
                <c:pt idx="507">
                  <c:v>11.8</c:v>
                </c:pt>
                <c:pt idx="508">
                  <c:v>11.8</c:v>
                </c:pt>
                <c:pt idx="509">
                  <c:v>11.8</c:v>
                </c:pt>
                <c:pt idx="510">
                  <c:v>11.8</c:v>
                </c:pt>
                <c:pt idx="511">
                  <c:v>11.8</c:v>
                </c:pt>
                <c:pt idx="512">
                  <c:v>11.9</c:v>
                </c:pt>
                <c:pt idx="513">
                  <c:v>11.9</c:v>
                </c:pt>
                <c:pt idx="514">
                  <c:v>11.9</c:v>
                </c:pt>
                <c:pt idx="515">
                  <c:v>11.9</c:v>
                </c:pt>
                <c:pt idx="516">
                  <c:v>12</c:v>
                </c:pt>
                <c:pt idx="517">
                  <c:v>12.1</c:v>
                </c:pt>
                <c:pt idx="518">
                  <c:v>12.1</c:v>
                </c:pt>
                <c:pt idx="519">
                  <c:v>12.1</c:v>
                </c:pt>
                <c:pt idx="520">
                  <c:v>12.1</c:v>
                </c:pt>
                <c:pt idx="521">
                  <c:v>12.2</c:v>
                </c:pt>
                <c:pt idx="522">
                  <c:v>12.2</c:v>
                </c:pt>
                <c:pt idx="523">
                  <c:v>12.2</c:v>
                </c:pt>
                <c:pt idx="524">
                  <c:v>12.2</c:v>
                </c:pt>
                <c:pt idx="525">
                  <c:v>12.2</c:v>
                </c:pt>
                <c:pt idx="526">
                  <c:v>12.2</c:v>
                </c:pt>
                <c:pt idx="527">
                  <c:v>12.2</c:v>
                </c:pt>
                <c:pt idx="528">
                  <c:v>12.3</c:v>
                </c:pt>
                <c:pt idx="529">
                  <c:v>12.3</c:v>
                </c:pt>
                <c:pt idx="530">
                  <c:v>12.3</c:v>
                </c:pt>
                <c:pt idx="531">
                  <c:v>12.3</c:v>
                </c:pt>
                <c:pt idx="532">
                  <c:v>12.3</c:v>
                </c:pt>
                <c:pt idx="533">
                  <c:v>12.3</c:v>
                </c:pt>
                <c:pt idx="534">
                  <c:v>12.3</c:v>
                </c:pt>
                <c:pt idx="535">
                  <c:v>12.3</c:v>
                </c:pt>
                <c:pt idx="536">
                  <c:v>12.3</c:v>
                </c:pt>
                <c:pt idx="537">
                  <c:v>12.3</c:v>
                </c:pt>
                <c:pt idx="538">
                  <c:v>12.4</c:v>
                </c:pt>
                <c:pt idx="539">
                  <c:v>12.4</c:v>
                </c:pt>
                <c:pt idx="540">
                  <c:v>12.4</c:v>
                </c:pt>
                <c:pt idx="541">
                  <c:v>12.4</c:v>
                </c:pt>
                <c:pt idx="542">
                  <c:v>12.4</c:v>
                </c:pt>
                <c:pt idx="543">
                  <c:v>12.4</c:v>
                </c:pt>
                <c:pt idx="544">
                  <c:v>12.4</c:v>
                </c:pt>
                <c:pt idx="545">
                  <c:v>12.4</c:v>
                </c:pt>
                <c:pt idx="546">
                  <c:v>12.5</c:v>
                </c:pt>
                <c:pt idx="547">
                  <c:v>12.5</c:v>
                </c:pt>
                <c:pt idx="548">
                  <c:v>12.6</c:v>
                </c:pt>
                <c:pt idx="549">
                  <c:v>12.6</c:v>
                </c:pt>
                <c:pt idx="550">
                  <c:v>12.6</c:v>
                </c:pt>
                <c:pt idx="551">
                  <c:v>12.6</c:v>
                </c:pt>
                <c:pt idx="552">
                  <c:v>12.6</c:v>
                </c:pt>
                <c:pt idx="553">
                  <c:v>12.7</c:v>
                </c:pt>
                <c:pt idx="554">
                  <c:v>12.7</c:v>
                </c:pt>
                <c:pt idx="555">
                  <c:v>12.7</c:v>
                </c:pt>
                <c:pt idx="556">
                  <c:v>12.7</c:v>
                </c:pt>
                <c:pt idx="557">
                  <c:v>12.8</c:v>
                </c:pt>
                <c:pt idx="558">
                  <c:v>12.8</c:v>
                </c:pt>
                <c:pt idx="559">
                  <c:v>12.8</c:v>
                </c:pt>
                <c:pt idx="560">
                  <c:v>12.8</c:v>
                </c:pt>
                <c:pt idx="561">
                  <c:v>12.8</c:v>
                </c:pt>
                <c:pt idx="562">
                  <c:v>12.8</c:v>
                </c:pt>
                <c:pt idx="563">
                  <c:v>12.8</c:v>
                </c:pt>
                <c:pt idx="564">
                  <c:v>12.8</c:v>
                </c:pt>
                <c:pt idx="565">
                  <c:v>12.8</c:v>
                </c:pt>
                <c:pt idx="566">
                  <c:v>12.9</c:v>
                </c:pt>
                <c:pt idx="567">
                  <c:v>12.9</c:v>
                </c:pt>
                <c:pt idx="568">
                  <c:v>12.9</c:v>
                </c:pt>
                <c:pt idx="569">
                  <c:v>12.9</c:v>
                </c:pt>
                <c:pt idx="570">
                  <c:v>12.9</c:v>
                </c:pt>
                <c:pt idx="571">
                  <c:v>13</c:v>
                </c:pt>
                <c:pt idx="572">
                  <c:v>13</c:v>
                </c:pt>
                <c:pt idx="573">
                  <c:v>13</c:v>
                </c:pt>
                <c:pt idx="574">
                  <c:v>13.1</c:v>
                </c:pt>
                <c:pt idx="575">
                  <c:v>13.1</c:v>
                </c:pt>
                <c:pt idx="576">
                  <c:v>13.1</c:v>
                </c:pt>
                <c:pt idx="577">
                  <c:v>13.1</c:v>
                </c:pt>
                <c:pt idx="578">
                  <c:v>13.1</c:v>
                </c:pt>
                <c:pt idx="579">
                  <c:v>13.1</c:v>
                </c:pt>
                <c:pt idx="580">
                  <c:v>13.1</c:v>
                </c:pt>
                <c:pt idx="581">
                  <c:v>13.1</c:v>
                </c:pt>
                <c:pt idx="582">
                  <c:v>13.1</c:v>
                </c:pt>
                <c:pt idx="583">
                  <c:v>13.1</c:v>
                </c:pt>
                <c:pt idx="584">
                  <c:v>13.2</c:v>
                </c:pt>
                <c:pt idx="585">
                  <c:v>13.2</c:v>
                </c:pt>
                <c:pt idx="586">
                  <c:v>13.2</c:v>
                </c:pt>
                <c:pt idx="587">
                  <c:v>13.2</c:v>
                </c:pt>
                <c:pt idx="588">
                  <c:v>13.2</c:v>
                </c:pt>
                <c:pt idx="589">
                  <c:v>13.2</c:v>
                </c:pt>
                <c:pt idx="590">
                  <c:v>13.3</c:v>
                </c:pt>
                <c:pt idx="591">
                  <c:v>13.3</c:v>
                </c:pt>
                <c:pt idx="592">
                  <c:v>13.3</c:v>
                </c:pt>
                <c:pt idx="593">
                  <c:v>13.3</c:v>
                </c:pt>
                <c:pt idx="594">
                  <c:v>13.3</c:v>
                </c:pt>
                <c:pt idx="595">
                  <c:v>13.3</c:v>
                </c:pt>
                <c:pt idx="596">
                  <c:v>13.4</c:v>
                </c:pt>
                <c:pt idx="597">
                  <c:v>13.4</c:v>
                </c:pt>
                <c:pt idx="598">
                  <c:v>13.5</c:v>
                </c:pt>
                <c:pt idx="599">
                  <c:v>13.5</c:v>
                </c:pt>
                <c:pt idx="600">
                  <c:v>13.5</c:v>
                </c:pt>
                <c:pt idx="601">
                  <c:v>13.5</c:v>
                </c:pt>
                <c:pt idx="602">
                  <c:v>13.5</c:v>
                </c:pt>
                <c:pt idx="603">
                  <c:v>13.5</c:v>
                </c:pt>
                <c:pt idx="604">
                  <c:v>13.5</c:v>
                </c:pt>
                <c:pt idx="605">
                  <c:v>13.5</c:v>
                </c:pt>
                <c:pt idx="606">
                  <c:v>13.6</c:v>
                </c:pt>
                <c:pt idx="607">
                  <c:v>13.6</c:v>
                </c:pt>
                <c:pt idx="608">
                  <c:v>13.6</c:v>
                </c:pt>
                <c:pt idx="609">
                  <c:v>13.6</c:v>
                </c:pt>
                <c:pt idx="610">
                  <c:v>13.6</c:v>
                </c:pt>
                <c:pt idx="611">
                  <c:v>13.6</c:v>
                </c:pt>
                <c:pt idx="612">
                  <c:v>13.7</c:v>
                </c:pt>
                <c:pt idx="613">
                  <c:v>13.7</c:v>
                </c:pt>
                <c:pt idx="614">
                  <c:v>13.7</c:v>
                </c:pt>
                <c:pt idx="615">
                  <c:v>13.7</c:v>
                </c:pt>
                <c:pt idx="616">
                  <c:v>13.7</c:v>
                </c:pt>
                <c:pt idx="617">
                  <c:v>13.7</c:v>
                </c:pt>
                <c:pt idx="618">
                  <c:v>13.7</c:v>
                </c:pt>
                <c:pt idx="619">
                  <c:v>13.7</c:v>
                </c:pt>
                <c:pt idx="620">
                  <c:v>13.7</c:v>
                </c:pt>
                <c:pt idx="621">
                  <c:v>13.7</c:v>
                </c:pt>
                <c:pt idx="622">
                  <c:v>13.8</c:v>
                </c:pt>
                <c:pt idx="623">
                  <c:v>13.8</c:v>
                </c:pt>
                <c:pt idx="624">
                  <c:v>13.8</c:v>
                </c:pt>
                <c:pt idx="625">
                  <c:v>13.8</c:v>
                </c:pt>
                <c:pt idx="626">
                  <c:v>13.8</c:v>
                </c:pt>
                <c:pt idx="627">
                  <c:v>13.8</c:v>
                </c:pt>
                <c:pt idx="628">
                  <c:v>13.8</c:v>
                </c:pt>
                <c:pt idx="629">
                  <c:v>13.9</c:v>
                </c:pt>
                <c:pt idx="630">
                  <c:v>13.9</c:v>
                </c:pt>
                <c:pt idx="631">
                  <c:v>13.9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14</c:v>
                </c:pt>
                <c:pt idx="638">
                  <c:v>14</c:v>
                </c:pt>
                <c:pt idx="639">
                  <c:v>14.1</c:v>
                </c:pt>
                <c:pt idx="640">
                  <c:v>14.1</c:v>
                </c:pt>
                <c:pt idx="641">
                  <c:v>14.1</c:v>
                </c:pt>
                <c:pt idx="642">
                  <c:v>14.1</c:v>
                </c:pt>
                <c:pt idx="643">
                  <c:v>14.1</c:v>
                </c:pt>
                <c:pt idx="644">
                  <c:v>14.1</c:v>
                </c:pt>
                <c:pt idx="645">
                  <c:v>14.1</c:v>
                </c:pt>
                <c:pt idx="646">
                  <c:v>14.2</c:v>
                </c:pt>
                <c:pt idx="647">
                  <c:v>14.2</c:v>
                </c:pt>
                <c:pt idx="648">
                  <c:v>14.2</c:v>
                </c:pt>
                <c:pt idx="649">
                  <c:v>14.2</c:v>
                </c:pt>
                <c:pt idx="650">
                  <c:v>14.2</c:v>
                </c:pt>
                <c:pt idx="651">
                  <c:v>14.2</c:v>
                </c:pt>
                <c:pt idx="652">
                  <c:v>14.2</c:v>
                </c:pt>
                <c:pt idx="653">
                  <c:v>14.2</c:v>
                </c:pt>
                <c:pt idx="654">
                  <c:v>14.2</c:v>
                </c:pt>
                <c:pt idx="655">
                  <c:v>14.2</c:v>
                </c:pt>
                <c:pt idx="656">
                  <c:v>14.3</c:v>
                </c:pt>
                <c:pt idx="657">
                  <c:v>14.3</c:v>
                </c:pt>
                <c:pt idx="658">
                  <c:v>14.3</c:v>
                </c:pt>
                <c:pt idx="659">
                  <c:v>14.3</c:v>
                </c:pt>
                <c:pt idx="660">
                  <c:v>14.3</c:v>
                </c:pt>
                <c:pt idx="661">
                  <c:v>14.4</c:v>
                </c:pt>
                <c:pt idx="662">
                  <c:v>14.4</c:v>
                </c:pt>
                <c:pt idx="663">
                  <c:v>14.4</c:v>
                </c:pt>
                <c:pt idx="664">
                  <c:v>14.4</c:v>
                </c:pt>
                <c:pt idx="665">
                  <c:v>14.4</c:v>
                </c:pt>
                <c:pt idx="666">
                  <c:v>14.4</c:v>
                </c:pt>
                <c:pt idx="667">
                  <c:v>14.4</c:v>
                </c:pt>
                <c:pt idx="668">
                  <c:v>14.5</c:v>
                </c:pt>
                <c:pt idx="669">
                  <c:v>14.5</c:v>
                </c:pt>
                <c:pt idx="670">
                  <c:v>14.5</c:v>
                </c:pt>
                <c:pt idx="671">
                  <c:v>14.5</c:v>
                </c:pt>
                <c:pt idx="672">
                  <c:v>14.5</c:v>
                </c:pt>
                <c:pt idx="673">
                  <c:v>14.5</c:v>
                </c:pt>
                <c:pt idx="674">
                  <c:v>14.5</c:v>
                </c:pt>
                <c:pt idx="675">
                  <c:v>14.6</c:v>
                </c:pt>
                <c:pt idx="676">
                  <c:v>14.6</c:v>
                </c:pt>
                <c:pt idx="677">
                  <c:v>14.6</c:v>
                </c:pt>
                <c:pt idx="678">
                  <c:v>14.6</c:v>
                </c:pt>
                <c:pt idx="679">
                  <c:v>14.6</c:v>
                </c:pt>
                <c:pt idx="680">
                  <c:v>14.6</c:v>
                </c:pt>
                <c:pt idx="681">
                  <c:v>14.6</c:v>
                </c:pt>
                <c:pt idx="682">
                  <c:v>14.6</c:v>
                </c:pt>
                <c:pt idx="683">
                  <c:v>14.7</c:v>
                </c:pt>
                <c:pt idx="684">
                  <c:v>14.7</c:v>
                </c:pt>
                <c:pt idx="685">
                  <c:v>14.7</c:v>
                </c:pt>
                <c:pt idx="686">
                  <c:v>14.7</c:v>
                </c:pt>
                <c:pt idx="687">
                  <c:v>14.7</c:v>
                </c:pt>
                <c:pt idx="688">
                  <c:v>14.8</c:v>
                </c:pt>
                <c:pt idx="689">
                  <c:v>14.8</c:v>
                </c:pt>
                <c:pt idx="690">
                  <c:v>14.8</c:v>
                </c:pt>
                <c:pt idx="691">
                  <c:v>14.8</c:v>
                </c:pt>
                <c:pt idx="692">
                  <c:v>14.8</c:v>
                </c:pt>
                <c:pt idx="693">
                  <c:v>14.8</c:v>
                </c:pt>
                <c:pt idx="694">
                  <c:v>14.8</c:v>
                </c:pt>
                <c:pt idx="695">
                  <c:v>14.8</c:v>
                </c:pt>
                <c:pt idx="696">
                  <c:v>14.9</c:v>
                </c:pt>
                <c:pt idx="697">
                  <c:v>14.9</c:v>
                </c:pt>
                <c:pt idx="698">
                  <c:v>14.9</c:v>
                </c:pt>
                <c:pt idx="699">
                  <c:v>14.9</c:v>
                </c:pt>
                <c:pt idx="700">
                  <c:v>14.9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15.1</c:v>
                </c:pt>
                <c:pt idx="710">
                  <c:v>15.1</c:v>
                </c:pt>
                <c:pt idx="711">
                  <c:v>15.1</c:v>
                </c:pt>
                <c:pt idx="712">
                  <c:v>15.1</c:v>
                </c:pt>
                <c:pt idx="713">
                  <c:v>15.2</c:v>
                </c:pt>
                <c:pt idx="714">
                  <c:v>15.2</c:v>
                </c:pt>
                <c:pt idx="715">
                  <c:v>15.2</c:v>
                </c:pt>
                <c:pt idx="716">
                  <c:v>15.2</c:v>
                </c:pt>
                <c:pt idx="717">
                  <c:v>15.2</c:v>
                </c:pt>
                <c:pt idx="718">
                  <c:v>15.2</c:v>
                </c:pt>
                <c:pt idx="719">
                  <c:v>15.2</c:v>
                </c:pt>
                <c:pt idx="720">
                  <c:v>15.2</c:v>
                </c:pt>
                <c:pt idx="721">
                  <c:v>15.2</c:v>
                </c:pt>
                <c:pt idx="722">
                  <c:v>15.3</c:v>
                </c:pt>
                <c:pt idx="723">
                  <c:v>15.3</c:v>
                </c:pt>
                <c:pt idx="724">
                  <c:v>15.3</c:v>
                </c:pt>
                <c:pt idx="725">
                  <c:v>15.3</c:v>
                </c:pt>
                <c:pt idx="726">
                  <c:v>15.3</c:v>
                </c:pt>
                <c:pt idx="727">
                  <c:v>15.4</c:v>
                </c:pt>
                <c:pt idx="728">
                  <c:v>15.4</c:v>
                </c:pt>
                <c:pt idx="729">
                  <c:v>15.4</c:v>
                </c:pt>
                <c:pt idx="730">
                  <c:v>15.4</c:v>
                </c:pt>
                <c:pt idx="731">
                  <c:v>15.4</c:v>
                </c:pt>
                <c:pt idx="732">
                  <c:v>15.4</c:v>
                </c:pt>
                <c:pt idx="733">
                  <c:v>15.4</c:v>
                </c:pt>
                <c:pt idx="734">
                  <c:v>15.4</c:v>
                </c:pt>
                <c:pt idx="735">
                  <c:v>15.4</c:v>
                </c:pt>
                <c:pt idx="736">
                  <c:v>15.4</c:v>
                </c:pt>
                <c:pt idx="737">
                  <c:v>15.5</c:v>
                </c:pt>
                <c:pt idx="738">
                  <c:v>15.5</c:v>
                </c:pt>
                <c:pt idx="739">
                  <c:v>15.5</c:v>
                </c:pt>
                <c:pt idx="740">
                  <c:v>15.5</c:v>
                </c:pt>
                <c:pt idx="741">
                  <c:v>15.5</c:v>
                </c:pt>
                <c:pt idx="742">
                  <c:v>15.5</c:v>
                </c:pt>
                <c:pt idx="743">
                  <c:v>15.5</c:v>
                </c:pt>
                <c:pt idx="744">
                  <c:v>15.5</c:v>
                </c:pt>
                <c:pt idx="745">
                  <c:v>15.5</c:v>
                </c:pt>
                <c:pt idx="746">
                  <c:v>15.5</c:v>
                </c:pt>
                <c:pt idx="747">
                  <c:v>15.6</c:v>
                </c:pt>
                <c:pt idx="748">
                  <c:v>15.6</c:v>
                </c:pt>
                <c:pt idx="749">
                  <c:v>15.7</c:v>
                </c:pt>
                <c:pt idx="750">
                  <c:v>15.7</c:v>
                </c:pt>
                <c:pt idx="751">
                  <c:v>15.7</c:v>
                </c:pt>
                <c:pt idx="752">
                  <c:v>15.7</c:v>
                </c:pt>
                <c:pt idx="753">
                  <c:v>15.7</c:v>
                </c:pt>
                <c:pt idx="754">
                  <c:v>15.8</c:v>
                </c:pt>
                <c:pt idx="755">
                  <c:v>15.8</c:v>
                </c:pt>
                <c:pt idx="756">
                  <c:v>15.8</c:v>
                </c:pt>
                <c:pt idx="757">
                  <c:v>15.9</c:v>
                </c:pt>
                <c:pt idx="758">
                  <c:v>15.9</c:v>
                </c:pt>
                <c:pt idx="759">
                  <c:v>15.9</c:v>
                </c:pt>
                <c:pt idx="760">
                  <c:v>15.9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16.1</c:v>
                </c:pt>
                <c:pt idx="765">
                  <c:v>16.1</c:v>
                </c:pt>
                <c:pt idx="766">
                  <c:v>16.1</c:v>
                </c:pt>
                <c:pt idx="767">
                  <c:v>16.1</c:v>
                </c:pt>
                <c:pt idx="768">
                  <c:v>16.1</c:v>
                </c:pt>
                <c:pt idx="769">
                  <c:v>16.1</c:v>
                </c:pt>
                <c:pt idx="770">
                  <c:v>16.1</c:v>
                </c:pt>
                <c:pt idx="771">
                  <c:v>16.1</c:v>
                </c:pt>
                <c:pt idx="772">
                  <c:v>16.1</c:v>
                </c:pt>
                <c:pt idx="773">
                  <c:v>16.1</c:v>
                </c:pt>
                <c:pt idx="774">
                  <c:v>16.2</c:v>
                </c:pt>
                <c:pt idx="775">
                  <c:v>16.2</c:v>
                </c:pt>
                <c:pt idx="776">
                  <c:v>16.3</c:v>
                </c:pt>
                <c:pt idx="777">
                  <c:v>16.3</c:v>
                </c:pt>
                <c:pt idx="778">
                  <c:v>16.3</c:v>
                </c:pt>
                <c:pt idx="779">
                  <c:v>16.3</c:v>
                </c:pt>
                <c:pt idx="780">
                  <c:v>16.3</c:v>
                </c:pt>
                <c:pt idx="781">
                  <c:v>16.3</c:v>
                </c:pt>
                <c:pt idx="782">
                  <c:v>16.3</c:v>
                </c:pt>
                <c:pt idx="783">
                  <c:v>16.3</c:v>
                </c:pt>
                <c:pt idx="784">
                  <c:v>16.3</c:v>
                </c:pt>
                <c:pt idx="785">
                  <c:v>16.4</c:v>
                </c:pt>
                <c:pt idx="786">
                  <c:v>16.4</c:v>
                </c:pt>
                <c:pt idx="787">
                  <c:v>16.4</c:v>
                </c:pt>
                <c:pt idx="788">
                  <c:v>16.4</c:v>
                </c:pt>
                <c:pt idx="789">
                  <c:v>16.4</c:v>
                </c:pt>
                <c:pt idx="790">
                  <c:v>16.4</c:v>
                </c:pt>
                <c:pt idx="791">
                  <c:v>16.5</c:v>
                </c:pt>
                <c:pt idx="792">
                  <c:v>16.5</c:v>
                </c:pt>
                <c:pt idx="793">
                  <c:v>16.5</c:v>
                </c:pt>
                <c:pt idx="794">
                  <c:v>16.5</c:v>
                </c:pt>
                <c:pt idx="795">
                  <c:v>16.5</c:v>
                </c:pt>
                <c:pt idx="796">
                  <c:v>16.5</c:v>
                </c:pt>
                <c:pt idx="797">
                  <c:v>16.5</c:v>
                </c:pt>
                <c:pt idx="798">
                  <c:v>16.6</c:v>
                </c:pt>
                <c:pt idx="799">
                  <c:v>16.6</c:v>
                </c:pt>
                <c:pt idx="800">
                  <c:v>16.6</c:v>
                </c:pt>
                <c:pt idx="801">
                  <c:v>16.6</c:v>
                </c:pt>
                <c:pt idx="802">
                  <c:v>16.6</c:v>
                </c:pt>
                <c:pt idx="803">
                  <c:v>16.6</c:v>
                </c:pt>
                <c:pt idx="804">
                  <c:v>16.6</c:v>
                </c:pt>
                <c:pt idx="805">
                  <c:v>16.6</c:v>
                </c:pt>
                <c:pt idx="806">
                  <c:v>16.7</c:v>
                </c:pt>
                <c:pt idx="807">
                  <c:v>16.7</c:v>
                </c:pt>
                <c:pt idx="808">
                  <c:v>16.7</c:v>
                </c:pt>
                <c:pt idx="809">
                  <c:v>16.7</c:v>
                </c:pt>
                <c:pt idx="810">
                  <c:v>16.7</c:v>
                </c:pt>
                <c:pt idx="811">
                  <c:v>16.7</c:v>
                </c:pt>
                <c:pt idx="812">
                  <c:v>16.8</c:v>
                </c:pt>
                <c:pt idx="813">
                  <c:v>16.8</c:v>
                </c:pt>
                <c:pt idx="814">
                  <c:v>16.8</c:v>
                </c:pt>
                <c:pt idx="815">
                  <c:v>16.8</c:v>
                </c:pt>
                <c:pt idx="816">
                  <c:v>16.8</c:v>
                </c:pt>
                <c:pt idx="817">
                  <c:v>16.8</c:v>
                </c:pt>
                <c:pt idx="818">
                  <c:v>16.8</c:v>
                </c:pt>
                <c:pt idx="819">
                  <c:v>16.9</c:v>
                </c:pt>
                <c:pt idx="820">
                  <c:v>16.9</c:v>
                </c:pt>
                <c:pt idx="821">
                  <c:v>16.9</c:v>
                </c:pt>
                <c:pt idx="822">
                  <c:v>16.9</c:v>
                </c:pt>
                <c:pt idx="823">
                  <c:v>16.9</c:v>
                </c:pt>
                <c:pt idx="824">
                  <c:v>17</c:v>
                </c:pt>
                <c:pt idx="825">
                  <c:v>17</c:v>
                </c:pt>
                <c:pt idx="826">
                  <c:v>17</c:v>
                </c:pt>
                <c:pt idx="827">
                  <c:v>17</c:v>
                </c:pt>
                <c:pt idx="828">
                  <c:v>17</c:v>
                </c:pt>
                <c:pt idx="829">
                  <c:v>17.1</c:v>
                </c:pt>
                <c:pt idx="830">
                  <c:v>17.1</c:v>
                </c:pt>
                <c:pt idx="831">
                  <c:v>17.1</c:v>
                </c:pt>
                <c:pt idx="832">
                  <c:v>17.1</c:v>
                </c:pt>
                <c:pt idx="833">
                  <c:v>17.1</c:v>
                </c:pt>
                <c:pt idx="834">
                  <c:v>17.2</c:v>
                </c:pt>
                <c:pt idx="835">
                  <c:v>17.2</c:v>
                </c:pt>
                <c:pt idx="836">
                  <c:v>17.2</c:v>
                </c:pt>
                <c:pt idx="837">
                  <c:v>17.2</c:v>
                </c:pt>
                <c:pt idx="838">
                  <c:v>17.2</c:v>
                </c:pt>
                <c:pt idx="839">
                  <c:v>17.3</c:v>
                </c:pt>
                <c:pt idx="840">
                  <c:v>17.3</c:v>
                </c:pt>
                <c:pt idx="841">
                  <c:v>17.3</c:v>
                </c:pt>
                <c:pt idx="842">
                  <c:v>17.3</c:v>
                </c:pt>
                <c:pt idx="843">
                  <c:v>17.3</c:v>
                </c:pt>
                <c:pt idx="844">
                  <c:v>17.4</c:v>
                </c:pt>
                <c:pt idx="845">
                  <c:v>17.4</c:v>
                </c:pt>
                <c:pt idx="846">
                  <c:v>17.4</c:v>
                </c:pt>
                <c:pt idx="847">
                  <c:v>17.4</c:v>
                </c:pt>
                <c:pt idx="848">
                  <c:v>17.4</c:v>
                </c:pt>
                <c:pt idx="849">
                  <c:v>17.5</c:v>
                </c:pt>
                <c:pt idx="850">
                  <c:v>17.5</c:v>
                </c:pt>
                <c:pt idx="851">
                  <c:v>17.5</c:v>
                </c:pt>
                <c:pt idx="852">
                  <c:v>17.5</c:v>
                </c:pt>
                <c:pt idx="853">
                  <c:v>17.6</c:v>
                </c:pt>
                <c:pt idx="854">
                  <c:v>17.6</c:v>
                </c:pt>
                <c:pt idx="855">
                  <c:v>17.6</c:v>
                </c:pt>
                <c:pt idx="856">
                  <c:v>17.6</c:v>
                </c:pt>
                <c:pt idx="857">
                  <c:v>17.6</c:v>
                </c:pt>
                <c:pt idx="858">
                  <c:v>17.6</c:v>
                </c:pt>
                <c:pt idx="859">
                  <c:v>17.6</c:v>
                </c:pt>
                <c:pt idx="860">
                  <c:v>17.6</c:v>
                </c:pt>
                <c:pt idx="861">
                  <c:v>17.7</c:v>
                </c:pt>
                <c:pt idx="862">
                  <c:v>17.7</c:v>
                </c:pt>
                <c:pt idx="863">
                  <c:v>17.7</c:v>
                </c:pt>
                <c:pt idx="864">
                  <c:v>17.7</c:v>
                </c:pt>
                <c:pt idx="865">
                  <c:v>17.7</c:v>
                </c:pt>
                <c:pt idx="866">
                  <c:v>17.7</c:v>
                </c:pt>
                <c:pt idx="867">
                  <c:v>17.7</c:v>
                </c:pt>
                <c:pt idx="868">
                  <c:v>17.7</c:v>
                </c:pt>
                <c:pt idx="869">
                  <c:v>17.7</c:v>
                </c:pt>
                <c:pt idx="870">
                  <c:v>17.7</c:v>
                </c:pt>
                <c:pt idx="871">
                  <c:v>17.7</c:v>
                </c:pt>
                <c:pt idx="872">
                  <c:v>17.7</c:v>
                </c:pt>
                <c:pt idx="873">
                  <c:v>17.7</c:v>
                </c:pt>
                <c:pt idx="874">
                  <c:v>17.8</c:v>
                </c:pt>
                <c:pt idx="875">
                  <c:v>17.8</c:v>
                </c:pt>
                <c:pt idx="876">
                  <c:v>17.8</c:v>
                </c:pt>
                <c:pt idx="877">
                  <c:v>17.8</c:v>
                </c:pt>
                <c:pt idx="878">
                  <c:v>17.8</c:v>
                </c:pt>
                <c:pt idx="879">
                  <c:v>17.8</c:v>
                </c:pt>
                <c:pt idx="880">
                  <c:v>17.8</c:v>
                </c:pt>
                <c:pt idx="881">
                  <c:v>17.9</c:v>
                </c:pt>
                <c:pt idx="882">
                  <c:v>17.9</c:v>
                </c:pt>
                <c:pt idx="883">
                  <c:v>17.9</c:v>
                </c:pt>
                <c:pt idx="884">
                  <c:v>17.9</c:v>
                </c:pt>
                <c:pt idx="885">
                  <c:v>17.9</c:v>
                </c:pt>
                <c:pt idx="886">
                  <c:v>17.9</c:v>
                </c:pt>
                <c:pt idx="887">
                  <c:v>18</c:v>
                </c:pt>
                <c:pt idx="888">
                  <c:v>18</c:v>
                </c:pt>
                <c:pt idx="889">
                  <c:v>18</c:v>
                </c:pt>
                <c:pt idx="890">
                  <c:v>18</c:v>
                </c:pt>
                <c:pt idx="891">
                  <c:v>18.1</c:v>
                </c:pt>
                <c:pt idx="892">
                  <c:v>18.1</c:v>
                </c:pt>
                <c:pt idx="893">
                  <c:v>18.1</c:v>
                </c:pt>
                <c:pt idx="894">
                  <c:v>18.1</c:v>
                </c:pt>
                <c:pt idx="895">
                  <c:v>18.1</c:v>
                </c:pt>
                <c:pt idx="896">
                  <c:v>18.1</c:v>
                </c:pt>
                <c:pt idx="897">
                  <c:v>18.1</c:v>
                </c:pt>
                <c:pt idx="898">
                  <c:v>18.1</c:v>
                </c:pt>
                <c:pt idx="899">
                  <c:v>18.2</c:v>
                </c:pt>
                <c:pt idx="900">
                  <c:v>18.2</c:v>
                </c:pt>
                <c:pt idx="901">
                  <c:v>18.2</c:v>
                </c:pt>
                <c:pt idx="902">
                  <c:v>18.2</c:v>
                </c:pt>
                <c:pt idx="903">
                  <c:v>18.2</c:v>
                </c:pt>
                <c:pt idx="904">
                  <c:v>18.3</c:v>
                </c:pt>
                <c:pt idx="905">
                  <c:v>18.3</c:v>
                </c:pt>
                <c:pt idx="906">
                  <c:v>18.3</c:v>
                </c:pt>
                <c:pt idx="907">
                  <c:v>18.3</c:v>
                </c:pt>
                <c:pt idx="908">
                  <c:v>18.5</c:v>
                </c:pt>
                <c:pt idx="909">
                  <c:v>18.5</c:v>
                </c:pt>
                <c:pt idx="910">
                  <c:v>18.5</c:v>
                </c:pt>
                <c:pt idx="911">
                  <c:v>18.5</c:v>
                </c:pt>
                <c:pt idx="912">
                  <c:v>18.5</c:v>
                </c:pt>
                <c:pt idx="913">
                  <c:v>18.6</c:v>
                </c:pt>
                <c:pt idx="914">
                  <c:v>18.6</c:v>
                </c:pt>
                <c:pt idx="915">
                  <c:v>18.6</c:v>
                </c:pt>
                <c:pt idx="916">
                  <c:v>18.6</c:v>
                </c:pt>
                <c:pt idx="917">
                  <c:v>18.6</c:v>
                </c:pt>
                <c:pt idx="918">
                  <c:v>18.7</c:v>
                </c:pt>
                <c:pt idx="919">
                  <c:v>18.7</c:v>
                </c:pt>
                <c:pt idx="920">
                  <c:v>18.7</c:v>
                </c:pt>
                <c:pt idx="921">
                  <c:v>18.7</c:v>
                </c:pt>
                <c:pt idx="922">
                  <c:v>18.7</c:v>
                </c:pt>
                <c:pt idx="923">
                  <c:v>18.8</c:v>
                </c:pt>
                <c:pt idx="924">
                  <c:v>18.8</c:v>
                </c:pt>
                <c:pt idx="925">
                  <c:v>18.8</c:v>
                </c:pt>
                <c:pt idx="926">
                  <c:v>18.8</c:v>
                </c:pt>
                <c:pt idx="927">
                  <c:v>18.8</c:v>
                </c:pt>
                <c:pt idx="928">
                  <c:v>18.8</c:v>
                </c:pt>
                <c:pt idx="929">
                  <c:v>18.8</c:v>
                </c:pt>
                <c:pt idx="930">
                  <c:v>18.8</c:v>
                </c:pt>
                <c:pt idx="931">
                  <c:v>18.9</c:v>
                </c:pt>
                <c:pt idx="932">
                  <c:v>18.9</c:v>
                </c:pt>
                <c:pt idx="933">
                  <c:v>18.9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19</c:v>
                </c:pt>
                <c:pt idx="938">
                  <c:v>19</c:v>
                </c:pt>
                <c:pt idx="939">
                  <c:v>19</c:v>
                </c:pt>
                <c:pt idx="940">
                  <c:v>19</c:v>
                </c:pt>
                <c:pt idx="941">
                  <c:v>19.1</c:v>
                </c:pt>
                <c:pt idx="942">
                  <c:v>19.1</c:v>
                </c:pt>
                <c:pt idx="943">
                  <c:v>19.1</c:v>
                </c:pt>
                <c:pt idx="944">
                  <c:v>19.1</c:v>
                </c:pt>
                <c:pt idx="945">
                  <c:v>19.1</c:v>
                </c:pt>
                <c:pt idx="946">
                  <c:v>19.1</c:v>
                </c:pt>
                <c:pt idx="947">
                  <c:v>19.1</c:v>
                </c:pt>
                <c:pt idx="948">
                  <c:v>19.1</c:v>
                </c:pt>
                <c:pt idx="949">
                  <c:v>19.1</c:v>
                </c:pt>
                <c:pt idx="950">
                  <c:v>19.2</c:v>
                </c:pt>
                <c:pt idx="951">
                  <c:v>19.2</c:v>
                </c:pt>
                <c:pt idx="952">
                  <c:v>19.2</c:v>
                </c:pt>
                <c:pt idx="953">
                  <c:v>19.3</c:v>
                </c:pt>
                <c:pt idx="954">
                  <c:v>19.3</c:v>
                </c:pt>
                <c:pt idx="955">
                  <c:v>19.4</c:v>
                </c:pt>
                <c:pt idx="956">
                  <c:v>19.4</c:v>
                </c:pt>
                <c:pt idx="957">
                  <c:v>19.4</c:v>
                </c:pt>
                <c:pt idx="958">
                  <c:v>19.4</c:v>
                </c:pt>
                <c:pt idx="959">
                  <c:v>19.4</c:v>
                </c:pt>
                <c:pt idx="960">
                  <c:v>19.4</c:v>
                </c:pt>
                <c:pt idx="961">
                  <c:v>19.4</c:v>
                </c:pt>
                <c:pt idx="962">
                  <c:v>19.5</c:v>
                </c:pt>
                <c:pt idx="963">
                  <c:v>19.5</c:v>
                </c:pt>
                <c:pt idx="964">
                  <c:v>19.5</c:v>
                </c:pt>
                <c:pt idx="965">
                  <c:v>19.5</c:v>
                </c:pt>
                <c:pt idx="966">
                  <c:v>19.5</c:v>
                </c:pt>
                <c:pt idx="967">
                  <c:v>19.5</c:v>
                </c:pt>
                <c:pt idx="968">
                  <c:v>19.5</c:v>
                </c:pt>
                <c:pt idx="969">
                  <c:v>19.6</c:v>
                </c:pt>
                <c:pt idx="970">
                  <c:v>19.6</c:v>
                </c:pt>
                <c:pt idx="971">
                  <c:v>19.6</c:v>
                </c:pt>
                <c:pt idx="972">
                  <c:v>19.6</c:v>
                </c:pt>
                <c:pt idx="973">
                  <c:v>19.6</c:v>
                </c:pt>
                <c:pt idx="974">
                  <c:v>19.7</c:v>
                </c:pt>
                <c:pt idx="975">
                  <c:v>19.7</c:v>
                </c:pt>
                <c:pt idx="976">
                  <c:v>19.7</c:v>
                </c:pt>
                <c:pt idx="977">
                  <c:v>19.7</c:v>
                </c:pt>
                <c:pt idx="978">
                  <c:v>19.7</c:v>
                </c:pt>
                <c:pt idx="979">
                  <c:v>19.7</c:v>
                </c:pt>
                <c:pt idx="980">
                  <c:v>19.8</c:v>
                </c:pt>
                <c:pt idx="981">
                  <c:v>19.8</c:v>
                </c:pt>
                <c:pt idx="982">
                  <c:v>19.8</c:v>
                </c:pt>
                <c:pt idx="983">
                  <c:v>19.8</c:v>
                </c:pt>
                <c:pt idx="984">
                  <c:v>19.8</c:v>
                </c:pt>
                <c:pt idx="985">
                  <c:v>19.8</c:v>
                </c:pt>
                <c:pt idx="986">
                  <c:v>19.8</c:v>
                </c:pt>
                <c:pt idx="987">
                  <c:v>19.9</c:v>
                </c:pt>
                <c:pt idx="988">
                  <c:v>19.9</c:v>
                </c:pt>
                <c:pt idx="989">
                  <c:v>19.9</c:v>
                </c:pt>
                <c:pt idx="990">
                  <c:v>19.9</c:v>
                </c:pt>
                <c:pt idx="991">
                  <c:v>19.9</c:v>
                </c:pt>
                <c:pt idx="992">
                  <c:v>19.9</c:v>
                </c:pt>
                <c:pt idx="993">
                  <c:v>19.9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</c:numCache>
            </c:numRef>
          </c:xVal>
          <c:yVal>
            <c:numRef>
              <c:f>'ML9'!$B$5:$B$1004</c:f>
              <c:numCache>
                <c:formatCode>General</c:formatCode>
                <c:ptCount val="1000"/>
                <c:pt idx="0">
                  <c:v>11.7</c:v>
                </c:pt>
                <c:pt idx="1">
                  <c:v>12.7</c:v>
                </c:pt>
                <c:pt idx="2">
                  <c:v>11.3</c:v>
                </c:pt>
                <c:pt idx="3">
                  <c:v>15.3</c:v>
                </c:pt>
                <c:pt idx="4">
                  <c:v>7</c:v>
                </c:pt>
                <c:pt idx="5">
                  <c:v>22.4</c:v>
                </c:pt>
                <c:pt idx="6">
                  <c:v>14.2</c:v>
                </c:pt>
                <c:pt idx="7">
                  <c:v>7.3</c:v>
                </c:pt>
                <c:pt idx="8">
                  <c:v>10.4</c:v>
                </c:pt>
                <c:pt idx="9">
                  <c:v>16.7</c:v>
                </c:pt>
                <c:pt idx="10">
                  <c:v>10.2</c:v>
                </c:pt>
                <c:pt idx="11">
                  <c:v>16.5</c:v>
                </c:pt>
                <c:pt idx="12">
                  <c:v>22.6</c:v>
                </c:pt>
                <c:pt idx="13">
                  <c:v>18.6</c:v>
                </c:pt>
                <c:pt idx="14">
                  <c:v>17</c:v>
                </c:pt>
                <c:pt idx="15">
                  <c:v>7.2</c:v>
                </c:pt>
                <c:pt idx="16">
                  <c:v>13.4</c:v>
                </c:pt>
                <c:pt idx="17">
                  <c:v>21.7</c:v>
                </c:pt>
                <c:pt idx="18">
                  <c:v>12</c:v>
                </c:pt>
                <c:pt idx="19">
                  <c:v>21.2</c:v>
                </c:pt>
                <c:pt idx="20">
                  <c:v>22.4</c:v>
                </c:pt>
                <c:pt idx="21">
                  <c:v>9.5</c:v>
                </c:pt>
                <c:pt idx="22">
                  <c:v>9.9</c:v>
                </c:pt>
                <c:pt idx="23">
                  <c:v>21.7</c:v>
                </c:pt>
                <c:pt idx="24">
                  <c:v>7.3</c:v>
                </c:pt>
                <c:pt idx="25">
                  <c:v>16.3</c:v>
                </c:pt>
                <c:pt idx="26">
                  <c:v>13.7</c:v>
                </c:pt>
                <c:pt idx="27">
                  <c:v>9.1</c:v>
                </c:pt>
                <c:pt idx="28">
                  <c:v>10.7</c:v>
                </c:pt>
                <c:pt idx="29">
                  <c:v>13.7</c:v>
                </c:pt>
                <c:pt idx="30">
                  <c:v>19.4</c:v>
                </c:pt>
                <c:pt idx="31">
                  <c:v>22.5</c:v>
                </c:pt>
                <c:pt idx="32">
                  <c:v>13.7</c:v>
                </c:pt>
                <c:pt idx="33">
                  <c:v>10.7</c:v>
                </c:pt>
                <c:pt idx="34">
                  <c:v>19.3</c:v>
                </c:pt>
                <c:pt idx="35">
                  <c:v>9.5</c:v>
                </c:pt>
                <c:pt idx="36">
                  <c:v>23.8</c:v>
                </c:pt>
                <c:pt idx="37">
                  <c:v>18.2</c:v>
                </c:pt>
                <c:pt idx="38">
                  <c:v>23.1</c:v>
                </c:pt>
                <c:pt idx="39">
                  <c:v>10.3</c:v>
                </c:pt>
                <c:pt idx="40">
                  <c:v>20.9</c:v>
                </c:pt>
                <c:pt idx="41">
                  <c:v>6.9</c:v>
                </c:pt>
                <c:pt idx="42">
                  <c:v>7.8</c:v>
                </c:pt>
                <c:pt idx="43">
                  <c:v>6</c:v>
                </c:pt>
                <c:pt idx="44">
                  <c:v>13.6</c:v>
                </c:pt>
                <c:pt idx="45">
                  <c:v>21.6</c:v>
                </c:pt>
                <c:pt idx="46">
                  <c:v>17.2</c:v>
                </c:pt>
                <c:pt idx="47">
                  <c:v>17.6</c:v>
                </c:pt>
                <c:pt idx="48">
                  <c:v>21.3</c:v>
                </c:pt>
                <c:pt idx="49">
                  <c:v>21.9</c:v>
                </c:pt>
                <c:pt idx="50">
                  <c:v>8.1</c:v>
                </c:pt>
                <c:pt idx="51">
                  <c:v>6.9</c:v>
                </c:pt>
                <c:pt idx="52">
                  <c:v>14.3</c:v>
                </c:pt>
                <c:pt idx="53">
                  <c:v>17.5</c:v>
                </c:pt>
                <c:pt idx="54">
                  <c:v>18.1</c:v>
                </c:pt>
                <c:pt idx="55">
                  <c:v>16.7</c:v>
                </c:pt>
                <c:pt idx="56">
                  <c:v>6.9</c:v>
                </c:pt>
                <c:pt idx="57">
                  <c:v>24</c:v>
                </c:pt>
                <c:pt idx="58">
                  <c:v>7.5</c:v>
                </c:pt>
                <c:pt idx="59">
                  <c:v>14.3</c:v>
                </c:pt>
                <c:pt idx="60">
                  <c:v>12</c:v>
                </c:pt>
                <c:pt idx="61">
                  <c:v>15</c:v>
                </c:pt>
                <c:pt idx="62">
                  <c:v>18.2</c:v>
                </c:pt>
                <c:pt idx="63">
                  <c:v>7.5</c:v>
                </c:pt>
                <c:pt idx="64">
                  <c:v>10.1</c:v>
                </c:pt>
                <c:pt idx="65">
                  <c:v>8.4</c:v>
                </c:pt>
                <c:pt idx="66">
                  <c:v>16.2</c:v>
                </c:pt>
                <c:pt idx="67">
                  <c:v>17.6</c:v>
                </c:pt>
                <c:pt idx="68">
                  <c:v>13.3</c:v>
                </c:pt>
                <c:pt idx="69">
                  <c:v>18.7</c:v>
                </c:pt>
                <c:pt idx="70">
                  <c:v>18.7</c:v>
                </c:pt>
                <c:pt idx="71">
                  <c:v>21.3</c:v>
                </c:pt>
                <c:pt idx="72">
                  <c:v>18.1</c:v>
                </c:pt>
                <c:pt idx="73">
                  <c:v>12.4</c:v>
                </c:pt>
                <c:pt idx="74">
                  <c:v>17.4</c:v>
                </c:pt>
                <c:pt idx="75">
                  <c:v>23.1</c:v>
                </c:pt>
                <c:pt idx="76">
                  <c:v>7.3</c:v>
                </c:pt>
                <c:pt idx="77">
                  <c:v>15.4</c:v>
                </c:pt>
                <c:pt idx="78">
                  <c:v>8.9</c:v>
                </c:pt>
                <c:pt idx="79">
                  <c:v>18.9</c:v>
                </c:pt>
                <c:pt idx="80">
                  <c:v>17.8</c:v>
                </c:pt>
                <c:pt idx="81">
                  <c:v>22.6</c:v>
                </c:pt>
                <c:pt idx="82">
                  <c:v>17.7</c:v>
                </c:pt>
                <c:pt idx="83">
                  <c:v>23.2</c:v>
                </c:pt>
                <c:pt idx="84">
                  <c:v>8.2</c:v>
                </c:pt>
                <c:pt idx="85">
                  <c:v>6.6</c:v>
                </c:pt>
                <c:pt idx="86">
                  <c:v>15</c:v>
                </c:pt>
                <c:pt idx="87">
                  <c:v>23.3</c:v>
                </c:pt>
                <c:pt idx="88">
                  <c:v>6.4</c:v>
                </c:pt>
                <c:pt idx="89">
                  <c:v>15.8</c:v>
                </c:pt>
                <c:pt idx="90">
                  <c:v>6.2</c:v>
                </c:pt>
                <c:pt idx="91">
                  <c:v>17.2</c:v>
                </c:pt>
                <c:pt idx="92">
                  <c:v>12.5</c:v>
                </c:pt>
                <c:pt idx="93">
                  <c:v>17</c:v>
                </c:pt>
                <c:pt idx="94">
                  <c:v>7.5</c:v>
                </c:pt>
                <c:pt idx="95">
                  <c:v>12.3</c:v>
                </c:pt>
                <c:pt idx="96">
                  <c:v>11.7</c:v>
                </c:pt>
                <c:pt idx="97">
                  <c:v>10.3</c:v>
                </c:pt>
                <c:pt idx="98">
                  <c:v>22.8</c:v>
                </c:pt>
                <c:pt idx="99">
                  <c:v>9.1</c:v>
                </c:pt>
                <c:pt idx="100">
                  <c:v>20.9</c:v>
                </c:pt>
                <c:pt idx="101">
                  <c:v>22.5</c:v>
                </c:pt>
                <c:pt idx="102">
                  <c:v>13.1</c:v>
                </c:pt>
                <c:pt idx="103">
                  <c:v>15.6</c:v>
                </c:pt>
                <c:pt idx="104">
                  <c:v>10.6</c:v>
                </c:pt>
                <c:pt idx="105">
                  <c:v>23.3</c:v>
                </c:pt>
                <c:pt idx="106">
                  <c:v>19.7</c:v>
                </c:pt>
                <c:pt idx="107">
                  <c:v>14.1</c:v>
                </c:pt>
                <c:pt idx="108">
                  <c:v>16.1</c:v>
                </c:pt>
                <c:pt idx="109">
                  <c:v>21.7</c:v>
                </c:pt>
                <c:pt idx="110">
                  <c:v>18.4</c:v>
                </c:pt>
                <c:pt idx="111">
                  <c:v>9.2</c:v>
                </c:pt>
                <c:pt idx="112">
                  <c:v>11.9</c:v>
                </c:pt>
                <c:pt idx="113">
                  <c:v>10.4</c:v>
                </c:pt>
                <c:pt idx="114">
                  <c:v>16.8</c:v>
                </c:pt>
                <c:pt idx="115">
                  <c:v>9</c:v>
                </c:pt>
                <c:pt idx="116">
                  <c:v>18.4</c:v>
                </c:pt>
                <c:pt idx="117">
                  <c:v>16.4</c:v>
                </c:pt>
                <c:pt idx="118">
                  <c:v>7.6</c:v>
                </c:pt>
                <c:pt idx="119">
                  <c:v>19.1</c:v>
                </c:pt>
                <c:pt idx="120">
                  <c:v>15.8</c:v>
                </c:pt>
                <c:pt idx="121">
                  <c:v>14.1</c:v>
                </c:pt>
                <c:pt idx="122">
                  <c:v>10.8</c:v>
                </c:pt>
                <c:pt idx="123">
                  <c:v>19.5</c:v>
                </c:pt>
                <c:pt idx="124">
                  <c:v>13.7</c:v>
                </c:pt>
                <c:pt idx="125">
                  <c:v>13.1</c:v>
                </c:pt>
                <c:pt idx="126">
                  <c:v>9.1</c:v>
                </c:pt>
                <c:pt idx="127">
                  <c:v>17.2</c:v>
                </c:pt>
                <c:pt idx="128">
                  <c:v>20.8</c:v>
                </c:pt>
                <c:pt idx="129">
                  <c:v>19.7</c:v>
                </c:pt>
                <c:pt idx="130">
                  <c:v>14.7</c:v>
                </c:pt>
                <c:pt idx="131">
                  <c:v>11.1</c:v>
                </c:pt>
                <c:pt idx="132">
                  <c:v>14.1</c:v>
                </c:pt>
                <c:pt idx="133">
                  <c:v>11.7</c:v>
                </c:pt>
                <c:pt idx="134">
                  <c:v>21.5</c:v>
                </c:pt>
                <c:pt idx="135">
                  <c:v>12</c:v>
                </c:pt>
                <c:pt idx="136">
                  <c:v>19.7</c:v>
                </c:pt>
                <c:pt idx="137">
                  <c:v>18</c:v>
                </c:pt>
                <c:pt idx="138">
                  <c:v>6.8</c:v>
                </c:pt>
                <c:pt idx="139">
                  <c:v>15.6</c:v>
                </c:pt>
                <c:pt idx="140">
                  <c:v>15.4</c:v>
                </c:pt>
                <c:pt idx="141">
                  <c:v>15.1</c:v>
                </c:pt>
                <c:pt idx="142">
                  <c:v>23.3</c:v>
                </c:pt>
                <c:pt idx="143">
                  <c:v>11.9</c:v>
                </c:pt>
                <c:pt idx="144">
                  <c:v>8.8</c:v>
                </c:pt>
                <c:pt idx="145">
                  <c:v>14.4</c:v>
                </c:pt>
                <c:pt idx="146">
                  <c:v>23.8</c:v>
                </c:pt>
                <c:pt idx="147">
                  <c:v>8.3</c:v>
                </c:pt>
                <c:pt idx="148">
                  <c:v>18.5</c:v>
                </c:pt>
                <c:pt idx="149">
                  <c:v>14.8</c:v>
                </c:pt>
                <c:pt idx="150">
                  <c:v>15.7</c:v>
                </c:pt>
                <c:pt idx="151">
                  <c:v>17.8</c:v>
                </c:pt>
                <c:pt idx="152">
                  <c:v>19.4</c:v>
                </c:pt>
                <c:pt idx="153">
                  <c:v>19.7</c:v>
                </c:pt>
                <c:pt idx="154">
                  <c:v>13.3</c:v>
                </c:pt>
                <c:pt idx="155">
                  <c:v>15.5</c:v>
                </c:pt>
                <c:pt idx="156">
                  <c:v>23.9</c:v>
                </c:pt>
                <c:pt idx="157">
                  <c:v>9.6</c:v>
                </c:pt>
                <c:pt idx="158">
                  <c:v>6.3</c:v>
                </c:pt>
                <c:pt idx="159">
                  <c:v>7.8</c:v>
                </c:pt>
                <c:pt idx="160">
                  <c:v>15.1</c:v>
                </c:pt>
                <c:pt idx="161">
                  <c:v>9.5</c:v>
                </c:pt>
                <c:pt idx="162">
                  <c:v>16.8</c:v>
                </c:pt>
                <c:pt idx="163">
                  <c:v>15.5</c:v>
                </c:pt>
                <c:pt idx="164">
                  <c:v>21.1</c:v>
                </c:pt>
                <c:pt idx="165">
                  <c:v>21.7</c:v>
                </c:pt>
                <c:pt idx="166">
                  <c:v>19.4</c:v>
                </c:pt>
                <c:pt idx="167">
                  <c:v>19.9</c:v>
                </c:pt>
                <c:pt idx="168">
                  <c:v>23.2</c:v>
                </c:pt>
                <c:pt idx="169">
                  <c:v>6.6</c:v>
                </c:pt>
                <c:pt idx="170">
                  <c:v>16.8</c:v>
                </c:pt>
                <c:pt idx="171">
                  <c:v>20.3</c:v>
                </c:pt>
                <c:pt idx="172">
                  <c:v>12</c:v>
                </c:pt>
                <c:pt idx="173">
                  <c:v>6.8</c:v>
                </c:pt>
                <c:pt idx="174">
                  <c:v>12.2</c:v>
                </c:pt>
                <c:pt idx="175">
                  <c:v>16.3</c:v>
                </c:pt>
                <c:pt idx="176">
                  <c:v>8.9</c:v>
                </c:pt>
                <c:pt idx="177">
                  <c:v>16.3</c:v>
                </c:pt>
                <c:pt idx="178">
                  <c:v>21.7</c:v>
                </c:pt>
                <c:pt idx="179">
                  <c:v>19.9</c:v>
                </c:pt>
                <c:pt idx="180">
                  <c:v>23.4</c:v>
                </c:pt>
                <c:pt idx="181">
                  <c:v>23.7</c:v>
                </c:pt>
                <c:pt idx="182">
                  <c:v>16.6</c:v>
                </c:pt>
                <c:pt idx="183">
                  <c:v>21.1</c:v>
                </c:pt>
                <c:pt idx="184">
                  <c:v>15.1</c:v>
                </c:pt>
                <c:pt idx="185">
                  <c:v>14.4</c:v>
                </c:pt>
                <c:pt idx="186">
                  <c:v>6.3</c:v>
                </c:pt>
                <c:pt idx="187">
                  <c:v>14.7</c:v>
                </c:pt>
                <c:pt idx="188">
                  <c:v>8.3</c:v>
                </c:pt>
                <c:pt idx="189">
                  <c:v>17.4</c:v>
                </c:pt>
                <c:pt idx="190">
                  <c:v>10.3</c:v>
                </c:pt>
                <c:pt idx="191">
                  <c:v>23.2</c:v>
                </c:pt>
                <c:pt idx="192">
                  <c:v>7.6</c:v>
                </c:pt>
                <c:pt idx="193">
                  <c:v>15.8</c:v>
                </c:pt>
                <c:pt idx="194">
                  <c:v>21.3</c:v>
                </c:pt>
                <c:pt idx="195">
                  <c:v>22</c:v>
                </c:pt>
                <c:pt idx="196">
                  <c:v>22.2</c:v>
                </c:pt>
                <c:pt idx="197">
                  <c:v>20.9</c:v>
                </c:pt>
                <c:pt idx="198">
                  <c:v>22.2</c:v>
                </c:pt>
                <c:pt idx="199">
                  <c:v>11.2</c:v>
                </c:pt>
                <c:pt idx="200">
                  <c:v>22.7</c:v>
                </c:pt>
                <c:pt idx="201">
                  <c:v>14</c:v>
                </c:pt>
                <c:pt idx="202">
                  <c:v>10.5</c:v>
                </c:pt>
                <c:pt idx="203">
                  <c:v>7.3</c:v>
                </c:pt>
                <c:pt idx="204">
                  <c:v>11.9</c:v>
                </c:pt>
                <c:pt idx="205">
                  <c:v>16.3</c:v>
                </c:pt>
                <c:pt idx="206">
                  <c:v>21.5</c:v>
                </c:pt>
                <c:pt idx="207">
                  <c:v>11.8</c:v>
                </c:pt>
                <c:pt idx="208">
                  <c:v>6.2</c:v>
                </c:pt>
                <c:pt idx="209">
                  <c:v>11</c:v>
                </c:pt>
                <c:pt idx="210">
                  <c:v>19.4</c:v>
                </c:pt>
                <c:pt idx="211">
                  <c:v>12.9</c:v>
                </c:pt>
                <c:pt idx="212">
                  <c:v>13.5</c:v>
                </c:pt>
                <c:pt idx="213">
                  <c:v>6.5</c:v>
                </c:pt>
                <c:pt idx="214">
                  <c:v>22.7</c:v>
                </c:pt>
                <c:pt idx="215">
                  <c:v>14.6</c:v>
                </c:pt>
                <c:pt idx="216">
                  <c:v>23.4</c:v>
                </c:pt>
                <c:pt idx="217">
                  <c:v>7.9</c:v>
                </c:pt>
                <c:pt idx="218">
                  <c:v>21.1</c:v>
                </c:pt>
                <c:pt idx="219">
                  <c:v>19.8</c:v>
                </c:pt>
                <c:pt idx="220">
                  <c:v>14.5</c:v>
                </c:pt>
                <c:pt idx="221">
                  <c:v>15</c:v>
                </c:pt>
                <c:pt idx="222">
                  <c:v>23.8</c:v>
                </c:pt>
                <c:pt idx="223">
                  <c:v>15.2</c:v>
                </c:pt>
                <c:pt idx="224">
                  <c:v>21.9</c:v>
                </c:pt>
                <c:pt idx="225">
                  <c:v>21.4</c:v>
                </c:pt>
                <c:pt idx="226">
                  <c:v>18.5</c:v>
                </c:pt>
                <c:pt idx="227">
                  <c:v>16</c:v>
                </c:pt>
                <c:pt idx="228">
                  <c:v>8.4</c:v>
                </c:pt>
                <c:pt idx="229">
                  <c:v>11.4</c:v>
                </c:pt>
                <c:pt idx="230">
                  <c:v>15.4</c:v>
                </c:pt>
                <c:pt idx="231">
                  <c:v>6.9</c:v>
                </c:pt>
                <c:pt idx="232">
                  <c:v>9.2</c:v>
                </c:pt>
                <c:pt idx="233">
                  <c:v>11.4</c:v>
                </c:pt>
                <c:pt idx="234">
                  <c:v>8.9</c:v>
                </c:pt>
                <c:pt idx="235">
                  <c:v>23.9</c:v>
                </c:pt>
                <c:pt idx="236">
                  <c:v>10.3</c:v>
                </c:pt>
                <c:pt idx="237">
                  <c:v>7.8</c:v>
                </c:pt>
                <c:pt idx="238">
                  <c:v>23.7</c:v>
                </c:pt>
                <c:pt idx="239">
                  <c:v>7.4</c:v>
                </c:pt>
                <c:pt idx="240">
                  <c:v>11.6</c:v>
                </c:pt>
                <c:pt idx="241">
                  <c:v>23.9</c:v>
                </c:pt>
                <c:pt idx="242">
                  <c:v>20.6</c:v>
                </c:pt>
                <c:pt idx="243">
                  <c:v>14.9</c:v>
                </c:pt>
                <c:pt idx="244">
                  <c:v>21.7</c:v>
                </c:pt>
                <c:pt idx="245">
                  <c:v>15</c:v>
                </c:pt>
                <c:pt idx="246">
                  <c:v>8</c:v>
                </c:pt>
                <c:pt idx="247">
                  <c:v>6.7</c:v>
                </c:pt>
                <c:pt idx="248">
                  <c:v>10.1</c:v>
                </c:pt>
                <c:pt idx="249">
                  <c:v>16.5</c:v>
                </c:pt>
                <c:pt idx="250">
                  <c:v>17.1</c:v>
                </c:pt>
                <c:pt idx="251">
                  <c:v>12.4</c:v>
                </c:pt>
                <c:pt idx="252">
                  <c:v>18.4</c:v>
                </c:pt>
                <c:pt idx="253">
                  <c:v>18.7</c:v>
                </c:pt>
                <c:pt idx="254">
                  <c:v>14.9</c:v>
                </c:pt>
                <c:pt idx="255">
                  <c:v>17.4</c:v>
                </c:pt>
                <c:pt idx="256">
                  <c:v>12.7</c:v>
                </c:pt>
                <c:pt idx="257">
                  <c:v>13.8</c:v>
                </c:pt>
                <c:pt idx="258">
                  <c:v>14</c:v>
                </c:pt>
                <c:pt idx="259">
                  <c:v>23.7</c:v>
                </c:pt>
                <c:pt idx="260">
                  <c:v>16.2</c:v>
                </c:pt>
                <c:pt idx="261">
                  <c:v>13.2</c:v>
                </c:pt>
                <c:pt idx="262">
                  <c:v>22.8</c:v>
                </c:pt>
                <c:pt idx="263">
                  <c:v>11.7</c:v>
                </c:pt>
                <c:pt idx="264">
                  <c:v>17.8</c:v>
                </c:pt>
                <c:pt idx="265">
                  <c:v>10.5</c:v>
                </c:pt>
                <c:pt idx="266">
                  <c:v>15.7</c:v>
                </c:pt>
                <c:pt idx="267">
                  <c:v>18.4</c:v>
                </c:pt>
                <c:pt idx="268">
                  <c:v>18.8</c:v>
                </c:pt>
                <c:pt idx="269">
                  <c:v>13.3</c:v>
                </c:pt>
                <c:pt idx="270">
                  <c:v>7.8</c:v>
                </c:pt>
                <c:pt idx="271">
                  <c:v>6.7</c:v>
                </c:pt>
                <c:pt idx="272">
                  <c:v>22.9</c:v>
                </c:pt>
                <c:pt idx="273">
                  <c:v>9.4</c:v>
                </c:pt>
                <c:pt idx="274">
                  <c:v>7</c:v>
                </c:pt>
                <c:pt idx="275">
                  <c:v>18.6</c:v>
                </c:pt>
                <c:pt idx="276">
                  <c:v>19.6</c:v>
                </c:pt>
                <c:pt idx="277">
                  <c:v>13</c:v>
                </c:pt>
                <c:pt idx="278">
                  <c:v>13</c:v>
                </c:pt>
                <c:pt idx="279">
                  <c:v>12.4</c:v>
                </c:pt>
                <c:pt idx="280">
                  <c:v>6.1</c:v>
                </c:pt>
                <c:pt idx="281">
                  <c:v>15.4</c:v>
                </c:pt>
                <c:pt idx="282">
                  <c:v>14.3</c:v>
                </c:pt>
                <c:pt idx="283">
                  <c:v>16.8</c:v>
                </c:pt>
                <c:pt idx="284">
                  <c:v>20.4</c:v>
                </c:pt>
                <c:pt idx="285">
                  <c:v>6.3</c:v>
                </c:pt>
                <c:pt idx="286">
                  <c:v>20.8</c:v>
                </c:pt>
                <c:pt idx="287">
                  <c:v>9.1</c:v>
                </c:pt>
                <c:pt idx="288">
                  <c:v>15.3</c:v>
                </c:pt>
                <c:pt idx="289">
                  <c:v>11.4</c:v>
                </c:pt>
                <c:pt idx="290">
                  <c:v>13.6</c:v>
                </c:pt>
                <c:pt idx="291">
                  <c:v>11.4</c:v>
                </c:pt>
                <c:pt idx="292">
                  <c:v>10.3</c:v>
                </c:pt>
                <c:pt idx="293">
                  <c:v>11.5</c:v>
                </c:pt>
                <c:pt idx="294">
                  <c:v>10</c:v>
                </c:pt>
                <c:pt idx="295">
                  <c:v>11.9</c:v>
                </c:pt>
                <c:pt idx="296">
                  <c:v>21.4</c:v>
                </c:pt>
                <c:pt idx="297">
                  <c:v>19.8</c:v>
                </c:pt>
                <c:pt idx="298">
                  <c:v>21.2</c:v>
                </c:pt>
                <c:pt idx="299">
                  <c:v>12</c:v>
                </c:pt>
                <c:pt idx="300">
                  <c:v>7.2</c:v>
                </c:pt>
                <c:pt idx="301">
                  <c:v>13.8</c:v>
                </c:pt>
                <c:pt idx="302">
                  <c:v>19.3</c:v>
                </c:pt>
                <c:pt idx="303">
                  <c:v>19.3</c:v>
                </c:pt>
                <c:pt idx="304">
                  <c:v>19.1</c:v>
                </c:pt>
                <c:pt idx="305">
                  <c:v>12</c:v>
                </c:pt>
                <c:pt idx="306">
                  <c:v>6.2</c:v>
                </c:pt>
                <c:pt idx="307">
                  <c:v>6.1</c:v>
                </c:pt>
                <c:pt idx="308">
                  <c:v>18.2</c:v>
                </c:pt>
                <c:pt idx="309">
                  <c:v>10</c:v>
                </c:pt>
                <c:pt idx="310">
                  <c:v>16.3</c:v>
                </c:pt>
                <c:pt idx="311">
                  <c:v>14.8</c:v>
                </c:pt>
                <c:pt idx="312">
                  <c:v>13.3</c:v>
                </c:pt>
                <c:pt idx="313">
                  <c:v>9</c:v>
                </c:pt>
                <c:pt idx="314">
                  <c:v>22.7</c:v>
                </c:pt>
                <c:pt idx="315">
                  <c:v>18.6</c:v>
                </c:pt>
                <c:pt idx="316">
                  <c:v>14.9</c:v>
                </c:pt>
                <c:pt idx="317">
                  <c:v>7</c:v>
                </c:pt>
                <c:pt idx="318">
                  <c:v>15.4</c:v>
                </c:pt>
                <c:pt idx="319">
                  <c:v>11.8</c:v>
                </c:pt>
                <c:pt idx="320">
                  <c:v>12.8</c:v>
                </c:pt>
                <c:pt idx="321">
                  <c:v>8.1</c:v>
                </c:pt>
                <c:pt idx="322">
                  <c:v>20.7</c:v>
                </c:pt>
                <c:pt idx="323">
                  <c:v>7.9</c:v>
                </c:pt>
                <c:pt idx="324">
                  <c:v>7</c:v>
                </c:pt>
                <c:pt idx="325">
                  <c:v>19.7</c:v>
                </c:pt>
                <c:pt idx="326">
                  <c:v>22.9</c:v>
                </c:pt>
                <c:pt idx="327">
                  <c:v>22.3</c:v>
                </c:pt>
                <c:pt idx="328">
                  <c:v>13.4</c:v>
                </c:pt>
                <c:pt idx="329">
                  <c:v>11.3</c:v>
                </c:pt>
                <c:pt idx="330">
                  <c:v>8</c:v>
                </c:pt>
                <c:pt idx="331">
                  <c:v>10.2</c:v>
                </c:pt>
                <c:pt idx="332">
                  <c:v>18.7</c:v>
                </c:pt>
                <c:pt idx="333">
                  <c:v>16</c:v>
                </c:pt>
                <c:pt idx="334">
                  <c:v>10.5</c:v>
                </c:pt>
                <c:pt idx="335">
                  <c:v>6.3</c:v>
                </c:pt>
                <c:pt idx="336">
                  <c:v>20</c:v>
                </c:pt>
                <c:pt idx="337">
                  <c:v>11.1</c:v>
                </c:pt>
                <c:pt idx="338">
                  <c:v>11.9</c:v>
                </c:pt>
                <c:pt idx="339">
                  <c:v>15.4</c:v>
                </c:pt>
                <c:pt idx="340">
                  <c:v>16.6</c:v>
                </c:pt>
                <c:pt idx="341">
                  <c:v>6.2</c:v>
                </c:pt>
                <c:pt idx="342">
                  <c:v>16.2</c:v>
                </c:pt>
                <c:pt idx="343">
                  <c:v>19.3</c:v>
                </c:pt>
                <c:pt idx="344">
                  <c:v>21.2</c:v>
                </c:pt>
                <c:pt idx="345">
                  <c:v>8.6</c:v>
                </c:pt>
                <c:pt idx="346">
                  <c:v>20.4</c:v>
                </c:pt>
                <c:pt idx="347">
                  <c:v>19.7</c:v>
                </c:pt>
                <c:pt idx="348">
                  <c:v>9.3</c:v>
                </c:pt>
                <c:pt idx="349">
                  <c:v>9.3</c:v>
                </c:pt>
                <c:pt idx="350">
                  <c:v>6.7</c:v>
                </c:pt>
                <c:pt idx="351">
                  <c:v>10.8</c:v>
                </c:pt>
                <c:pt idx="352">
                  <c:v>13.9</c:v>
                </c:pt>
                <c:pt idx="353">
                  <c:v>16.6</c:v>
                </c:pt>
                <c:pt idx="354">
                  <c:v>22.4</c:v>
                </c:pt>
                <c:pt idx="355">
                  <c:v>23.2</c:v>
                </c:pt>
                <c:pt idx="356">
                  <c:v>10.7</c:v>
                </c:pt>
                <c:pt idx="357">
                  <c:v>12.1</c:v>
                </c:pt>
                <c:pt idx="358">
                  <c:v>17.2</c:v>
                </c:pt>
                <c:pt idx="359">
                  <c:v>20.8</c:v>
                </c:pt>
                <c:pt idx="360">
                  <c:v>15.8</c:v>
                </c:pt>
                <c:pt idx="361">
                  <c:v>19.2</c:v>
                </c:pt>
                <c:pt idx="362">
                  <c:v>17.6</c:v>
                </c:pt>
                <c:pt idx="363">
                  <c:v>21.3</c:v>
                </c:pt>
                <c:pt idx="364">
                  <c:v>6.6</c:v>
                </c:pt>
                <c:pt idx="365">
                  <c:v>14.9</c:v>
                </c:pt>
                <c:pt idx="366">
                  <c:v>7</c:v>
                </c:pt>
                <c:pt idx="367">
                  <c:v>10.3</c:v>
                </c:pt>
                <c:pt idx="368">
                  <c:v>12.8</c:v>
                </c:pt>
                <c:pt idx="369">
                  <c:v>20.4</c:v>
                </c:pt>
                <c:pt idx="370">
                  <c:v>19.6</c:v>
                </c:pt>
                <c:pt idx="371">
                  <c:v>7.8</c:v>
                </c:pt>
                <c:pt idx="372">
                  <c:v>20.4</c:v>
                </c:pt>
                <c:pt idx="373">
                  <c:v>8.3</c:v>
                </c:pt>
                <c:pt idx="374">
                  <c:v>22.3</c:v>
                </c:pt>
                <c:pt idx="375">
                  <c:v>19.6</c:v>
                </c:pt>
                <c:pt idx="376">
                  <c:v>13.9</c:v>
                </c:pt>
                <c:pt idx="377">
                  <c:v>14.8</c:v>
                </c:pt>
                <c:pt idx="378">
                  <c:v>7.3</c:v>
                </c:pt>
                <c:pt idx="379">
                  <c:v>14.2</c:v>
                </c:pt>
                <c:pt idx="380">
                  <c:v>11.2</c:v>
                </c:pt>
                <c:pt idx="381">
                  <c:v>14.8</c:v>
                </c:pt>
                <c:pt idx="382">
                  <c:v>16.6</c:v>
                </c:pt>
                <c:pt idx="383">
                  <c:v>12.4</c:v>
                </c:pt>
                <c:pt idx="384">
                  <c:v>11.1</c:v>
                </c:pt>
                <c:pt idx="385">
                  <c:v>12.4</c:v>
                </c:pt>
                <c:pt idx="386">
                  <c:v>23.7</c:v>
                </c:pt>
                <c:pt idx="387">
                  <c:v>14.9</c:v>
                </c:pt>
                <c:pt idx="388">
                  <c:v>21.5</c:v>
                </c:pt>
                <c:pt idx="389">
                  <c:v>17.3</c:v>
                </c:pt>
                <c:pt idx="390">
                  <c:v>8</c:v>
                </c:pt>
                <c:pt idx="391">
                  <c:v>19.8</c:v>
                </c:pt>
                <c:pt idx="392">
                  <c:v>15.4</c:v>
                </c:pt>
                <c:pt idx="393">
                  <c:v>23.7</c:v>
                </c:pt>
                <c:pt idx="394">
                  <c:v>10.9</c:v>
                </c:pt>
                <c:pt idx="395">
                  <c:v>12.6</c:v>
                </c:pt>
                <c:pt idx="396">
                  <c:v>13</c:v>
                </c:pt>
                <c:pt idx="397">
                  <c:v>13.6</c:v>
                </c:pt>
                <c:pt idx="398">
                  <c:v>19.8</c:v>
                </c:pt>
                <c:pt idx="399">
                  <c:v>17.1</c:v>
                </c:pt>
                <c:pt idx="400">
                  <c:v>14.2</c:v>
                </c:pt>
                <c:pt idx="401">
                  <c:v>17.6</c:v>
                </c:pt>
                <c:pt idx="402">
                  <c:v>13.2</c:v>
                </c:pt>
                <c:pt idx="403">
                  <c:v>22.5</c:v>
                </c:pt>
                <c:pt idx="404">
                  <c:v>23</c:v>
                </c:pt>
                <c:pt idx="405">
                  <c:v>6.2</c:v>
                </c:pt>
                <c:pt idx="406">
                  <c:v>6.9</c:v>
                </c:pt>
                <c:pt idx="407">
                  <c:v>8.2</c:v>
                </c:pt>
                <c:pt idx="408">
                  <c:v>9.1</c:v>
                </c:pt>
                <c:pt idx="409">
                  <c:v>10.7</c:v>
                </c:pt>
                <c:pt idx="410">
                  <c:v>16.7</c:v>
                </c:pt>
                <c:pt idx="411">
                  <c:v>11.2</c:v>
                </c:pt>
                <c:pt idx="412">
                  <c:v>16.9</c:v>
                </c:pt>
                <c:pt idx="413">
                  <c:v>16.5</c:v>
                </c:pt>
                <c:pt idx="414">
                  <c:v>20.4</c:v>
                </c:pt>
                <c:pt idx="415">
                  <c:v>13.5</c:v>
                </c:pt>
                <c:pt idx="416">
                  <c:v>6.6</c:v>
                </c:pt>
                <c:pt idx="417">
                  <c:v>6.9</c:v>
                </c:pt>
                <c:pt idx="418">
                  <c:v>19.4</c:v>
                </c:pt>
                <c:pt idx="419">
                  <c:v>21.9</c:v>
                </c:pt>
                <c:pt idx="420">
                  <c:v>11.6</c:v>
                </c:pt>
                <c:pt idx="421">
                  <c:v>22.7</c:v>
                </c:pt>
                <c:pt idx="422">
                  <c:v>23.2</c:v>
                </c:pt>
                <c:pt idx="423">
                  <c:v>9.3</c:v>
                </c:pt>
                <c:pt idx="424">
                  <c:v>14.7</c:v>
                </c:pt>
                <c:pt idx="425">
                  <c:v>20.4</c:v>
                </c:pt>
                <c:pt idx="426">
                  <c:v>11.9</c:v>
                </c:pt>
                <c:pt idx="427">
                  <c:v>11.7</c:v>
                </c:pt>
                <c:pt idx="428">
                  <c:v>10.7</c:v>
                </c:pt>
                <c:pt idx="429">
                  <c:v>16.5</c:v>
                </c:pt>
                <c:pt idx="430">
                  <c:v>6.1</c:v>
                </c:pt>
                <c:pt idx="431">
                  <c:v>7.5</c:v>
                </c:pt>
                <c:pt idx="432">
                  <c:v>22.1</c:v>
                </c:pt>
                <c:pt idx="433">
                  <c:v>15.1</c:v>
                </c:pt>
                <c:pt idx="434">
                  <c:v>21</c:v>
                </c:pt>
                <c:pt idx="435">
                  <c:v>13.7</c:v>
                </c:pt>
                <c:pt idx="436">
                  <c:v>23.4</c:v>
                </c:pt>
                <c:pt idx="437">
                  <c:v>15.4</c:v>
                </c:pt>
                <c:pt idx="438">
                  <c:v>23.1</c:v>
                </c:pt>
                <c:pt idx="439">
                  <c:v>13</c:v>
                </c:pt>
                <c:pt idx="440">
                  <c:v>13.1</c:v>
                </c:pt>
                <c:pt idx="441">
                  <c:v>12.6</c:v>
                </c:pt>
                <c:pt idx="442">
                  <c:v>6.4</c:v>
                </c:pt>
                <c:pt idx="443">
                  <c:v>6.6</c:v>
                </c:pt>
                <c:pt idx="444">
                  <c:v>13.4</c:v>
                </c:pt>
                <c:pt idx="445">
                  <c:v>19.3</c:v>
                </c:pt>
                <c:pt idx="446">
                  <c:v>20.7</c:v>
                </c:pt>
                <c:pt idx="447">
                  <c:v>23.5</c:v>
                </c:pt>
                <c:pt idx="448">
                  <c:v>17.2</c:v>
                </c:pt>
                <c:pt idx="449">
                  <c:v>7.7</c:v>
                </c:pt>
                <c:pt idx="450">
                  <c:v>23.8</c:v>
                </c:pt>
                <c:pt idx="451">
                  <c:v>20.2</c:v>
                </c:pt>
                <c:pt idx="452">
                  <c:v>18.1</c:v>
                </c:pt>
                <c:pt idx="453">
                  <c:v>13.8</c:v>
                </c:pt>
                <c:pt idx="454">
                  <c:v>7.5</c:v>
                </c:pt>
                <c:pt idx="455">
                  <c:v>13.5</c:v>
                </c:pt>
                <c:pt idx="456">
                  <c:v>12.9</c:v>
                </c:pt>
                <c:pt idx="457">
                  <c:v>22</c:v>
                </c:pt>
                <c:pt idx="458">
                  <c:v>22</c:v>
                </c:pt>
                <c:pt idx="459">
                  <c:v>8.7</c:v>
                </c:pt>
                <c:pt idx="460">
                  <c:v>21.9</c:v>
                </c:pt>
                <c:pt idx="461">
                  <c:v>12.7</c:v>
                </c:pt>
                <c:pt idx="462">
                  <c:v>11.7</c:v>
                </c:pt>
                <c:pt idx="463">
                  <c:v>21.1</c:v>
                </c:pt>
                <c:pt idx="464">
                  <c:v>20</c:v>
                </c:pt>
                <c:pt idx="465">
                  <c:v>16.2</c:v>
                </c:pt>
                <c:pt idx="466">
                  <c:v>8.8</c:v>
                </c:pt>
                <c:pt idx="467">
                  <c:v>20.8</c:v>
                </c:pt>
                <c:pt idx="468">
                  <c:v>14.2</c:v>
                </c:pt>
                <c:pt idx="469">
                  <c:v>10.9</c:v>
                </c:pt>
                <c:pt idx="470">
                  <c:v>8.8</c:v>
                </c:pt>
                <c:pt idx="471">
                  <c:v>6.7</c:v>
                </c:pt>
                <c:pt idx="472">
                  <c:v>10.4</c:v>
                </c:pt>
                <c:pt idx="473">
                  <c:v>19.5</c:v>
                </c:pt>
                <c:pt idx="474">
                  <c:v>20.1</c:v>
                </c:pt>
                <c:pt idx="475">
                  <c:v>10.5</c:v>
                </c:pt>
                <c:pt idx="476">
                  <c:v>11.8</c:v>
                </c:pt>
                <c:pt idx="477">
                  <c:v>19.1</c:v>
                </c:pt>
                <c:pt idx="478">
                  <c:v>7.8</c:v>
                </c:pt>
                <c:pt idx="479">
                  <c:v>7.2</c:v>
                </c:pt>
                <c:pt idx="480">
                  <c:v>16.4</c:v>
                </c:pt>
                <c:pt idx="481">
                  <c:v>14</c:v>
                </c:pt>
                <c:pt idx="482">
                  <c:v>23</c:v>
                </c:pt>
                <c:pt idx="483">
                  <c:v>19.3</c:v>
                </c:pt>
                <c:pt idx="484">
                  <c:v>11.2</c:v>
                </c:pt>
                <c:pt idx="485">
                  <c:v>6.9</c:v>
                </c:pt>
                <c:pt idx="486">
                  <c:v>6.1</c:v>
                </c:pt>
                <c:pt idx="487">
                  <c:v>20.2</c:v>
                </c:pt>
                <c:pt idx="488">
                  <c:v>9.2</c:v>
                </c:pt>
                <c:pt idx="489">
                  <c:v>8.6</c:v>
                </c:pt>
                <c:pt idx="490">
                  <c:v>17.9</c:v>
                </c:pt>
                <c:pt idx="491">
                  <c:v>7.4</c:v>
                </c:pt>
                <c:pt idx="492">
                  <c:v>21.4</c:v>
                </c:pt>
                <c:pt idx="493">
                  <c:v>6.5</c:v>
                </c:pt>
                <c:pt idx="494">
                  <c:v>8.6</c:v>
                </c:pt>
                <c:pt idx="495">
                  <c:v>11.6</c:v>
                </c:pt>
                <c:pt idx="496">
                  <c:v>13.4</c:v>
                </c:pt>
                <c:pt idx="497">
                  <c:v>18.5</c:v>
                </c:pt>
                <c:pt idx="498">
                  <c:v>10.3</c:v>
                </c:pt>
                <c:pt idx="499">
                  <c:v>13</c:v>
                </c:pt>
                <c:pt idx="500">
                  <c:v>13.2</c:v>
                </c:pt>
                <c:pt idx="501">
                  <c:v>17.6</c:v>
                </c:pt>
                <c:pt idx="502">
                  <c:v>19.5</c:v>
                </c:pt>
                <c:pt idx="503">
                  <c:v>23.3</c:v>
                </c:pt>
                <c:pt idx="504">
                  <c:v>13.9</c:v>
                </c:pt>
                <c:pt idx="505">
                  <c:v>7.2</c:v>
                </c:pt>
                <c:pt idx="506">
                  <c:v>8</c:v>
                </c:pt>
                <c:pt idx="507">
                  <c:v>7.2</c:v>
                </c:pt>
                <c:pt idx="508">
                  <c:v>10.5</c:v>
                </c:pt>
                <c:pt idx="509">
                  <c:v>13.3</c:v>
                </c:pt>
                <c:pt idx="510">
                  <c:v>12</c:v>
                </c:pt>
                <c:pt idx="511">
                  <c:v>18.5</c:v>
                </c:pt>
                <c:pt idx="512">
                  <c:v>9.3</c:v>
                </c:pt>
                <c:pt idx="513">
                  <c:v>23.3</c:v>
                </c:pt>
                <c:pt idx="514">
                  <c:v>13.5</c:v>
                </c:pt>
                <c:pt idx="515">
                  <c:v>11.8</c:v>
                </c:pt>
                <c:pt idx="516">
                  <c:v>7</c:v>
                </c:pt>
                <c:pt idx="517">
                  <c:v>13.2</c:v>
                </c:pt>
                <c:pt idx="518">
                  <c:v>8.5</c:v>
                </c:pt>
                <c:pt idx="519">
                  <c:v>19</c:v>
                </c:pt>
                <c:pt idx="520">
                  <c:v>15.7</c:v>
                </c:pt>
                <c:pt idx="521">
                  <c:v>19.7</c:v>
                </c:pt>
                <c:pt idx="522">
                  <c:v>20.5</c:v>
                </c:pt>
                <c:pt idx="523">
                  <c:v>10.2</c:v>
                </c:pt>
                <c:pt idx="524">
                  <c:v>22.4</c:v>
                </c:pt>
                <c:pt idx="525">
                  <c:v>14.6</c:v>
                </c:pt>
                <c:pt idx="526">
                  <c:v>23.2</c:v>
                </c:pt>
                <c:pt idx="527">
                  <c:v>10.5</c:v>
                </c:pt>
                <c:pt idx="528">
                  <c:v>16.9</c:v>
                </c:pt>
                <c:pt idx="529">
                  <c:v>23.3</c:v>
                </c:pt>
                <c:pt idx="530">
                  <c:v>8</c:v>
                </c:pt>
                <c:pt idx="531">
                  <c:v>17.7</c:v>
                </c:pt>
                <c:pt idx="532">
                  <c:v>14.3</c:v>
                </c:pt>
                <c:pt idx="533">
                  <c:v>20.7</c:v>
                </c:pt>
                <c:pt idx="534">
                  <c:v>13.5</c:v>
                </c:pt>
                <c:pt idx="535">
                  <c:v>13.1</c:v>
                </c:pt>
                <c:pt idx="536">
                  <c:v>8.8</c:v>
                </c:pt>
                <c:pt idx="537">
                  <c:v>19.3</c:v>
                </c:pt>
                <c:pt idx="538">
                  <c:v>13.4</c:v>
                </c:pt>
                <c:pt idx="539">
                  <c:v>9.7</c:v>
                </c:pt>
                <c:pt idx="540">
                  <c:v>6.6</c:v>
                </c:pt>
                <c:pt idx="541">
                  <c:v>7.1</c:v>
                </c:pt>
                <c:pt idx="542">
                  <c:v>12.9</c:v>
                </c:pt>
                <c:pt idx="543">
                  <c:v>17.3</c:v>
                </c:pt>
                <c:pt idx="544">
                  <c:v>11.5</c:v>
                </c:pt>
                <c:pt idx="545">
                  <c:v>21.1</c:v>
                </c:pt>
                <c:pt idx="546">
                  <c:v>17.1</c:v>
                </c:pt>
                <c:pt idx="547">
                  <c:v>18</c:v>
                </c:pt>
                <c:pt idx="548">
                  <c:v>11.4</c:v>
                </c:pt>
                <c:pt idx="549">
                  <c:v>8.9</c:v>
                </c:pt>
                <c:pt idx="550">
                  <c:v>11.4</c:v>
                </c:pt>
                <c:pt idx="551">
                  <c:v>23.2</c:v>
                </c:pt>
                <c:pt idx="552">
                  <c:v>20</c:v>
                </c:pt>
                <c:pt idx="553">
                  <c:v>17.6</c:v>
                </c:pt>
                <c:pt idx="554">
                  <c:v>12.9</c:v>
                </c:pt>
                <c:pt idx="555">
                  <c:v>17.2</c:v>
                </c:pt>
                <c:pt idx="556">
                  <c:v>9.1</c:v>
                </c:pt>
                <c:pt idx="557">
                  <c:v>19.3</c:v>
                </c:pt>
                <c:pt idx="558">
                  <c:v>8.1</c:v>
                </c:pt>
                <c:pt idx="559">
                  <c:v>14.7</c:v>
                </c:pt>
                <c:pt idx="560">
                  <c:v>23.1</c:v>
                </c:pt>
                <c:pt idx="561">
                  <c:v>10.5</c:v>
                </c:pt>
                <c:pt idx="562">
                  <c:v>19.6</c:v>
                </c:pt>
                <c:pt idx="563">
                  <c:v>17.9</c:v>
                </c:pt>
                <c:pt idx="564">
                  <c:v>22</c:v>
                </c:pt>
                <c:pt idx="565">
                  <c:v>16.7</c:v>
                </c:pt>
                <c:pt idx="566">
                  <c:v>7.2</c:v>
                </c:pt>
                <c:pt idx="567">
                  <c:v>12.3</c:v>
                </c:pt>
                <c:pt idx="568">
                  <c:v>22.6</c:v>
                </c:pt>
                <c:pt idx="569">
                  <c:v>20.6</c:v>
                </c:pt>
                <c:pt idx="570">
                  <c:v>8.6</c:v>
                </c:pt>
                <c:pt idx="571">
                  <c:v>14.1</c:v>
                </c:pt>
                <c:pt idx="572">
                  <c:v>21.6</c:v>
                </c:pt>
                <c:pt idx="573">
                  <c:v>20.9</c:v>
                </c:pt>
                <c:pt idx="574">
                  <c:v>15</c:v>
                </c:pt>
                <c:pt idx="575">
                  <c:v>14.9</c:v>
                </c:pt>
                <c:pt idx="576">
                  <c:v>15.7</c:v>
                </c:pt>
                <c:pt idx="577">
                  <c:v>14.7</c:v>
                </c:pt>
                <c:pt idx="578">
                  <c:v>11</c:v>
                </c:pt>
                <c:pt idx="579">
                  <c:v>12.5</c:v>
                </c:pt>
                <c:pt idx="580">
                  <c:v>8.9</c:v>
                </c:pt>
                <c:pt idx="581">
                  <c:v>17.4</c:v>
                </c:pt>
                <c:pt idx="582">
                  <c:v>13.8</c:v>
                </c:pt>
                <c:pt idx="583">
                  <c:v>7.2</c:v>
                </c:pt>
                <c:pt idx="584">
                  <c:v>21.7</c:v>
                </c:pt>
                <c:pt idx="585">
                  <c:v>10.9</c:v>
                </c:pt>
                <c:pt idx="586">
                  <c:v>7.6</c:v>
                </c:pt>
                <c:pt idx="587">
                  <c:v>14.6</c:v>
                </c:pt>
                <c:pt idx="588">
                  <c:v>20.7</c:v>
                </c:pt>
                <c:pt idx="589">
                  <c:v>8.7</c:v>
                </c:pt>
                <c:pt idx="590">
                  <c:v>7.3</c:v>
                </c:pt>
                <c:pt idx="591">
                  <c:v>23.5</c:v>
                </c:pt>
                <c:pt idx="592">
                  <c:v>14</c:v>
                </c:pt>
                <c:pt idx="593">
                  <c:v>18.2</c:v>
                </c:pt>
                <c:pt idx="594">
                  <c:v>8</c:v>
                </c:pt>
                <c:pt idx="595">
                  <c:v>12.8</c:v>
                </c:pt>
                <c:pt idx="596">
                  <c:v>16.6</c:v>
                </c:pt>
                <c:pt idx="597">
                  <c:v>13.9</c:v>
                </c:pt>
                <c:pt idx="598">
                  <c:v>18.1</c:v>
                </c:pt>
                <c:pt idx="599">
                  <c:v>19.6</c:v>
                </c:pt>
                <c:pt idx="600">
                  <c:v>14.7</c:v>
                </c:pt>
                <c:pt idx="601">
                  <c:v>18.2</c:v>
                </c:pt>
                <c:pt idx="602">
                  <c:v>22.6</c:v>
                </c:pt>
                <c:pt idx="603">
                  <c:v>20.7</c:v>
                </c:pt>
                <c:pt idx="604">
                  <c:v>19.1</c:v>
                </c:pt>
                <c:pt idx="605">
                  <c:v>14</c:v>
                </c:pt>
                <c:pt idx="606">
                  <c:v>22.3</c:v>
                </c:pt>
                <c:pt idx="607">
                  <c:v>16.2</c:v>
                </c:pt>
                <c:pt idx="608">
                  <c:v>8.5</c:v>
                </c:pt>
                <c:pt idx="609">
                  <c:v>12.4</c:v>
                </c:pt>
                <c:pt idx="610">
                  <c:v>12.7</c:v>
                </c:pt>
                <c:pt idx="611">
                  <c:v>18</c:v>
                </c:pt>
                <c:pt idx="612">
                  <c:v>16.5</c:v>
                </c:pt>
                <c:pt idx="613">
                  <c:v>14.6</c:v>
                </c:pt>
                <c:pt idx="614">
                  <c:v>15.2</c:v>
                </c:pt>
                <c:pt idx="615">
                  <c:v>18.1</c:v>
                </c:pt>
                <c:pt idx="616">
                  <c:v>21.7</c:v>
                </c:pt>
                <c:pt idx="617">
                  <c:v>20.3</c:v>
                </c:pt>
                <c:pt idx="618">
                  <c:v>20.9</c:v>
                </c:pt>
                <c:pt idx="619">
                  <c:v>18.2</c:v>
                </c:pt>
                <c:pt idx="620">
                  <c:v>12.2</c:v>
                </c:pt>
                <c:pt idx="621">
                  <c:v>16.2</c:v>
                </c:pt>
                <c:pt idx="622">
                  <c:v>11.9</c:v>
                </c:pt>
                <c:pt idx="623">
                  <c:v>10.7</c:v>
                </c:pt>
                <c:pt idx="624">
                  <c:v>6.8</c:v>
                </c:pt>
                <c:pt idx="625">
                  <c:v>17.6</c:v>
                </c:pt>
                <c:pt idx="626">
                  <c:v>20.6</c:v>
                </c:pt>
                <c:pt idx="627">
                  <c:v>10.2</c:v>
                </c:pt>
                <c:pt idx="628">
                  <c:v>8.2</c:v>
                </c:pt>
                <c:pt idx="629">
                  <c:v>19</c:v>
                </c:pt>
                <c:pt idx="630">
                  <c:v>19.9</c:v>
                </c:pt>
                <c:pt idx="631">
                  <c:v>9.5</c:v>
                </c:pt>
                <c:pt idx="632">
                  <c:v>22</c:v>
                </c:pt>
                <c:pt idx="633">
                  <c:v>12.4</c:v>
                </c:pt>
                <c:pt idx="634">
                  <c:v>17.2</c:v>
                </c:pt>
                <c:pt idx="635">
                  <c:v>18.5</c:v>
                </c:pt>
                <c:pt idx="636">
                  <c:v>23.6</c:v>
                </c:pt>
                <c:pt idx="637">
                  <c:v>20.8</c:v>
                </c:pt>
                <c:pt idx="638">
                  <c:v>6.2</c:v>
                </c:pt>
                <c:pt idx="639">
                  <c:v>20.6</c:v>
                </c:pt>
                <c:pt idx="640">
                  <c:v>6.6</c:v>
                </c:pt>
                <c:pt idx="641">
                  <c:v>17.2</c:v>
                </c:pt>
                <c:pt idx="642">
                  <c:v>10.6</c:v>
                </c:pt>
                <c:pt idx="643">
                  <c:v>22.1</c:v>
                </c:pt>
                <c:pt idx="644">
                  <c:v>11.5</c:v>
                </c:pt>
                <c:pt idx="645">
                  <c:v>16.7</c:v>
                </c:pt>
                <c:pt idx="646">
                  <c:v>10.6</c:v>
                </c:pt>
                <c:pt idx="647">
                  <c:v>9.9</c:v>
                </c:pt>
                <c:pt idx="648">
                  <c:v>17.5</c:v>
                </c:pt>
                <c:pt idx="649">
                  <c:v>9.8</c:v>
                </c:pt>
                <c:pt idx="650">
                  <c:v>11.2</c:v>
                </c:pt>
                <c:pt idx="651">
                  <c:v>20.8</c:v>
                </c:pt>
                <c:pt idx="652">
                  <c:v>21.9</c:v>
                </c:pt>
                <c:pt idx="653">
                  <c:v>12.7</c:v>
                </c:pt>
                <c:pt idx="654">
                  <c:v>19.2</c:v>
                </c:pt>
                <c:pt idx="655">
                  <c:v>13</c:v>
                </c:pt>
                <c:pt idx="656">
                  <c:v>19.3</c:v>
                </c:pt>
                <c:pt idx="657">
                  <c:v>6.4</c:v>
                </c:pt>
                <c:pt idx="658">
                  <c:v>20.2</c:v>
                </c:pt>
                <c:pt idx="659">
                  <c:v>6.7</c:v>
                </c:pt>
                <c:pt idx="660">
                  <c:v>22.9</c:v>
                </c:pt>
                <c:pt idx="661">
                  <c:v>13.1</c:v>
                </c:pt>
                <c:pt idx="662">
                  <c:v>9.6</c:v>
                </c:pt>
                <c:pt idx="663">
                  <c:v>21.3</c:v>
                </c:pt>
                <c:pt idx="664">
                  <c:v>13.7</c:v>
                </c:pt>
                <c:pt idx="665">
                  <c:v>8.5</c:v>
                </c:pt>
                <c:pt idx="666">
                  <c:v>20.9</c:v>
                </c:pt>
                <c:pt idx="667">
                  <c:v>12.4</c:v>
                </c:pt>
                <c:pt idx="668">
                  <c:v>16.9</c:v>
                </c:pt>
                <c:pt idx="669">
                  <c:v>11.6</c:v>
                </c:pt>
                <c:pt idx="670">
                  <c:v>10.5</c:v>
                </c:pt>
                <c:pt idx="671">
                  <c:v>21.5</c:v>
                </c:pt>
                <c:pt idx="672">
                  <c:v>10.3</c:v>
                </c:pt>
                <c:pt idx="673">
                  <c:v>8.4</c:v>
                </c:pt>
                <c:pt idx="674">
                  <c:v>19.7</c:v>
                </c:pt>
                <c:pt idx="675">
                  <c:v>20.6</c:v>
                </c:pt>
                <c:pt idx="676">
                  <c:v>10.6</c:v>
                </c:pt>
                <c:pt idx="677">
                  <c:v>10</c:v>
                </c:pt>
                <c:pt idx="678">
                  <c:v>23</c:v>
                </c:pt>
                <c:pt idx="679">
                  <c:v>15</c:v>
                </c:pt>
                <c:pt idx="680">
                  <c:v>20.7</c:v>
                </c:pt>
                <c:pt idx="681">
                  <c:v>22.8</c:v>
                </c:pt>
                <c:pt idx="682">
                  <c:v>16.9</c:v>
                </c:pt>
                <c:pt idx="683">
                  <c:v>15.1</c:v>
                </c:pt>
                <c:pt idx="684">
                  <c:v>8.3</c:v>
                </c:pt>
                <c:pt idx="685">
                  <c:v>18.7</c:v>
                </c:pt>
                <c:pt idx="686">
                  <c:v>17.3</c:v>
                </c:pt>
                <c:pt idx="687">
                  <c:v>6.5</c:v>
                </c:pt>
                <c:pt idx="688">
                  <c:v>20.3</c:v>
                </c:pt>
                <c:pt idx="689">
                  <c:v>9.1</c:v>
                </c:pt>
                <c:pt idx="690">
                  <c:v>7.8</c:v>
                </c:pt>
                <c:pt idx="691">
                  <c:v>9.4</c:v>
                </c:pt>
                <c:pt idx="692">
                  <c:v>19.8</c:v>
                </c:pt>
                <c:pt idx="693">
                  <c:v>18.1</c:v>
                </c:pt>
                <c:pt idx="694">
                  <c:v>14.1</c:v>
                </c:pt>
                <c:pt idx="695">
                  <c:v>19.1</c:v>
                </c:pt>
                <c:pt idx="696">
                  <c:v>23.1</c:v>
                </c:pt>
                <c:pt idx="697">
                  <c:v>16.6</c:v>
                </c:pt>
                <c:pt idx="698">
                  <c:v>18.5</c:v>
                </c:pt>
                <c:pt idx="699">
                  <c:v>7.6</c:v>
                </c:pt>
                <c:pt idx="700">
                  <c:v>18.5</c:v>
                </c:pt>
                <c:pt idx="701">
                  <c:v>6.7</c:v>
                </c:pt>
                <c:pt idx="702">
                  <c:v>11.4</c:v>
                </c:pt>
                <c:pt idx="703">
                  <c:v>17.5</c:v>
                </c:pt>
                <c:pt idx="704">
                  <c:v>17.1</c:v>
                </c:pt>
                <c:pt idx="705">
                  <c:v>20.1</c:v>
                </c:pt>
                <c:pt idx="706">
                  <c:v>14</c:v>
                </c:pt>
                <c:pt idx="707">
                  <c:v>8.4</c:v>
                </c:pt>
                <c:pt idx="708">
                  <c:v>13.4</c:v>
                </c:pt>
                <c:pt idx="709">
                  <c:v>15.7</c:v>
                </c:pt>
                <c:pt idx="710">
                  <c:v>10.4</c:v>
                </c:pt>
                <c:pt idx="711">
                  <c:v>9</c:v>
                </c:pt>
                <c:pt idx="712">
                  <c:v>15.8</c:v>
                </c:pt>
                <c:pt idx="713">
                  <c:v>13.7</c:v>
                </c:pt>
                <c:pt idx="714">
                  <c:v>15.5</c:v>
                </c:pt>
                <c:pt idx="715">
                  <c:v>14.6</c:v>
                </c:pt>
                <c:pt idx="716">
                  <c:v>8.6</c:v>
                </c:pt>
                <c:pt idx="717">
                  <c:v>9.4</c:v>
                </c:pt>
                <c:pt idx="718">
                  <c:v>22.4</c:v>
                </c:pt>
                <c:pt idx="719">
                  <c:v>7.7</c:v>
                </c:pt>
                <c:pt idx="720">
                  <c:v>16.5</c:v>
                </c:pt>
                <c:pt idx="721">
                  <c:v>18.3</c:v>
                </c:pt>
                <c:pt idx="722">
                  <c:v>23.1</c:v>
                </c:pt>
                <c:pt idx="723">
                  <c:v>7.9</c:v>
                </c:pt>
                <c:pt idx="724">
                  <c:v>8.4</c:v>
                </c:pt>
                <c:pt idx="725">
                  <c:v>21.7</c:v>
                </c:pt>
                <c:pt idx="726">
                  <c:v>18.4</c:v>
                </c:pt>
                <c:pt idx="727">
                  <c:v>8.2</c:v>
                </c:pt>
                <c:pt idx="728">
                  <c:v>7.4</c:v>
                </c:pt>
                <c:pt idx="729">
                  <c:v>16</c:v>
                </c:pt>
                <c:pt idx="730">
                  <c:v>21.2</c:v>
                </c:pt>
                <c:pt idx="731">
                  <c:v>13.9</c:v>
                </c:pt>
                <c:pt idx="732">
                  <c:v>23.3</c:v>
                </c:pt>
                <c:pt idx="733">
                  <c:v>12.2</c:v>
                </c:pt>
                <c:pt idx="734">
                  <c:v>13.7</c:v>
                </c:pt>
                <c:pt idx="735">
                  <c:v>12</c:v>
                </c:pt>
                <c:pt idx="736">
                  <c:v>18.1</c:v>
                </c:pt>
                <c:pt idx="737">
                  <c:v>9</c:v>
                </c:pt>
                <c:pt idx="738">
                  <c:v>17.4</c:v>
                </c:pt>
                <c:pt idx="739">
                  <c:v>21.1</c:v>
                </c:pt>
                <c:pt idx="740">
                  <c:v>6.3</c:v>
                </c:pt>
                <c:pt idx="741">
                  <c:v>13.3</c:v>
                </c:pt>
                <c:pt idx="742">
                  <c:v>14.3</c:v>
                </c:pt>
                <c:pt idx="743">
                  <c:v>18.9</c:v>
                </c:pt>
                <c:pt idx="744">
                  <c:v>9.5</c:v>
                </c:pt>
                <c:pt idx="745">
                  <c:v>20.3</c:v>
                </c:pt>
                <c:pt idx="746">
                  <c:v>11.9</c:v>
                </c:pt>
                <c:pt idx="747">
                  <c:v>19.1</c:v>
                </c:pt>
                <c:pt idx="748">
                  <c:v>6.8</c:v>
                </c:pt>
                <c:pt idx="749">
                  <c:v>20.5</c:v>
                </c:pt>
                <c:pt idx="750">
                  <c:v>6.6</c:v>
                </c:pt>
                <c:pt idx="751">
                  <c:v>14.1</c:v>
                </c:pt>
                <c:pt idx="752">
                  <c:v>11.9</c:v>
                </c:pt>
                <c:pt idx="753">
                  <c:v>9.4</c:v>
                </c:pt>
                <c:pt idx="754">
                  <c:v>8.4</c:v>
                </c:pt>
                <c:pt idx="755">
                  <c:v>12.7</c:v>
                </c:pt>
                <c:pt idx="756">
                  <c:v>22.8</c:v>
                </c:pt>
                <c:pt idx="757">
                  <c:v>21.2</c:v>
                </c:pt>
                <c:pt idx="758">
                  <c:v>18.9</c:v>
                </c:pt>
                <c:pt idx="759">
                  <c:v>14.4</c:v>
                </c:pt>
                <c:pt idx="760">
                  <c:v>19.6</c:v>
                </c:pt>
                <c:pt idx="761">
                  <c:v>16.9</c:v>
                </c:pt>
                <c:pt idx="762">
                  <c:v>16.9</c:v>
                </c:pt>
                <c:pt idx="763">
                  <c:v>6.9</c:v>
                </c:pt>
                <c:pt idx="764">
                  <c:v>16</c:v>
                </c:pt>
                <c:pt idx="765">
                  <c:v>15.4</c:v>
                </c:pt>
                <c:pt idx="766">
                  <c:v>23.7</c:v>
                </c:pt>
                <c:pt idx="767">
                  <c:v>19.6</c:v>
                </c:pt>
                <c:pt idx="768">
                  <c:v>19.9</c:v>
                </c:pt>
                <c:pt idx="769">
                  <c:v>6.3</c:v>
                </c:pt>
                <c:pt idx="770">
                  <c:v>20.5</c:v>
                </c:pt>
                <c:pt idx="771">
                  <c:v>15.2</c:v>
                </c:pt>
                <c:pt idx="772">
                  <c:v>19.2</c:v>
                </c:pt>
                <c:pt idx="773">
                  <c:v>9.7</c:v>
                </c:pt>
                <c:pt idx="774">
                  <c:v>11.4</c:v>
                </c:pt>
                <c:pt idx="775">
                  <c:v>6.4</c:v>
                </c:pt>
                <c:pt idx="776">
                  <c:v>21.7</c:v>
                </c:pt>
                <c:pt idx="777">
                  <c:v>12.4</c:v>
                </c:pt>
                <c:pt idx="778">
                  <c:v>13.6</c:v>
                </c:pt>
                <c:pt idx="779">
                  <c:v>7.2</c:v>
                </c:pt>
                <c:pt idx="780">
                  <c:v>16.5</c:v>
                </c:pt>
                <c:pt idx="781">
                  <c:v>12.5</c:v>
                </c:pt>
                <c:pt idx="782">
                  <c:v>16</c:v>
                </c:pt>
                <c:pt idx="783">
                  <c:v>19.1</c:v>
                </c:pt>
                <c:pt idx="784">
                  <c:v>20.9</c:v>
                </c:pt>
                <c:pt idx="785">
                  <c:v>22.1</c:v>
                </c:pt>
                <c:pt idx="786">
                  <c:v>20.5</c:v>
                </c:pt>
                <c:pt idx="787">
                  <c:v>23.2</c:v>
                </c:pt>
                <c:pt idx="788">
                  <c:v>18.7</c:v>
                </c:pt>
                <c:pt idx="789">
                  <c:v>17.5</c:v>
                </c:pt>
                <c:pt idx="790">
                  <c:v>20.9</c:v>
                </c:pt>
                <c:pt idx="791">
                  <c:v>12.4</c:v>
                </c:pt>
                <c:pt idx="792">
                  <c:v>18.5</c:v>
                </c:pt>
                <c:pt idx="793">
                  <c:v>8.2</c:v>
                </c:pt>
                <c:pt idx="794">
                  <c:v>6.3</c:v>
                </c:pt>
                <c:pt idx="795">
                  <c:v>12</c:v>
                </c:pt>
                <c:pt idx="796">
                  <c:v>22.2</c:v>
                </c:pt>
                <c:pt idx="797">
                  <c:v>12.5</c:v>
                </c:pt>
                <c:pt idx="798">
                  <c:v>13.2</c:v>
                </c:pt>
                <c:pt idx="799">
                  <c:v>7.9</c:v>
                </c:pt>
                <c:pt idx="800">
                  <c:v>18.4</c:v>
                </c:pt>
                <c:pt idx="801">
                  <c:v>14</c:v>
                </c:pt>
                <c:pt idx="802">
                  <c:v>20.9</c:v>
                </c:pt>
                <c:pt idx="803">
                  <c:v>9.2</c:v>
                </c:pt>
                <c:pt idx="804">
                  <c:v>18</c:v>
                </c:pt>
                <c:pt idx="805">
                  <c:v>13.1</c:v>
                </c:pt>
                <c:pt idx="806">
                  <c:v>19.2</c:v>
                </c:pt>
                <c:pt idx="807">
                  <c:v>12.5</c:v>
                </c:pt>
                <c:pt idx="808">
                  <c:v>10.9</c:v>
                </c:pt>
                <c:pt idx="809">
                  <c:v>12.8</c:v>
                </c:pt>
                <c:pt idx="810">
                  <c:v>18.1</c:v>
                </c:pt>
                <c:pt idx="811">
                  <c:v>12.2</c:v>
                </c:pt>
                <c:pt idx="812">
                  <c:v>19.5</c:v>
                </c:pt>
                <c:pt idx="813">
                  <c:v>14.7</c:v>
                </c:pt>
                <c:pt idx="814">
                  <c:v>7.6</c:v>
                </c:pt>
                <c:pt idx="815">
                  <c:v>16.7</c:v>
                </c:pt>
                <c:pt idx="816">
                  <c:v>19.5</c:v>
                </c:pt>
                <c:pt idx="817">
                  <c:v>16.7</c:v>
                </c:pt>
                <c:pt idx="818">
                  <c:v>19.7</c:v>
                </c:pt>
                <c:pt idx="819">
                  <c:v>10.4</c:v>
                </c:pt>
                <c:pt idx="820">
                  <c:v>12.1</c:v>
                </c:pt>
                <c:pt idx="821">
                  <c:v>8.1</c:v>
                </c:pt>
                <c:pt idx="822">
                  <c:v>17.9</c:v>
                </c:pt>
                <c:pt idx="823">
                  <c:v>10.1</c:v>
                </c:pt>
                <c:pt idx="824">
                  <c:v>12.2</c:v>
                </c:pt>
                <c:pt idx="825">
                  <c:v>10.9</c:v>
                </c:pt>
                <c:pt idx="826">
                  <c:v>11.6</c:v>
                </c:pt>
                <c:pt idx="827">
                  <c:v>9.4</c:v>
                </c:pt>
                <c:pt idx="828">
                  <c:v>12.5</c:v>
                </c:pt>
                <c:pt idx="829">
                  <c:v>11.7</c:v>
                </c:pt>
                <c:pt idx="830">
                  <c:v>14.9</c:v>
                </c:pt>
                <c:pt idx="831">
                  <c:v>13.7</c:v>
                </c:pt>
                <c:pt idx="832">
                  <c:v>16.6</c:v>
                </c:pt>
                <c:pt idx="833">
                  <c:v>20.9</c:v>
                </c:pt>
                <c:pt idx="834">
                  <c:v>20.6</c:v>
                </c:pt>
                <c:pt idx="835">
                  <c:v>15.6</c:v>
                </c:pt>
                <c:pt idx="836">
                  <c:v>6.7</c:v>
                </c:pt>
                <c:pt idx="837">
                  <c:v>18.6</c:v>
                </c:pt>
                <c:pt idx="838">
                  <c:v>13.3</c:v>
                </c:pt>
                <c:pt idx="839">
                  <c:v>21.2</c:v>
                </c:pt>
                <c:pt idx="840">
                  <c:v>10.6</c:v>
                </c:pt>
                <c:pt idx="841">
                  <c:v>21.7</c:v>
                </c:pt>
                <c:pt idx="842">
                  <c:v>23.1</c:v>
                </c:pt>
                <c:pt idx="843">
                  <c:v>6.5</c:v>
                </c:pt>
                <c:pt idx="844">
                  <c:v>23</c:v>
                </c:pt>
                <c:pt idx="845">
                  <c:v>15.7</c:v>
                </c:pt>
                <c:pt idx="846">
                  <c:v>10.5</c:v>
                </c:pt>
                <c:pt idx="847">
                  <c:v>18.1</c:v>
                </c:pt>
                <c:pt idx="848">
                  <c:v>20.5</c:v>
                </c:pt>
                <c:pt idx="849">
                  <c:v>23.9</c:v>
                </c:pt>
                <c:pt idx="850">
                  <c:v>20.3</c:v>
                </c:pt>
                <c:pt idx="851">
                  <c:v>20.7</c:v>
                </c:pt>
                <c:pt idx="852">
                  <c:v>12.2</c:v>
                </c:pt>
                <c:pt idx="853">
                  <c:v>8.1</c:v>
                </c:pt>
                <c:pt idx="854">
                  <c:v>9.4</c:v>
                </c:pt>
                <c:pt idx="855">
                  <c:v>23.6</c:v>
                </c:pt>
                <c:pt idx="856">
                  <c:v>8.5</c:v>
                </c:pt>
                <c:pt idx="857">
                  <c:v>11.4</c:v>
                </c:pt>
                <c:pt idx="858">
                  <c:v>15.2</c:v>
                </c:pt>
                <c:pt idx="859">
                  <c:v>10.4</c:v>
                </c:pt>
                <c:pt idx="860">
                  <c:v>16.1</c:v>
                </c:pt>
                <c:pt idx="861">
                  <c:v>7</c:v>
                </c:pt>
                <c:pt idx="862">
                  <c:v>17.2</c:v>
                </c:pt>
                <c:pt idx="863">
                  <c:v>23.5</c:v>
                </c:pt>
                <c:pt idx="864">
                  <c:v>21.3</c:v>
                </c:pt>
                <c:pt idx="865">
                  <c:v>12.8</c:v>
                </c:pt>
                <c:pt idx="866">
                  <c:v>18.9</c:v>
                </c:pt>
                <c:pt idx="867">
                  <c:v>12.2</c:v>
                </c:pt>
                <c:pt idx="868">
                  <c:v>20</c:v>
                </c:pt>
                <c:pt idx="869">
                  <c:v>10.6</c:v>
                </c:pt>
                <c:pt idx="870">
                  <c:v>20.5</c:v>
                </c:pt>
                <c:pt idx="871">
                  <c:v>7.5</c:v>
                </c:pt>
                <c:pt idx="872">
                  <c:v>16.3</c:v>
                </c:pt>
                <c:pt idx="873">
                  <c:v>13.1</c:v>
                </c:pt>
                <c:pt idx="874">
                  <c:v>22.6</c:v>
                </c:pt>
                <c:pt idx="875">
                  <c:v>16.5</c:v>
                </c:pt>
                <c:pt idx="876">
                  <c:v>17.5</c:v>
                </c:pt>
                <c:pt idx="877">
                  <c:v>14</c:v>
                </c:pt>
                <c:pt idx="878">
                  <c:v>11.2</c:v>
                </c:pt>
                <c:pt idx="879">
                  <c:v>12.1</c:v>
                </c:pt>
                <c:pt idx="880">
                  <c:v>12.1</c:v>
                </c:pt>
                <c:pt idx="881">
                  <c:v>16.1</c:v>
                </c:pt>
                <c:pt idx="882">
                  <c:v>7.5</c:v>
                </c:pt>
                <c:pt idx="883">
                  <c:v>20.9</c:v>
                </c:pt>
                <c:pt idx="884">
                  <c:v>15.6</c:v>
                </c:pt>
                <c:pt idx="885">
                  <c:v>16.2</c:v>
                </c:pt>
                <c:pt idx="886">
                  <c:v>13.5</c:v>
                </c:pt>
                <c:pt idx="887">
                  <c:v>21.8</c:v>
                </c:pt>
                <c:pt idx="888">
                  <c:v>7.5</c:v>
                </c:pt>
                <c:pt idx="889">
                  <c:v>13.2</c:v>
                </c:pt>
                <c:pt idx="890">
                  <c:v>23.1</c:v>
                </c:pt>
                <c:pt idx="891">
                  <c:v>17.3</c:v>
                </c:pt>
                <c:pt idx="892">
                  <c:v>8.6</c:v>
                </c:pt>
                <c:pt idx="893">
                  <c:v>11.7</c:v>
                </c:pt>
                <c:pt idx="894">
                  <c:v>9.6</c:v>
                </c:pt>
                <c:pt idx="895">
                  <c:v>9.5</c:v>
                </c:pt>
                <c:pt idx="896">
                  <c:v>23.8</c:v>
                </c:pt>
                <c:pt idx="897">
                  <c:v>10</c:v>
                </c:pt>
                <c:pt idx="898">
                  <c:v>22.5</c:v>
                </c:pt>
                <c:pt idx="899">
                  <c:v>12.2</c:v>
                </c:pt>
                <c:pt idx="900">
                  <c:v>7.5</c:v>
                </c:pt>
                <c:pt idx="901">
                  <c:v>21.2</c:v>
                </c:pt>
                <c:pt idx="902">
                  <c:v>13.1</c:v>
                </c:pt>
                <c:pt idx="903">
                  <c:v>22</c:v>
                </c:pt>
                <c:pt idx="904">
                  <c:v>21.1</c:v>
                </c:pt>
                <c:pt idx="905">
                  <c:v>11.9</c:v>
                </c:pt>
                <c:pt idx="906">
                  <c:v>6.5</c:v>
                </c:pt>
                <c:pt idx="907">
                  <c:v>17.8</c:v>
                </c:pt>
                <c:pt idx="908">
                  <c:v>11.3</c:v>
                </c:pt>
                <c:pt idx="909">
                  <c:v>17.1</c:v>
                </c:pt>
                <c:pt idx="910">
                  <c:v>7.6</c:v>
                </c:pt>
                <c:pt idx="911">
                  <c:v>14.7</c:v>
                </c:pt>
                <c:pt idx="912">
                  <c:v>15.7</c:v>
                </c:pt>
                <c:pt idx="913">
                  <c:v>21.2</c:v>
                </c:pt>
                <c:pt idx="914">
                  <c:v>12.2</c:v>
                </c:pt>
                <c:pt idx="915">
                  <c:v>21</c:v>
                </c:pt>
                <c:pt idx="916">
                  <c:v>19.4</c:v>
                </c:pt>
                <c:pt idx="917">
                  <c:v>17</c:v>
                </c:pt>
                <c:pt idx="918">
                  <c:v>18.5</c:v>
                </c:pt>
                <c:pt idx="919">
                  <c:v>14.3</c:v>
                </c:pt>
                <c:pt idx="920">
                  <c:v>13.8</c:v>
                </c:pt>
                <c:pt idx="921">
                  <c:v>11.5</c:v>
                </c:pt>
                <c:pt idx="922">
                  <c:v>19.1</c:v>
                </c:pt>
                <c:pt idx="923">
                  <c:v>18</c:v>
                </c:pt>
                <c:pt idx="924">
                  <c:v>10.4</c:v>
                </c:pt>
                <c:pt idx="925">
                  <c:v>20.3</c:v>
                </c:pt>
                <c:pt idx="926">
                  <c:v>23.9</c:v>
                </c:pt>
                <c:pt idx="927">
                  <c:v>11.3</c:v>
                </c:pt>
                <c:pt idx="928">
                  <c:v>20.5</c:v>
                </c:pt>
                <c:pt idx="929">
                  <c:v>22.7</c:v>
                </c:pt>
                <c:pt idx="930">
                  <c:v>18.9</c:v>
                </c:pt>
                <c:pt idx="931">
                  <c:v>14.1</c:v>
                </c:pt>
                <c:pt idx="932">
                  <c:v>12.6</c:v>
                </c:pt>
                <c:pt idx="933">
                  <c:v>18.3</c:v>
                </c:pt>
                <c:pt idx="934">
                  <c:v>17</c:v>
                </c:pt>
                <c:pt idx="935">
                  <c:v>12.4</c:v>
                </c:pt>
                <c:pt idx="936">
                  <c:v>23.2</c:v>
                </c:pt>
                <c:pt idx="937">
                  <c:v>10.8</c:v>
                </c:pt>
                <c:pt idx="938">
                  <c:v>12.7</c:v>
                </c:pt>
                <c:pt idx="939">
                  <c:v>20.6</c:v>
                </c:pt>
                <c:pt idx="940">
                  <c:v>16.5</c:v>
                </c:pt>
                <c:pt idx="941">
                  <c:v>14.3</c:v>
                </c:pt>
                <c:pt idx="942">
                  <c:v>21.5</c:v>
                </c:pt>
                <c:pt idx="943">
                  <c:v>23.5</c:v>
                </c:pt>
                <c:pt idx="944">
                  <c:v>9.9</c:v>
                </c:pt>
                <c:pt idx="945">
                  <c:v>21.8</c:v>
                </c:pt>
                <c:pt idx="946">
                  <c:v>8.8</c:v>
                </c:pt>
                <c:pt idx="947">
                  <c:v>21.3</c:v>
                </c:pt>
                <c:pt idx="948">
                  <c:v>6.8</c:v>
                </c:pt>
                <c:pt idx="949">
                  <c:v>18.4</c:v>
                </c:pt>
                <c:pt idx="950">
                  <c:v>17.7</c:v>
                </c:pt>
                <c:pt idx="951">
                  <c:v>7.4</c:v>
                </c:pt>
                <c:pt idx="952">
                  <c:v>23.6</c:v>
                </c:pt>
                <c:pt idx="953">
                  <c:v>11.2</c:v>
                </c:pt>
                <c:pt idx="954">
                  <c:v>8.9</c:v>
                </c:pt>
                <c:pt idx="955">
                  <c:v>10.6</c:v>
                </c:pt>
                <c:pt idx="956">
                  <c:v>14.4</c:v>
                </c:pt>
                <c:pt idx="957">
                  <c:v>11.1</c:v>
                </c:pt>
                <c:pt idx="958">
                  <c:v>23.6</c:v>
                </c:pt>
                <c:pt idx="959">
                  <c:v>19.8</c:v>
                </c:pt>
                <c:pt idx="960">
                  <c:v>6.3</c:v>
                </c:pt>
                <c:pt idx="961">
                  <c:v>11.5</c:v>
                </c:pt>
                <c:pt idx="962">
                  <c:v>18.7</c:v>
                </c:pt>
                <c:pt idx="963">
                  <c:v>15.8</c:v>
                </c:pt>
                <c:pt idx="964">
                  <c:v>22.7</c:v>
                </c:pt>
                <c:pt idx="965">
                  <c:v>16.5</c:v>
                </c:pt>
                <c:pt idx="966">
                  <c:v>21.8</c:v>
                </c:pt>
                <c:pt idx="967">
                  <c:v>7.5</c:v>
                </c:pt>
                <c:pt idx="968">
                  <c:v>7</c:v>
                </c:pt>
                <c:pt idx="969">
                  <c:v>9.9</c:v>
                </c:pt>
                <c:pt idx="970">
                  <c:v>23.9</c:v>
                </c:pt>
                <c:pt idx="971">
                  <c:v>10.3</c:v>
                </c:pt>
                <c:pt idx="972">
                  <c:v>15.8</c:v>
                </c:pt>
                <c:pt idx="973">
                  <c:v>18.9</c:v>
                </c:pt>
                <c:pt idx="974">
                  <c:v>15.8</c:v>
                </c:pt>
                <c:pt idx="975">
                  <c:v>11</c:v>
                </c:pt>
                <c:pt idx="976">
                  <c:v>13.5</c:v>
                </c:pt>
                <c:pt idx="977">
                  <c:v>23.9</c:v>
                </c:pt>
                <c:pt idx="978">
                  <c:v>8.1</c:v>
                </c:pt>
                <c:pt idx="979">
                  <c:v>8.5</c:v>
                </c:pt>
                <c:pt idx="980">
                  <c:v>6.3</c:v>
                </c:pt>
                <c:pt idx="981">
                  <c:v>8.7</c:v>
                </c:pt>
                <c:pt idx="982">
                  <c:v>14.9</c:v>
                </c:pt>
                <c:pt idx="983">
                  <c:v>17.2</c:v>
                </c:pt>
                <c:pt idx="984">
                  <c:v>10.8</c:v>
                </c:pt>
                <c:pt idx="985">
                  <c:v>12.4</c:v>
                </c:pt>
                <c:pt idx="986">
                  <c:v>14.3</c:v>
                </c:pt>
                <c:pt idx="987">
                  <c:v>22.7</c:v>
                </c:pt>
                <c:pt idx="988">
                  <c:v>14.9</c:v>
                </c:pt>
                <c:pt idx="989">
                  <c:v>19.1</c:v>
                </c:pt>
                <c:pt idx="990">
                  <c:v>18.6</c:v>
                </c:pt>
                <c:pt idx="991">
                  <c:v>23.1</c:v>
                </c:pt>
                <c:pt idx="992">
                  <c:v>22</c:v>
                </c:pt>
                <c:pt idx="993">
                  <c:v>22.8</c:v>
                </c:pt>
                <c:pt idx="994">
                  <c:v>20.4</c:v>
                </c:pt>
                <c:pt idx="995">
                  <c:v>10.9</c:v>
                </c:pt>
                <c:pt idx="996">
                  <c:v>17.8</c:v>
                </c:pt>
                <c:pt idx="997">
                  <c:v>19.2</c:v>
                </c:pt>
                <c:pt idx="998">
                  <c:v>6.2</c:v>
                </c:pt>
                <c:pt idx="999">
                  <c:v>16.7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264419"/>
        <c:axId val="983101646"/>
      </c:scatterChart>
      <c:valAx>
        <c:axId val="8362644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Progression Free Survival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101646"/>
        <c:crosses val="autoZero"/>
        <c:crossBetween val="midCat"/>
      </c:valAx>
      <c:valAx>
        <c:axId val="9831016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Survival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26441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f5b1be-48e5-4be0-8793-aea0061a9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1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604520</xdr:colOff>
      <xdr:row>4</xdr:row>
      <xdr:rowOff>76200</xdr:rowOff>
    </xdr:from>
    <xdr:to>
      <xdr:col>10</xdr:col>
      <xdr:colOff>553720</xdr:colOff>
      <xdr:row>19</xdr:row>
      <xdr:rowOff>76200</xdr:rowOff>
    </xdr:to>
    <xdr:graphicFrame>
      <xdr:nvGraphicFramePr>
        <xdr:cNvPr id="2" name="Chart 1"/>
        <xdr:cNvGraphicFramePr/>
      </xdr:nvGraphicFramePr>
      <xdr:xfrm>
        <a:off x="2722880" y="807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40640</xdr:colOff>
      <xdr:row>5</xdr:row>
      <xdr:rowOff>15240</xdr:rowOff>
    </xdr:from>
    <xdr:to>
      <xdr:col>10</xdr:col>
      <xdr:colOff>599440</xdr:colOff>
      <xdr:row>17</xdr:row>
      <xdr:rowOff>69215</xdr:rowOff>
    </xdr:to>
    <xdr:graphicFrame>
      <xdr:nvGraphicFramePr>
        <xdr:cNvPr id="2" name="Chart 1"/>
        <xdr:cNvGraphicFramePr/>
      </xdr:nvGraphicFramePr>
      <xdr:xfrm>
        <a:off x="2989580" y="929640"/>
        <a:ext cx="482600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109220</xdr:colOff>
      <xdr:row>9</xdr:row>
      <xdr:rowOff>167640</xdr:rowOff>
    </xdr:from>
    <xdr:to>
      <xdr:col>7</xdr:col>
      <xdr:colOff>508000</xdr:colOff>
      <xdr:row>24</xdr:row>
      <xdr:rowOff>167640</xdr:rowOff>
    </xdr:to>
    <xdr:graphicFrame>
      <xdr:nvGraphicFramePr>
        <xdr:cNvPr id="2" name="Chart 1"/>
        <xdr:cNvGraphicFramePr/>
      </xdr:nvGraphicFramePr>
      <xdr:xfrm>
        <a:off x="2494280" y="1813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5</xdr:row>
      <xdr:rowOff>91440</xdr:rowOff>
    </xdr:from>
    <xdr:to>
      <xdr:col>6</xdr:col>
      <xdr:colOff>617220</xdr:colOff>
      <xdr:row>5</xdr:row>
      <xdr:rowOff>99060</xdr:rowOff>
    </xdr:to>
    <xdr:cxnSp>
      <xdr:nvCxnSpPr>
        <xdr:cNvPr id="3" name="Straight Arrow Connector 2"/>
        <xdr:cNvCxnSpPr/>
      </xdr:nvCxnSpPr>
      <xdr:spPr>
        <a:xfrm>
          <a:off x="6134100" y="1005840"/>
          <a:ext cx="51054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73660</xdr:colOff>
      <xdr:row>6</xdr:row>
      <xdr:rowOff>119380</xdr:rowOff>
    </xdr:from>
    <xdr:to>
      <xdr:col>6</xdr:col>
      <xdr:colOff>584200</xdr:colOff>
      <xdr:row>6</xdr:row>
      <xdr:rowOff>127000</xdr:rowOff>
    </xdr:to>
    <xdr:cxnSp>
      <xdr:nvCxnSpPr>
        <xdr:cNvPr id="4" name="Straight Arrow Connector 3"/>
        <xdr:cNvCxnSpPr/>
      </xdr:nvCxnSpPr>
      <xdr:spPr>
        <a:xfrm>
          <a:off x="6101080" y="1216660"/>
          <a:ext cx="51054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152400</xdr:colOff>
      <xdr:row>3</xdr:row>
      <xdr:rowOff>91440</xdr:rowOff>
    </xdr:from>
    <xdr:to>
      <xdr:col>2</xdr:col>
      <xdr:colOff>586740</xdr:colOff>
      <xdr:row>3</xdr:row>
      <xdr:rowOff>91440</xdr:rowOff>
    </xdr:to>
    <xdr:cxnSp>
      <xdr:nvCxnSpPr>
        <xdr:cNvPr id="2" name="Straight Arrow Connector 1"/>
        <xdr:cNvCxnSpPr/>
      </xdr:nvCxnSpPr>
      <xdr:spPr>
        <a:xfrm>
          <a:off x="2583180" y="640080"/>
          <a:ext cx="43434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7</xdr:row>
      <xdr:rowOff>99060</xdr:rowOff>
    </xdr:from>
    <xdr:to>
      <xdr:col>2</xdr:col>
      <xdr:colOff>533400</xdr:colOff>
      <xdr:row>7</xdr:row>
      <xdr:rowOff>99060</xdr:rowOff>
    </xdr:to>
    <xdr:cxnSp>
      <xdr:nvCxnSpPr>
        <xdr:cNvPr id="3" name="Straight Arrow Connector 2"/>
        <xdr:cNvCxnSpPr/>
      </xdr:nvCxnSpPr>
      <xdr:spPr>
        <a:xfrm>
          <a:off x="2529840" y="1379220"/>
          <a:ext cx="43434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48260</xdr:colOff>
      <xdr:row>9</xdr:row>
      <xdr:rowOff>7620</xdr:rowOff>
    </xdr:from>
    <xdr:to>
      <xdr:col>6</xdr:col>
      <xdr:colOff>5080</xdr:colOff>
      <xdr:row>24</xdr:row>
      <xdr:rowOff>7620</xdr:rowOff>
    </xdr:to>
    <xdr:graphicFrame>
      <xdr:nvGraphicFramePr>
        <xdr:cNvPr id="4" name="Chart 3"/>
        <xdr:cNvGraphicFramePr/>
      </xdr:nvGraphicFramePr>
      <xdr:xfrm>
        <a:off x="48260" y="1653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182880</xdr:colOff>
      <xdr:row>3</xdr:row>
      <xdr:rowOff>91440</xdr:rowOff>
    </xdr:from>
    <xdr:to>
      <xdr:col>3</xdr:col>
      <xdr:colOff>220980</xdr:colOff>
      <xdr:row>3</xdr:row>
      <xdr:rowOff>91440</xdr:rowOff>
    </xdr:to>
    <xdr:cxnSp>
      <xdr:nvCxnSpPr>
        <xdr:cNvPr id="2" name="Straight Arrow Connector 1"/>
        <xdr:cNvCxnSpPr/>
      </xdr:nvCxnSpPr>
      <xdr:spPr>
        <a:xfrm>
          <a:off x="2491740" y="640080"/>
          <a:ext cx="64770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6</xdr:row>
      <xdr:rowOff>38100</xdr:rowOff>
    </xdr:from>
    <xdr:to>
      <xdr:col>3</xdr:col>
      <xdr:colOff>236220</xdr:colOff>
      <xdr:row>6</xdr:row>
      <xdr:rowOff>38100</xdr:rowOff>
    </xdr:to>
    <xdr:cxnSp>
      <xdr:nvCxnSpPr>
        <xdr:cNvPr id="3" name="Straight Arrow Connector 2"/>
        <xdr:cNvCxnSpPr/>
      </xdr:nvCxnSpPr>
      <xdr:spPr>
        <a:xfrm>
          <a:off x="2506980" y="1135380"/>
          <a:ext cx="64770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</xdr:colOff>
      <xdr:row>7</xdr:row>
      <xdr:rowOff>175260</xdr:rowOff>
    </xdr:from>
    <xdr:to>
      <xdr:col>6</xdr:col>
      <xdr:colOff>96520</xdr:colOff>
      <xdr:row>22</xdr:row>
      <xdr:rowOff>175260</xdr:rowOff>
    </xdr:to>
    <xdr:graphicFrame>
      <xdr:nvGraphicFramePr>
        <xdr:cNvPr id="4" name="Chart 3"/>
        <xdr:cNvGraphicFramePr/>
      </xdr:nvGraphicFramePr>
      <xdr:xfrm>
        <a:off x="17780" y="14554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228600</xdr:colOff>
      <xdr:row>8</xdr:row>
      <xdr:rowOff>91440</xdr:rowOff>
    </xdr:from>
    <xdr:to>
      <xdr:col>4</xdr:col>
      <xdr:colOff>76200</xdr:colOff>
      <xdr:row>8</xdr:row>
      <xdr:rowOff>91440</xdr:rowOff>
    </xdr:to>
    <xdr:cxnSp>
      <xdr:nvCxnSpPr>
        <xdr:cNvPr id="2" name="Straight Arrow Connector 1"/>
        <xdr:cNvCxnSpPr/>
      </xdr:nvCxnSpPr>
      <xdr:spPr>
        <a:xfrm>
          <a:off x="3855720" y="1554480"/>
          <a:ext cx="45720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</xdr:colOff>
      <xdr:row>9</xdr:row>
      <xdr:rowOff>175260</xdr:rowOff>
    </xdr:from>
    <xdr:to>
      <xdr:col>4</xdr:col>
      <xdr:colOff>591820</xdr:colOff>
      <xdr:row>24</xdr:row>
      <xdr:rowOff>175260</xdr:rowOff>
    </xdr:to>
    <xdr:graphicFrame>
      <xdr:nvGraphicFramePr>
        <xdr:cNvPr id="3" name="Chart 2"/>
        <xdr:cNvGraphicFramePr/>
      </xdr:nvGraphicFramePr>
      <xdr:xfrm>
        <a:off x="2540" y="18211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3</xdr:row>
      <xdr:rowOff>99060</xdr:rowOff>
    </xdr:from>
    <xdr:to>
      <xdr:col>4</xdr:col>
      <xdr:colOff>152400</xdr:colOff>
      <xdr:row>3</xdr:row>
      <xdr:rowOff>99060</xdr:rowOff>
    </xdr:to>
    <xdr:cxnSp>
      <xdr:nvCxnSpPr>
        <xdr:cNvPr id="4" name="Straight Arrow Connector 3"/>
        <xdr:cNvCxnSpPr/>
      </xdr:nvCxnSpPr>
      <xdr:spPr>
        <a:xfrm>
          <a:off x="3931920" y="647700"/>
          <a:ext cx="45720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129540</xdr:colOff>
      <xdr:row>3</xdr:row>
      <xdr:rowOff>137160</xdr:rowOff>
    </xdr:from>
    <xdr:to>
      <xdr:col>3</xdr:col>
      <xdr:colOff>53340</xdr:colOff>
      <xdr:row>3</xdr:row>
      <xdr:rowOff>144780</xdr:rowOff>
    </xdr:to>
    <xdr:cxnSp>
      <xdr:nvCxnSpPr>
        <xdr:cNvPr id="2" name="Straight Arrow Connector 1"/>
        <xdr:cNvCxnSpPr/>
      </xdr:nvCxnSpPr>
      <xdr:spPr>
        <a:xfrm flipV="1">
          <a:off x="3878580" y="685800"/>
          <a:ext cx="53340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134620</xdr:colOff>
      <xdr:row>4</xdr:row>
      <xdr:rowOff>119380</xdr:rowOff>
    </xdr:from>
    <xdr:to>
      <xdr:col>3</xdr:col>
      <xdr:colOff>58420</xdr:colOff>
      <xdr:row>4</xdr:row>
      <xdr:rowOff>127000</xdr:rowOff>
    </xdr:to>
    <xdr:cxnSp>
      <xdr:nvCxnSpPr>
        <xdr:cNvPr id="3" name="Straight Arrow Connector 2"/>
        <xdr:cNvCxnSpPr/>
      </xdr:nvCxnSpPr>
      <xdr:spPr>
        <a:xfrm flipV="1">
          <a:off x="3883660" y="850900"/>
          <a:ext cx="53340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22860</xdr:rowOff>
    </xdr:from>
    <xdr:to>
      <xdr:col>3</xdr:col>
      <xdr:colOff>467995</xdr:colOff>
      <xdr:row>21</xdr:row>
      <xdr:rowOff>22860</xdr:rowOff>
    </xdr:to>
    <xdr:graphicFrame>
      <xdr:nvGraphicFramePr>
        <xdr:cNvPr id="4" name="Chart 3"/>
        <xdr:cNvGraphicFramePr/>
      </xdr:nvGraphicFramePr>
      <xdr:xfrm>
        <a:off x="635" y="1120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63500</xdr:colOff>
      <xdr:row>3</xdr:row>
      <xdr:rowOff>60960</xdr:rowOff>
    </xdr:from>
    <xdr:to>
      <xdr:col>11</xdr:col>
      <xdr:colOff>12700</xdr:colOff>
      <xdr:row>18</xdr:row>
      <xdr:rowOff>60960</xdr:rowOff>
    </xdr:to>
    <xdr:graphicFrame>
      <xdr:nvGraphicFramePr>
        <xdr:cNvPr id="2" name="Chart 1"/>
        <xdr:cNvGraphicFramePr/>
      </xdr:nvGraphicFramePr>
      <xdr:xfrm>
        <a:off x="3477260" y="609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4</xdr:row>
      <xdr:rowOff>106680</xdr:rowOff>
    </xdr:from>
    <xdr:to>
      <xdr:col>10</xdr:col>
      <xdr:colOff>584200</xdr:colOff>
      <xdr:row>19</xdr:row>
      <xdr:rowOff>106680</xdr:rowOff>
    </xdr:to>
    <xdr:graphicFrame>
      <xdr:nvGraphicFramePr>
        <xdr:cNvPr id="2" name="Chart 1"/>
        <xdr:cNvGraphicFramePr/>
      </xdr:nvGraphicFramePr>
      <xdr:xfrm>
        <a:off x="3797300" y="838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251460</xdr:colOff>
      <xdr:row>3</xdr:row>
      <xdr:rowOff>91440</xdr:rowOff>
    </xdr:from>
    <xdr:to>
      <xdr:col>3</xdr:col>
      <xdr:colOff>472440</xdr:colOff>
      <xdr:row>3</xdr:row>
      <xdr:rowOff>99060</xdr:rowOff>
    </xdr:to>
    <xdr:cxnSp>
      <xdr:nvCxnSpPr>
        <xdr:cNvPr id="2" name="Straight Arrow Connector 1"/>
        <xdr:cNvCxnSpPr/>
      </xdr:nvCxnSpPr>
      <xdr:spPr>
        <a:xfrm>
          <a:off x="2948940" y="640080"/>
          <a:ext cx="83058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220980</xdr:colOff>
      <xdr:row>7</xdr:row>
      <xdr:rowOff>30480</xdr:rowOff>
    </xdr:from>
    <xdr:to>
      <xdr:col>3</xdr:col>
      <xdr:colOff>441960</xdr:colOff>
      <xdr:row>7</xdr:row>
      <xdr:rowOff>38100</xdr:rowOff>
    </xdr:to>
    <xdr:cxnSp>
      <xdr:nvCxnSpPr>
        <xdr:cNvPr id="3" name="Straight Arrow Connector 2"/>
        <xdr:cNvCxnSpPr/>
      </xdr:nvCxnSpPr>
      <xdr:spPr>
        <a:xfrm>
          <a:off x="2918460" y="1310640"/>
          <a:ext cx="830580" cy="7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</xdr:colOff>
      <xdr:row>9</xdr:row>
      <xdr:rowOff>0</xdr:rowOff>
    </xdr:from>
    <xdr:to>
      <xdr:col>5</xdr:col>
      <xdr:colOff>302260</xdr:colOff>
      <xdr:row>24</xdr:row>
      <xdr:rowOff>0</xdr:rowOff>
    </xdr:to>
    <xdr:graphicFrame>
      <xdr:nvGraphicFramePr>
        <xdr:cNvPr id="4" name="Chart 3"/>
        <xdr:cNvGraphicFramePr/>
      </xdr:nvGraphicFramePr>
      <xdr:xfrm>
        <a:off x="2540" y="16459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488950</xdr:colOff>
      <xdr:row>6</xdr:row>
      <xdr:rowOff>53340</xdr:rowOff>
    </xdr:from>
    <xdr:to>
      <xdr:col>27</xdr:col>
      <xdr:colOff>438150</xdr:colOff>
      <xdr:row>21</xdr:row>
      <xdr:rowOff>53340</xdr:rowOff>
    </xdr:to>
    <xdr:graphicFrame>
      <xdr:nvGraphicFramePr>
        <xdr:cNvPr id="2" name="Chart 1"/>
        <xdr:cNvGraphicFramePr/>
      </xdr:nvGraphicFramePr>
      <xdr:xfrm>
        <a:off x="13808710" y="1150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17780</xdr:colOff>
      <xdr:row>12</xdr:row>
      <xdr:rowOff>22225</xdr:rowOff>
    </xdr:from>
    <xdr:to>
      <xdr:col>9</xdr:col>
      <xdr:colOff>218440</xdr:colOff>
      <xdr:row>24</xdr:row>
      <xdr:rowOff>22225</xdr:rowOff>
    </xdr:to>
    <xdr:graphicFrame>
      <xdr:nvGraphicFramePr>
        <xdr:cNvPr id="3" name="Chart 2"/>
        <xdr:cNvGraphicFramePr/>
      </xdr:nvGraphicFramePr>
      <xdr:xfrm>
        <a:off x="2616200" y="2216785"/>
        <a:ext cx="4826000" cy="21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246380</xdr:colOff>
      <xdr:row>11</xdr:row>
      <xdr:rowOff>160020</xdr:rowOff>
    </xdr:from>
    <xdr:to>
      <xdr:col>11</xdr:col>
      <xdr:colOff>195580</xdr:colOff>
      <xdr:row>26</xdr:row>
      <xdr:rowOff>160020</xdr:rowOff>
    </xdr:to>
    <xdr:graphicFrame>
      <xdr:nvGraphicFramePr>
        <xdr:cNvPr id="3" name="Chart 2"/>
        <xdr:cNvGraphicFramePr/>
      </xdr:nvGraphicFramePr>
      <xdr:xfrm>
        <a:off x="3439160" y="22174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154940</xdr:colOff>
      <xdr:row>3</xdr:row>
      <xdr:rowOff>121920</xdr:rowOff>
    </xdr:from>
    <xdr:to>
      <xdr:col>11</xdr:col>
      <xdr:colOff>104140</xdr:colOff>
      <xdr:row>18</xdr:row>
      <xdr:rowOff>121920</xdr:rowOff>
    </xdr:to>
    <xdr:graphicFrame>
      <xdr:nvGraphicFramePr>
        <xdr:cNvPr id="2" name="Chart 1"/>
        <xdr:cNvGraphicFramePr/>
      </xdr:nvGraphicFramePr>
      <xdr:xfrm>
        <a:off x="4056380" y="670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71120</xdr:colOff>
      <xdr:row>3</xdr:row>
      <xdr:rowOff>7620</xdr:rowOff>
    </xdr:from>
    <xdr:to>
      <xdr:col>10</xdr:col>
      <xdr:colOff>119380</xdr:colOff>
      <xdr:row>16</xdr:row>
      <xdr:rowOff>106045</xdr:rowOff>
    </xdr:to>
    <xdr:graphicFrame>
      <xdr:nvGraphicFramePr>
        <xdr:cNvPr id="2" name="Chart 1"/>
        <xdr:cNvGraphicFramePr/>
      </xdr:nvGraphicFramePr>
      <xdr:xfrm>
        <a:off x="1983740" y="647700"/>
        <a:ext cx="4925060" cy="2475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55880</xdr:colOff>
      <xdr:row>3</xdr:row>
      <xdr:rowOff>167640</xdr:rowOff>
    </xdr:from>
    <xdr:to>
      <xdr:col>10</xdr:col>
      <xdr:colOff>5080</xdr:colOff>
      <xdr:row>18</xdr:row>
      <xdr:rowOff>167640</xdr:rowOff>
    </xdr:to>
    <xdr:graphicFrame>
      <xdr:nvGraphicFramePr>
        <xdr:cNvPr id="2" name="Chart 1"/>
        <xdr:cNvGraphicFramePr/>
      </xdr:nvGraphicFramePr>
      <xdr:xfrm>
        <a:off x="2387600" y="716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17780</xdr:colOff>
      <xdr:row>4</xdr:row>
      <xdr:rowOff>160020</xdr:rowOff>
    </xdr:from>
    <xdr:to>
      <xdr:col>9</xdr:col>
      <xdr:colOff>576580</xdr:colOff>
      <xdr:row>19</xdr:row>
      <xdr:rowOff>160020</xdr:rowOff>
    </xdr:to>
    <xdr:graphicFrame>
      <xdr:nvGraphicFramePr>
        <xdr:cNvPr id="2" name="Chart 1"/>
        <xdr:cNvGraphicFramePr/>
      </xdr:nvGraphicFramePr>
      <xdr:xfrm>
        <a:off x="2692400" y="891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55880</xdr:colOff>
      <xdr:row>3</xdr:row>
      <xdr:rowOff>30480</xdr:rowOff>
    </xdr:from>
    <xdr:to>
      <xdr:col>10</xdr:col>
      <xdr:colOff>5080</xdr:colOff>
      <xdr:row>18</xdr:row>
      <xdr:rowOff>30480</xdr:rowOff>
    </xdr:to>
    <xdr:graphicFrame>
      <xdr:nvGraphicFramePr>
        <xdr:cNvPr id="2" name="Chart 1"/>
        <xdr:cNvGraphicFramePr/>
      </xdr:nvGraphicFramePr>
      <xdr:xfrm>
        <a:off x="2440940" y="624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55880</xdr:colOff>
      <xdr:row>3</xdr:row>
      <xdr:rowOff>160020</xdr:rowOff>
    </xdr:from>
    <xdr:to>
      <xdr:col>10</xdr:col>
      <xdr:colOff>5080</xdr:colOff>
      <xdr:row>18</xdr:row>
      <xdr:rowOff>160020</xdr:rowOff>
    </xdr:to>
    <xdr:graphicFrame>
      <xdr:nvGraphicFramePr>
        <xdr:cNvPr id="2" name="Chart 1"/>
        <xdr:cNvGraphicFramePr/>
      </xdr:nvGraphicFramePr>
      <xdr:xfrm>
        <a:off x="2669540" y="7086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33020</xdr:colOff>
      <xdr:row>3</xdr:row>
      <xdr:rowOff>0</xdr:rowOff>
    </xdr:from>
    <xdr:to>
      <xdr:col>9</xdr:col>
      <xdr:colOff>591820</xdr:colOff>
      <xdr:row>18</xdr:row>
      <xdr:rowOff>0</xdr:rowOff>
    </xdr:to>
    <xdr:graphicFrame>
      <xdr:nvGraphicFramePr>
        <xdr:cNvPr id="2" name="Chart 1"/>
        <xdr:cNvGraphicFramePr/>
      </xdr:nvGraphicFramePr>
      <xdr:xfrm>
        <a:off x="2768600" y="594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10160</xdr:colOff>
      <xdr:row>3</xdr:row>
      <xdr:rowOff>15240</xdr:rowOff>
    </xdr:from>
    <xdr:to>
      <xdr:col>9</xdr:col>
      <xdr:colOff>568960</xdr:colOff>
      <xdr:row>18</xdr:row>
      <xdr:rowOff>15240</xdr:rowOff>
    </xdr:to>
    <xdr:graphicFrame>
      <xdr:nvGraphicFramePr>
        <xdr:cNvPr id="2" name="Chart 1"/>
        <xdr:cNvGraphicFramePr/>
      </xdr:nvGraphicFramePr>
      <xdr:xfrm>
        <a:off x="3439160" y="563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48260</xdr:colOff>
      <xdr:row>4</xdr:row>
      <xdr:rowOff>38100</xdr:rowOff>
    </xdr:from>
    <xdr:to>
      <xdr:col>9</xdr:col>
      <xdr:colOff>607060</xdr:colOff>
      <xdr:row>19</xdr:row>
      <xdr:rowOff>38100</xdr:rowOff>
    </xdr:to>
    <xdr:graphicFrame>
      <xdr:nvGraphicFramePr>
        <xdr:cNvPr id="3" name="Chart 2"/>
        <xdr:cNvGraphicFramePr/>
      </xdr:nvGraphicFramePr>
      <xdr:xfrm>
        <a:off x="2783840" y="769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69850</xdr:colOff>
      <xdr:row>3</xdr:row>
      <xdr:rowOff>45720</xdr:rowOff>
    </xdr:from>
    <xdr:to>
      <xdr:col>10</xdr:col>
      <xdr:colOff>19050</xdr:colOff>
      <xdr:row>18</xdr:row>
      <xdr:rowOff>45720</xdr:rowOff>
    </xdr:to>
    <xdr:graphicFrame>
      <xdr:nvGraphicFramePr>
        <xdr:cNvPr id="2" name="Chart 1"/>
        <xdr:cNvGraphicFramePr/>
      </xdr:nvGraphicFramePr>
      <xdr:xfrm>
        <a:off x="2546350" y="640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5</xdr:row>
      <xdr:rowOff>175260</xdr:rowOff>
    </xdr:from>
    <xdr:to>
      <xdr:col>3</xdr:col>
      <xdr:colOff>467995</xdr:colOff>
      <xdr:row>20</xdr:row>
      <xdr:rowOff>175260</xdr:rowOff>
    </xdr:to>
    <xdr:graphicFrame>
      <xdr:nvGraphicFramePr>
        <xdr:cNvPr id="3" name="Chart 2"/>
        <xdr:cNvGraphicFramePr/>
      </xdr:nvGraphicFramePr>
      <xdr:xfrm>
        <a:off x="635" y="10896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48260</xdr:colOff>
      <xdr:row>3</xdr:row>
      <xdr:rowOff>45720</xdr:rowOff>
    </xdr:from>
    <xdr:to>
      <xdr:col>9</xdr:col>
      <xdr:colOff>332740</xdr:colOff>
      <xdr:row>18</xdr:row>
      <xdr:rowOff>45720</xdr:rowOff>
    </xdr:to>
    <xdr:graphicFrame>
      <xdr:nvGraphicFramePr>
        <xdr:cNvPr id="3" name="Chart 2"/>
        <xdr:cNvGraphicFramePr/>
      </xdr:nvGraphicFramePr>
      <xdr:xfrm>
        <a:off x="2905760" y="594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101600</xdr:colOff>
      <xdr:row>5</xdr:row>
      <xdr:rowOff>60960</xdr:rowOff>
    </xdr:from>
    <xdr:to>
      <xdr:col>10</xdr:col>
      <xdr:colOff>43180</xdr:colOff>
      <xdr:row>20</xdr:row>
      <xdr:rowOff>60960</xdr:rowOff>
    </xdr:to>
    <xdr:graphicFrame>
      <xdr:nvGraphicFramePr>
        <xdr:cNvPr id="4" name="Chart 3"/>
        <xdr:cNvGraphicFramePr/>
      </xdr:nvGraphicFramePr>
      <xdr:xfrm>
        <a:off x="2227580" y="975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193040</xdr:colOff>
      <xdr:row>10</xdr:row>
      <xdr:rowOff>53340</xdr:rowOff>
    </xdr:from>
    <xdr:to>
      <xdr:col>13</xdr:col>
      <xdr:colOff>142240</xdr:colOff>
      <xdr:row>25</xdr:row>
      <xdr:rowOff>53340</xdr:rowOff>
    </xdr:to>
    <xdr:graphicFrame>
      <xdr:nvGraphicFramePr>
        <xdr:cNvPr id="4" name="Chart 3"/>
        <xdr:cNvGraphicFramePr/>
      </xdr:nvGraphicFramePr>
      <xdr:xfrm>
        <a:off x="4986020" y="1882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84.9501388889" refreshedBy="vnaga" recordCount="1001">
  <cacheSource type="worksheet">
    <worksheetSource ref="A1:Z1048576" sheet="Main Sheet"/>
  </cacheSource>
  <cacheFields count="26">
    <cacheField name="Patient_ID" numFmtId="0">
      <sharedItems containsBlank="1" count="1001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  <s v="P501"/>
        <s v="P502"/>
        <s v="P503"/>
        <s v="P504"/>
        <s v="P505"/>
        <s v="P506"/>
        <s v="P507"/>
        <s v="P508"/>
        <s v="P509"/>
        <s v="P510"/>
        <s v="P511"/>
        <s v="P512"/>
        <s v="P513"/>
        <s v="P514"/>
        <s v="P515"/>
        <s v="P516"/>
        <s v="P517"/>
        <s v="P518"/>
        <s v="P519"/>
        <s v="P520"/>
        <s v="P521"/>
        <s v="P522"/>
        <s v="P523"/>
        <s v="P524"/>
        <s v="P525"/>
        <s v="P526"/>
        <s v="P527"/>
        <s v="P528"/>
        <s v="P529"/>
        <s v="P530"/>
        <s v="P531"/>
        <s v="P532"/>
        <s v="P533"/>
        <s v="P534"/>
        <s v="P535"/>
        <s v="P536"/>
        <s v="P537"/>
        <s v="P538"/>
        <s v="P539"/>
        <s v="P540"/>
        <s v="P541"/>
        <s v="P542"/>
        <s v="P543"/>
        <s v="P544"/>
        <s v="P545"/>
        <s v="P546"/>
        <s v="P547"/>
        <s v="P548"/>
        <s v="P549"/>
        <s v="P550"/>
        <s v="P551"/>
        <s v="P552"/>
        <s v="P553"/>
        <s v="P554"/>
        <s v="P555"/>
        <s v="P556"/>
        <s v="P557"/>
        <s v="P558"/>
        <s v="P559"/>
        <s v="P560"/>
        <s v="P561"/>
        <s v="P562"/>
        <s v="P563"/>
        <s v="P564"/>
        <s v="P565"/>
        <s v="P566"/>
        <s v="P567"/>
        <s v="P568"/>
        <s v="P569"/>
        <s v="P570"/>
        <s v="P571"/>
        <s v="P572"/>
        <s v="P573"/>
        <s v="P574"/>
        <s v="P575"/>
        <s v="P576"/>
        <s v="P577"/>
        <s v="P578"/>
        <s v="P579"/>
        <s v="P580"/>
        <s v="P581"/>
        <s v="P582"/>
        <s v="P583"/>
        <s v="P584"/>
        <s v="P585"/>
        <s v="P586"/>
        <s v="P587"/>
        <s v="P588"/>
        <s v="P589"/>
        <s v="P590"/>
        <s v="P591"/>
        <s v="P592"/>
        <s v="P593"/>
        <s v="P594"/>
        <s v="P595"/>
        <s v="P596"/>
        <s v="P597"/>
        <s v="P598"/>
        <s v="P599"/>
        <s v="P600"/>
        <s v="P601"/>
        <s v="P602"/>
        <s v="P603"/>
        <s v="P604"/>
        <s v="P605"/>
        <s v="P606"/>
        <s v="P607"/>
        <s v="P608"/>
        <s v="P609"/>
        <s v="P610"/>
        <s v="P611"/>
        <s v="P612"/>
        <s v="P613"/>
        <s v="P614"/>
        <s v="P615"/>
        <s v="P616"/>
        <s v="P617"/>
        <s v="P618"/>
        <s v="P619"/>
        <s v="P620"/>
        <s v="P621"/>
        <s v="P622"/>
        <s v="P623"/>
        <s v="P624"/>
        <s v="P625"/>
        <s v="P626"/>
        <s v="P627"/>
        <s v="P628"/>
        <s v="P629"/>
        <s v="P630"/>
        <s v="P631"/>
        <s v="P632"/>
        <s v="P633"/>
        <s v="P634"/>
        <s v="P635"/>
        <s v="P636"/>
        <s v="P637"/>
        <s v="P638"/>
        <s v="P639"/>
        <s v="P640"/>
        <s v="P641"/>
        <s v="P642"/>
        <s v="P643"/>
        <s v="P644"/>
        <s v="P645"/>
        <s v="P646"/>
        <s v="P647"/>
        <s v="P648"/>
        <s v="P649"/>
        <s v="P650"/>
        <s v="P651"/>
        <s v="P652"/>
        <s v="P653"/>
        <s v="P654"/>
        <s v="P655"/>
        <s v="P656"/>
        <s v="P657"/>
        <s v="P658"/>
        <s v="P659"/>
        <s v="P660"/>
        <s v="P661"/>
        <s v="P662"/>
        <s v="P663"/>
        <s v="P664"/>
        <s v="P665"/>
        <s v="P666"/>
        <s v="P667"/>
        <s v="P668"/>
        <s v="P669"/>
        <s v="P670"/>
        <s v="P671"/>
        <s v="P672"/>
        <s v="P673"/>
        <s v="P674"/>
        <s v="P675"/>
        <s v="P676"/>
        <s v="P677"/>
        <s v="P678"/>
        <s v="P679"/>
        <s v="P680"/>
        <s v="P681"/>
        <s v="P682"/>
        <s v="P683"/>
        <s v="P684"/>
        <s v="P685"/>
        <s v="P686"/>
        <s v="P687"/>
        <s v="P688"/>
        <s v="P689"/>
        <s v="P690"/>
        <s v="P691"/>
        <s v="P692"/>
        <s v="P693"/>
        <s v="P694"/>
        <s v="P695"/>
        <s v="P696"/>
        <s v="P697"/>
        <s v="P698"/>
        <s v="P699"/>
        <s v="P700"/>
        <s v="P701"/>
        <s v="P702"/>
        <s v="P703"/>
        <s v="P704"/>
        <s v="P705"/>
        <s v="P706"/>
        <s v="P707"/>
        <s v="P708"/>
        <s v="P709"/>
        <s v="P710"/>
        <s v="P711"/>
        <s v="P712"/>
        <s v="P713"/>
        <s v="P714"/>
        <s v="P715"/>
        <s v="P716"/>
        <s v="P717"/>
        <s v="P718"/>
        <s v="P719"/>
        <s v="P720"/>
        <s v="P721"/>
        <s v="P722"/>
        <s v="P723"/>
        <s v="P724"/>
        <s v="P725"/>
        <s v="P726"/>
        <s v="P727"/>
        <s v="P728"/>
        <s v="P729"/>
        <s v="P730"/>
        <s v="P731"/>
        <s v="P732"/>
        <s v="P733"/>
        <s v="P734"/>
        <s v="P735"/>
        <s v="P736"/>
        <s v="P737"/>
        <s v="P738"/>
        <s v="P739"/>
        <s v="P740"/>
        <s v="P741"/>
        <s v="P742"/>
        <s v="P743"/>
        <s v="P744"/>
        <s v="P745"/>
        <s v="P746"/>
        <s v="P747"/>
        <s v="P748"/>
        <s v="P749"/>
        <s v="P750"/>
        <s v="P751"/>
        <s v="P752"/>
        <s v="P753"/>
        <s v="P754"/>
        <s v="P755"/>
        <s v="P756"/>
        <s v="P757"/>
        <s v="P758"/>
        <s v="P759"/>
        <s v="P760"/>
        <s v="P761"/>
        <s v="P762"/>
        <s v="P763"/>
        <s v="P764"/>
        <s v="P765"/>
        <s v="P766"/>
        <s v="P767"/>
        <s v="P768"/>
        <s v="P769"/>
        <s v="P770"/>
        <s v="P771"/>
        <s v="P772"/>
        <s v="P773"/>
        <s v="P774"/>
        <s v="P775"/>
        <s v="P776"/>
        <s v="P777"/>
        <s v="P778"/>
        <s v="P779"/>
        <s v="P780"/>
        <s v="P781"/>
        <s v="P782"/>
        <s v="P783"/>
        <s v="P784"/>
        <s v="P785"/>
        <s v="P786"/>
        <s v="P787"/>
        <s v="P788"/>
        <s v="P789"/>
        <s v="P790"/>
        <s v="P791"/>
        <s v="P792"/>
        <s v="P793"/>
        <s v="P794"/>
        <s v="P795"/>
        <s v="P796"/>
        <s v="P797"/>
        <s v="P798"/>
        <s v="P799"/>
        <s v="P800"/>
        <s v="P801"/>
        <s v="P802"/>
        <s v="P803"/>
        <s v="P804"/>
        <s v="P805"/>
        <s v="P806"/>
        <s v="P807"/>
        <s v="P808"/>
        <s v="P809"/>
        <s v="P810"/>
        <s v="P811"/>
        <s v="P812"/>
        <s v="P813"/>
        <s v="P814"/>
        <s v="P815"/>
        <s v="P816"/>
        <s v="P817"/>
        <s v="P818"/>
        <s v="P819"/>
        <s v="P820"/>
        <s v="P821"/>
        <s v="P822"/>
        <s v="P823"/>
        <s v="P824"/>
        <s v="P825"/>
        <s v="P826"/>
        <s v="P827"/>
        <s v="P828"/>
        <s v="P829"/>
        <s v="P830"/>
        <s v="P831"/>
        <s v="P832"/>
        <s v="P833"/>
        <s v="P834"/>
        <s v="P835"/>
        <s v="P836"/>
        <s v="P837"/>
        <s v="P838"/>
        <s v="P839"/>
        <s v="P840"/>
        <s v="P841"/>
        <s v="P842"/>
        <s v="P843"/>
        <s v="P844"/>
        <s v="P845"/>
        <s v="P846"/>
        <s v="P847"/>
        <s v="P848"/>
        <s v="P849"/>
        <s v="P850"/>
        <s v="P851"/>
        <s v="P852"/>
        <s v="P853"/>
        <s v="P854"/>
        <s v="P855"/>
        <s v="P856"/>
        <s v="P857"/>
        <s v="P858"/>
        <s v="P859"/>
        <s v="P860"/>
        <s v="P861"/>
        <s v="P862"/>
        <s v="P863"/>
        <s v="P864"/>
        <s v="P865"/>
        <s v="P866"/>
        <s v="P867"/>
        <s v="P868"/>
        <s v="P869"/>
        <s v="P870"/>
        <s v="P871"/>
        <s v="P872"/>
        <s v="P873"/>
        <s v="P874"/>
        <s v="P875"/>
        <s v="P876"/>
        <s v="P877"/>
        <s v="P878"/>
        <s v="P879"/>
        <s v="P880"/>
        <s v="P881"/>
        <s v="P882"/>
        <s v="P883"/>
        <s v="P884"/>
        <s v="P885"/>
        <s v="P886"/>
        <s v="P887"/>
        <s v="P888"/>
        <s v="P889"/>
        <s v="P890"/>
        <s v="P891"/>
        <s v="P892"/>
        <s v="P893"/>
        <s v="P894"/>
        <s v="P895"/>
        <s v="P896"/>
        <s v="P897"/>
        <s v="P898"/>
        <s v="P899"/>
        <s v="P900"/>
        <s v="P901"/>
        <s v="P902"/>
        <s v="P903"/>
        <s v="P904"/>
        <s v="P905"/>
        <s v="P906"/>
        <s v="P907"/>
        <s v="P908"/>
        <s v="P909"/>
        <s v="P910"/>
        <s v="P911"/>
        <s v="P912"/>
        <s v="P913"/>
        <s v="P914"/>
        <s v="P915"/>
        <s v="P916"/>
        <s v="P917"/>
        <s v="P918"/>
        <s v="P919"/>
        <s v="P920"/>
        <s v="P921"/>
        <s v="P922"/>
        <s v="P923"/>
        <s v="P924"/>
        <s v="P925"/>
        <s v="P926"/>
        <s v="P927"/>
        <s v="P928"/>
        <s v="P929"/>
        <s v="P930"/>
        <s v="P931"/>
        <s v="P932"/>
        <s v="P933"/>
        <s v="P934"/>
        <s v="P935"/>
        <s v="P936"/>
        <s v="P937"/>
        <s v="P938"/>
        <s v="P939"/>
        <s v="P940"/>
        <s v="P941"/>
        <s v="P942"/>
        <s v="P943"/>
        <s v="P944"/>
        <s v="P945"/>
        <s v="P946"/>
        <s v="P947"/>
        <s v="P948"/>
        <s v="P949"/>
        <s v="P950"/>
        <s v="P951"/>
        <s v="P952"/>
        <s v="P953"/>
        <s v="P954"/>
        <s v="P955"/>
        <s v="P956"/>
        <s v="P957"/>
        <s v="P958"/>
        <s v="P959"/>
        <s v="P960"/>
        <s v="P961"/>
        <s v="P962"/>
        <s v="P963"/>
        <s v="P964"/>
        <s v="P965"/>
        <s v="P966"/>
        <s v="P967"/>
        <s v="P968"/>
        <s v="P969"/>
        <s v="P970"/>
        <s v="P971"/>
        <s v="P972"/>
        <s v="P973"/>
        <s v="P974"/>
        <s v="P975"/>
        <s v="P976"/>
        <s v="P977"/>
        <s v="P978"/>
        <s v="P979"/>
        <s v="P980"/>
        <s v="P981"/>
        <s v="P982"/>
        <s v="P983"/>
        <s v="P984"/>
        <s v="P985"/>
        <s v="P986"/>
        <s v="P987"/>
        <s v="P988"/>
        <s v="P989"/>
        <s v="P990"/>
        <s v="P991"/>
        <s v="P992"/>
        <s v="P993"/>
        <s v="P994"/>
        <s v="P995"/>
        <s v="P996"/>
        <s v="P997"/>
        <s v="P998"/>
        <s v="P999"/>
        <s v="P1000"/>
        <m/>
      </sharedItems>
    </cacheField>
    <cacheField name="Age" numFmtId="0">
      <sharedItems containsString="0" containsBlank="1" containsNumber="1" containsInteger="1" minValue="0" maxValue="85" count="69">
        <n v="22"/>
        <n v="61"/>
        <n v="60"/>
        <n v="76"/>
        <n v="39"/>
        <n v="57"/>
        <n v="65"/>
        <n v="47"/>
        <n v="69"/>
        <n v="53"/>
        <n v="48"/>
        <n v="24"/>
        <n v="68"/>
        <n v="23"/>
        <n v="45"/>
        <n v="40"/>
        <n v="28"/>
        <n v="52"/>
        <n v="84"/>
        <n v="80"/>
        <n v="56"/>
        <n v="62"/>
        <n v="21"/>
        <n v="85"/>
        <n v="41"/>
        <n v="63"/>
        <n v="46"/>
        <n v="75"/>
        <n v="59"/>
        <n v="72"/>
        <n v="18"/>
        <n v="44"/>
        <n v="64"/>
        <n v="25"/>
        <n v="34"/>
        <n v="50"/>
        <n v="71"/>
        <n v="19"/>
        <n v="33"/>
        <n v="29"/>
        <n v="49"/>
        <n v="81"/>
        <n v="36"/>
        <n v="66"/>
        <n v="38"/>
        <n v="54"/>
        <n v="51"/>
        <n v="82"/>
        <n v="58"/>
        <n v="31"/>
        <n v="43"/>
        <n v="55"/>
        <n v="79"/>
        <n v="37"/>
        <n v="30"/>
        <n v="83"/>
        <n v="32"/>
        <n v="26"/>
        <n v="35"/>
        <n v="67"/>
        <n v="73"/>
        <n v="42"/>
        <n v="78"/>
        <n v="20"/>
        <n v="70"/>
        <n v="77"/>
        <n v="74"/>
        <n v="27"/>
        <m/>
      </sharedItems>
      <fieldGroup base="1">
        <rangePr startNum="0" endNum="85" groupInterval="13"/>
        <groupItems count="8">
          <s v="(blank)"/>
          <s v="18-30"/>
          <s v="31-43"/>
          <s v="44-56"/>
          <s v="57-69"/>
          <s v="70-82"/>
          <s v="83-85"/>
          <s v="&gt;85"/>
        </groupItems>
      </fieldGroup>
    </cacheField>
    <cacheField name="Gender" numFmtId="0">
      <sharedItems containsBlank="1" count="4">
        <s v="Male"/>
        <s v="Female"/>
        <s v="Other"/>
        <m/>
      </sharedItems>
    </cacheField>
    <cacheField name="Ethnicity" numFmtId="0">
      <sharedItems containsBlank="1" count="6">
        <s v="African American"/>
        <s v="Other"/>
        <s v="Caucasian"/>
        <s v="Hispanic"/>
        <s v="Asian"/>
        <m/>
      </sharedItems>
    </cacheField>
    <cacheField name="Medical_History" numFmtId="0">
      <sharedItems containsBlank="1" count="6">
        <s v="Heart Disease"/>
        <s v="Diabetes"/>
        <s v="None"/>
        <s v="Asthma"/>
        <s v="Hypertension"/>
        <m/>
      </sharedItems>
    </cacheField>
    <cacheField name="Genomic_Profile" numFmtId="0">
      <sharedItems containsBlank="1" count="7">
        <s v="None"/>
        <s v="HER2 Mutation"/>
        <s v="TP53 Mutation"/>
        <s v="EGFR Mutation"/>
        <s v="BRCA2 Mutation"/>
        <s v="BRCA1 Mutation"/>
        <m/>
      </sharedItems>
    </cacheField>
    <cacheField name="Trial_ID" numFmtId="0">
      <sharedItems containsBlank="1" count="21">
        <s v="T011"/>
        <s v="T014"/>
        <s v="T008"/>
        <s v="T016"/>
        <s v="T019"/>
        <s v="T007"/>
        <s v="T005"/>
        <s v="T004"/>
        <s v="T006"/>
        <s v="T002"/>
        <s v="T003"/>
        <s v="T013"/>
        <s v="T020"/>
        <s v="T001"/>
        <s v="T018"/>
        <s v="T009"/>
        <s v="T012"/>
        <s v="T017"/>
        <s v="T010"/>
        <s v="T015"/>
        <m/>
      </sharedItems>
    </cacheField>
    <cacheField name="Drug_Name" numFmtId="0">
      <sharedItems containsBlank="1" count="5">
        <s v="DrugC"/>
        <s v="DrugA"/>
        <s v="DrugB"/>
        <s v="DrugD"/>
        <m/>
      </sharedItems>
    </cacheField>
    <cacheField name="Trial_Phase" numFmtId="0">
      <sharedItems containsBlank="1" count="5">
        <s v="Phase IV"/>
        <s v="Phase I"/>
        <s v="Phase II"/>
        <s v="Phase III"/>
        <m/>
      </sharedItems>
    </cacheField>
    <cacheField name="Start_Date" numFmtId="0">
      <sharedItems containsString="0" containsBlank="1" containsNonDate="0" containsDate="1" minDate="2019-01-04T00:00:00" maxDate="2023-12-27T00:00:00" count="757">
        <d v="2023-09-16T00:00:00"/>
        <d v="2022-11-04T00:00:00"/>
        <d v="2022-05-06T00:00:00"/>
        <d v="2023-02-17T00:00:00"/>
        <d v="2023-08-26T00:00:00"/>
        <d v="2022-06-23T00:00:00"/>
        <d v="2020-09-13T00:00:00"/>
        <d v="2023-01-08T00:00:00"/>
        <d v="2023-06-19T00:00:00"/>
        <d v="2019-06-21T00:00:00"/>
        <d v="2023-09-05T00:00:00"/>
        <d v="2022-04-28T00:00:00"/>
        <d v="2021-05-12T00:00:00"/>
        <d v="2020-04-11T00:00:00"/>
        <d v="2023-01-27T00:00:00"/>
        <d v="2019-09-18T00:00:00"/>
        <d v="2021-07-03T00:00:00"/>
        <d v="2022-11-26T00:00:00"/>
        <d v="2022-02-10T00:00:00"/>
        <d v="2019-11-09T00:00:00"/>
        <d v="2022-12-26T00:00:00"/>
        <d v="2019-02-12T00:00:00"/>
        <d v="2019-03-14T00:00:00"/>
        <d v="2022-06-14T00:00:00"/>
        <d v="2023-09-06T00:00:00"/>
        <d v="2023-08-19T00:00:00"/>
        <d v="2019-01-04T00:00:00"/>
        <d v="2021-06-15T00:00:00"/>
        <d v="2023-03-18T00:00:00"/>
        <d v="2020-05-25T00:00:00"/>
        <d v="2021-08-20T00:00:00"/>
        <d v="2020-08-21T00:00:00"/>
        <d v="2022-07-23T00:00:00"/>
        <d v="2023-02-09T00:00:00"/>
        <d v="2023-11-14T00:00:00"/>
        <d v="2022-01-09T00:00:00"/>
        <d v="2022-08-11T00:00:00"/>
        <d v="2021-11-25T00:00:00"/>
        <d v="2019-06-22T00:00:00"/>
        <d v="2019-12-11T00:00:00"/>
        <d v="2023-10-01T00:00:00"/>
        <d v="2022-06-26T00:00:00"/>
        <d v="2022-07-04T00:00:00"/>
        <d v="2019-05-07T00:00:00"/>
        <d v="2019-09-07T00:00:00"/>
        <d v="2020-02-01T00:00:00"/>
        <d v="2021-09-03T00:00:00"/>
        <d v="2020-01-16T00:00:00"/>
        <d v="2023-11-02T00:00:00"/>
        <d v="2021-10-16T00:00:00"/>
        <d v="2023-04-14T00:00:00"/>
        <d v="2022-11-05T00:00:00"/>
        <d v="2019-03-15T00:00:00"/>
        <d v="2021-03-03T00:00:00"/>
        <d v="2019-04-05T00:00:00"/>
        <d v="2022-08-01T00:00:00"/>
        <d v="2019-02-09T00:00:00"/>
        <d v="2023-04-01T00:00:00"/>
        <d v="2021-03-06T00:00:00"/>
        <d v="2019-09-16T00:00:00"/>
        <d v="2021-05-11T00:00:00"/>
        <d v="2020-10-11T00:00:00"/>
        <d v="2021-05-26T00:00:00"/>
        <d v="2022-02-26T00:00:00"/>
        <d v="2019-07-21T00:00:00"/>
        <d v="2019-06-01T00:00:00"/>
        <d v="2019-11-18T00:00:00"/>
        <d v="2023-04-18T00:00:00"/>
        <d v="2022-03-06T00:00:00"/>
        <d v="2023-08-28T00:00:00"/>
        <d v="2022-11-16T00:00:00"/>
        <d v="2021-05-10T00:00:00"/>
        <d v="2019-09-26T00:00:00"/>
        <d v="2022-09-13T00:00:00"/>
        <d v="2020-11-08T00:00:00"/>
        <d v="2022-06-15T00:00:00"/>
        <d v="2021-04-05T00:00:00"/>
        <d v="2020-11-18T00:00:00"/>
        <d v="2020-06-08T00:00:00"/>
        <d v="2023-02-28T00:00:00"/>
        <d v="2022-05-07T00:00:00"/>
        <d v="2020-06-16T00:00:00"/>
        <d v="2023-10-02T00:00:00"/>
        <d v="2019-11-17T00:00:00"/>
        <d v="2023-08-07T00:00:00"/>
        <d v="2022-05-09T00:00:00"/>
        <d v="2022-10-09T00:00:00"/>
        <d v="2021-09-17T00:00:00"/>
        <d v="2022-06-08T00:00:00"/>
        <d v="2022-12-21T00:00:00"/>
        <d v="2022-06-18T00:00:00"/>
        <d v="2020-12-24T00:00:00"/>
        <d v="2022-11-19T00:00:00"/>
        <d v="2022-10-23T00:00:00"/>
        <d v="2020-09-18T00:00:00"/>
        <d v="2021-03-10T00:00:00"/>
        <d v="2023-12-10T00:00:00"/>
        <d v="2021-08-06T00:00:00"/>
        <d v="2020-01-05T00:00:00"/>
        <d v="2021-04-07T00:00:00"/>
        <d v="2021-07-26T00:00:00"/>
        <d v="2019-04-22T00:00:00"/>
        <d v="2023-04-09T00:00:00"/>
        <d v="2021-11-10T00:00:00"/>
        <d v="2020-10-27T00:00:00"/>
        <d v="2020-11-21T00:00:00"/>
        <d v="2021-04-26T00:00:00"/>
        <d v="2021-07-08T00:00:00"/>
        <d v="2021-01-08T00:00:00"/>
        <d v="2023-09-19T00:00:00"/>
        <d v="2022-03-08T00:00:00"/>
        <d v="2022-01-08T00:00:00"/>
        <d v="2019-04-15T00:00:00"/>
        <d v="2022-03-04T00:00:00"/>
        <d v="2023-07-12T00:00:00"/>
        <d v="2021-04-01T00:00:00"/>
        <d v="2022-04-14T00:00:00"/>
        <d v="2022-10-21T00:00:00"/>
        <d v="2021-04-21T00:00:00"/>
        <d v="2021-04-20T00:00:00"/>
        <d v="2022-10-16T00:00:00"/>
        <d v="2021-04-10T00:00:00"/>
        <d v="2020-04-07T00:00:00"/>
        <d v="2023-05-13T00:00:00"/>
        <d v="2019-01-22T00:00:00"/>
        <d v="2021-06-28T00:00:00"/>
        <d v="2020-07-16T00:00:00"/>
        <d v="2021-06-12T00:00:00"/>
        <d v="2021-12-19T00:00:00"/>
        <d v="2022-09-25T00:00:00"/>
        <d v="2022-05-12T00:00:00"/>
        <d v="2022-05-20T00:00:00"/>
        <d v="2023-05-14T00:00:00"/>
        <d v="2021-05-05T00:00:00"/>
        <d v="2020-01-09T00:00:00"/>
        <d v="2020-08-24T00:00:00"/>
        <d v="2022-06-01T00:00:00"/>
        <d v="2021-11-05T00:00:00"/>
        <d v="2022-09-10T00:00:00"/>
        <d v="2019-02-17T00:00:00"/>
        <d v="2020-09-04T00:00:00"/>
        <d v="2022-08-13T00:00:00"/>
        <d v="2019-08-12T00:00:00"/>
        <d v="2023-11-10T00:00:00"/>
        <d v="2023-01-11T00:00:00"/>
        <d v="2023-07-09T00:00:00"/>
        <d v="2022-07-12T00:00:00"/>
        <d v="2019-04-20T00:00:00"/>
        <d v="2019-07-19T00:00:00"/>
        <d v="2021-11-13T00:00:00"/>
        <d v="2021-11-12T00:00:00"/>
        <d v="2022-04-19T00:00:00"/>
        <d v="2019-10-20T00:00:00"/>
        <d v="2023-12-19T00:00:00"/>
        <d v="2020-07-10T00:00:00"/>
        <d v="2019-05-11T00:00:00"/>
        <d v="2023-11-28T00:00:00"/>
        <d v="2019-08-16T00:00:00"/>
        <d v="2020-03-02T00:00:00"/>
        <d v="2023-06-02T00:00:00"/>
        <d v="2023-01-04T00:00:00"/>
        <d v="2023-04-23T00:00:00"/>
        <d v="2020-08-05T00:00:00"/>
        <d v="2021-01-11T00:00:00"/>
        <d v="2019-06-26T00:00:00"/>
        <d v="2020-12-02T00:00:00"/>
        <d v="2020-05-09T00:00:00"/>
        <d v="2019-05-20T00:00:00"/>
        <d v="2021-06-27T00:00:00"/>
        <d v="2020-12-22T00:00:00"/>
        <d v="2019-06-18T00:00:00"/>
        <d v="2023-12-08T00:00:00"/>
        <d v="2022-11-22T00:00:00"/>
        <d v="2022-12-12T00:00:00"/>
        <d v="2022-07-14T00:00:00"/>
        <d v="2020-02-05T00:00:00"/>
        <d v="2022-11-24T00:00:00"/>
        <d v="2023-05-09T00:00:00"/>
        <d v="2023-03-27T00:00:00"/>
        <d v="2022-12-25T00:00:00"/>
        <d v="2022-02-17T00:00:00"/>
        <d v="2022-11-25T00:00:00"/>
        <d v="2022-06-02T00:00:00"/>
        <d v="2019-02-03T00:00:00"/>
        <d v="2022-07-28T00:00:00"/>
        <d v="2022-05-21T00:00:00"/>
        <d v="2019-12-05T00:00:00"/>
        <d v="2022-10-26T00:00:00"/>
        <d v="2022-03-23T00:00:00"/>
        <d v="2022-12-05T00:00:00"/>
        <d v="2019-09-04T00:00:00"/>
        <d v="2020-07-09T00:00:00"/>
        <d v="2020-07-12T00:00:00"/>
        <d v="2023-03-26T00:00:00"/>
        <d v="2022-10-08T00:00:00"/>
        <d v="2020-03-12T00:00:00"/>
        <d v="2022-12-11T00:00:00"/>
        <d v="2021-06-09T00:00:00"/>
        <d v="2020-08-03T00:00:00"/>
        <d v="2023-03-16T00:00:00"/>
        <d v="2021-10-05T00:00:00"/>
        <d v="2020-12-23T00:00:00"/>
        <d v="2020-06-15T00:00:00"/>
        <d v="2023-12-15T00:00:00"/>
        <d v="2020-01-03T00:00:00"/>
        <d v="2021-08-28T00:00:00"/>
        <d v="2019-10-25T00:00:00"/>
        <d v="2022-09-24T00:00:00"/>
        <d v="2019-05-12T00:00:00"/>
        <d v="2019-09-19T00:00:00"/>
        <d v="2022-02-04T00:00:00"/>
        <d v="2020-12-08T00:00:00"/>
        <d v="2019-05-02T00:00:00"/>
        <d v="2023-12-20T00:00:00"/>
        <d v="2023-03-15T00:00:00"/>
        <d v="2023-12-02T00:00:00"/>
        <d v="2019-11-16T00:00:00"/>
        <d v="2022-12-16T00:00:00"/>
        <d v="2019-12-02T00:00:00"/>
        <d v="2022-09-09T00:00:00"/>
        <d v="2020-05-23T00:00:00"/>
        <d v="2021-06-02T00:00:00"/>
        <d v="2021-10-03T00:00:00"/>
        <d v="2022-10-13T00:00:00"/>
        <d v="2021-01-10T00:00:00"/>
        <d v="2023-10-28T00:00:00"/>
        <d v="2021-11-20T00:00:00"/>
        <d v="2021-03-01T00:00:00"/>
        <d v="2022-12-27T00:00:00"/>
        <d v="2022-04-05T00:00:00"/>
        <d v="2019-07-09T00:00:00"/>
        <d v="2020-12-09T00:00:00"/>
        <d v="2020-04-17T00:00:00"/>
        <d v="2019-09-21T00:00:00"/>
        <d v="2022-03-01T00:00:00"/>
        <d v="2022-12-20T00:00:00"/>
        <d v="2020-09-02T00:00:00"/>
        <d v="2023-01-17T00:00:00"/>
        <d v="2019-02-15T00:00:00"/>
        <d v="2019-06-17T00:00:00"/>
        <d v="2022-11-08T00:00:00"/>
        <d v="2022-01-03T00:00:00"/>
        <d v="2022-02-01T00:00:00"/>
        <d v="2019-08-19T00:00:00"/>
        <d v="2022-08-17T00:00:00"/>
        <d v="2019-03-10T00:00:00"/>
        <d v="2023-04-10T00:00:00"/>
        <d v="2021-11-06T00:00:00"/>
        <d v="2023-10-22T00:00:00"/>
        <d v="2022-09-16T00:00:00"/>
        <d v="2022-06-21T00:00:00"/>
        <d v="2021-06-13T00:00:00"/>
        <d v="2021-09-20T00:00:00"/>
        <d v="2019-08-10T00:00:00"/>
        <d v="2021-09-19T00:00:00"/>
        <d v="2020-09-12T00:00:00"/>
        <d v="2023-07-02T00:00:00"/>
        <d v="2022-08-27T00:00:00"/>
        <d v="2021-11-03T00:00:00"/>
        <d v="2021-04-08T00:00:00"/>
        <d v="2019-02-04T00:00:00"/>
        <d v="2021-03-14T00:00:00"/>
        <d v="2022-01-14T00:00:00"/>
        <d v="2023-09-10T00:00:00"/>
        <d v="2022-05-08T00:00:00"/>
        <d v="2019-09-01T00:00:00"/>
        <d v="2019-10-21T00:00:00"/>
        <d v="2023-04-22T00:00:00"/>
        <d v="2019-07-07T00:00:00"/>
        <d v="2020-02-16T00:00:00"/>
        <d v="2022-08-26T00:00:00"/>
        <d v="2021-07-16T00:00:00"/>
        <d v="2022-04-13T00:00:00"/>
        <d v="2020-04-09T00:00:00"/>
        <d v="2021-08-08T00:00:00"/>
        <d v="2023-05-26T00:00:00"/>
        <d v="2023-07-25T00:00:00"/>
        <d v="2020-04-15T00:00:00"/>
        <d v="2023-10-11T00:00:00"/>
        <d v="2023-09-18T00:00:00"/>
        <d v="2019-05-10T00:00:00"/>
        <d v="2021-02-11T00:00:00"/>
        <d v="2022-07-22T00:00:00"/>
        <d v="2022-02-18T00:00:00"/>
        <d v="2020-04-10T00:00:00"/>
        <d v="2020-05-14T00:00:00"/>
        <d v="2023-08-15T00:00:00"/>
        <d v="2023-02-13T00:00:00"/>
        <d v="2022-08-06T00:00:00"/>
        <d v="2022-02-03T00:00:00"/>
        <d v="2021-03-15T00:00:00"/>
        <d v="2023-11-07T00:00:00"/>
        <d v="2021-11-16T00:00:00"/>
        <d v="2019-04-28T00:00:00"/>
        <d v="2020-01-21T00:00:00"/>
        <d v="2023-08-22T00:00:00"/>
        <d v="2022-05-23T00:00:00"/>
        <d v="2019-12-14T00:00:00"/>
        <d v="2019-12-06T00:00:00"/>
        <d v="2021-10-14T00:00:00"/>
        <d v="2023-05-23T00:00:00"/>
        <d v="2022-08-22T00:00:00"/>
        <d v="2022-02-16T00:00:00"/>
        <d v="2023-11-24T00:00:00"/>
        <d v="2023-04-24T00:00:00"/>
        <d v="2022-01-18T00:00:00"/>
        <d v="2020-08-10T00:00:00"/>
        <d v="2021-07-22T00:00:00"/>
        <d v="2020-10-05T00:00:00"/>
        <d v="2020-01-04T00:00:00"/>
        <d v="2022-11-23T00:00:00"/>
        <d v="2019-03-28T00:00:00"/>
        <d v="2023-05-12T00:00:00"/>
        <d v="2019-04-02T00:00:00"/>
        <d v="2021-11-14T00:00:00"/>
        <d v="2020-09-24T00:00:00"/>
        <d v="2023-09-20T00:00:00"/>
        <d v="2019-12-10T00:00:00"/>
        <d v="2021-11-08T00:00:00"/>
        <d v="2021-01-20T00:00:00"/>
        <d v="2022-01-05T00:00:00"/>
        <d v="2020-02-07T00:00:00"/>
        <d v="2021-05-16T00:00:00"/>
        <d v="2023-11-21T00:00:00"/>
        <d v="2019-11-24T00:00:00"/>
        <d v="2021-12-26T00:00:00"/>
        <d v="2021-12-16T00:00:00"/>
        <d v="2020-03-01T00:00:00"/>
        <d v="2019-11-05T00:00:00"/>
        <d v="2019-11-27T00:00:00"/>
        <d v="2021-04-19T00:00:00"/>
        <d v="2022-01-04T00:00:00"/>
        <d v="2022-10-15T00:00:00"/>
        <d v="2020-01-08T00:00:00"/>
        <d v="2023-06-04T00:00:00"/>
        <d v="2022-11-12T00:00:00"/>
        <d v="2019-10-23T00:00:00"/>
        <d v="2023-07-08T00:00:00"/>
        <d v="2020-07-20T00:00:00"/>
        <d v="2023-06-01T00:00:00"/>
        <d v="2019-01-11T00:00:00"/>
        <d v="2020-12-06T00:00:00"/>
        <d v="2019-03-25T00:00:00"/>
        <d v="2023-08-04T00:00:00"/>
        <d v="2020-11-07T00:00:00"/>
        <d v="2021-12-15T00:00:00"/>
        <d v="2023-07-27T00:00:00"/>
        <d v="2020-11-15T00:00:00"/>
        <d v="2022-05-28T00:00:00"/>
        <d v="2020-04-25T00:00:00"/>
        <d v="2019-07-02T00:00:00"/>
        <d v="2022-12-06T00:00:00"/>
        <d v="2023-03-01T00:00:00"/>
        <d v="2021-02-05T00:00:00"/>
        <d v="2021-03-08T00:00:00"/>
        <d v="2021-07-04T00:00:00"/>
        <d v="2019-08-06T00:00:00"/>
        <d v="2020-06-04T00:00:00"/>
        <d v="2023-01-10T00:00:00"/>
        <d v="2022-04-06T00:00:00"/>
        <d v="2020-10-15T00:00:00"/>
        <d v="2021-12-03T00:00:00"/>
        <d v="2022-02-24T00:00:00"/>
        <d v="2023-07-17T00:00:00"/>
        <d v="2019-11-08T00:00:00"/>
        <d v="2020-03-26T00:00:00"/>
        <d v="2019-10-22T00:00:00"/>
        <d v="2019-06-10T00:00:00"/>
        <d v="2020-12-03T00:00:00"/>
        <d v="2023-09-23T00:00:00"/>
        <d v="2021-02-26T00:00:00"/>
        <d v="2019-12-09T00:00:00"/>
        <d v="2023-07-22T00:00:00"/>
        <d v="2021-09-22T00:00:00"/>
        <d v="2019-02-24T00:00:00"/>
        <d v="2019-03-20T00:00:00"/>
        <d v="2023-02-14T00:00:00"/>
        <d v="2021-07-13T00:00:00"/>
        <d v="2019-01-28T00:00:00"/>
        <d v="2023-05-04T00:00:00"/>
        <d v="2022-09-26T00:00:00"/>
        <d v="2022-04-02T00:00:00"/>
        <d v="2023-01-18T00:00:00"/>
        <d v="2022-05-26T00:00:00"/>
        <d v="2022-02-20T00:00:00"/>
        <d v="2020-08-23T00:00:00"/>
        <d v="2023-04-04T00:00:00"/>
        <d v="2022-01-28T00:00:00"/>
        <d v="2023-04-25T00:00:00"/>
        <d v="2022-08-24T00:00:00"/>
        <d v="2023-06-27T00:00:00"/>
        <d v="2019-04-19T00:00:00"/>
        <d v="2020-08-11T00:00:00"/>
        <d v="2022-05-25T00:00:00"/>
        <d v="2021-06-19T00:00:00"/>
        <d v="2019-10-19T00:00:00"/>
        <d v="2021-07-11T00:00:00"/>
        <d v="2020-03-10T00:00:00"/>
        <d v="2019-06-07T00:00:00"/>
        <d v="2020-10-13T00:00:00"/>
        <d v="2019-07-23T00:00:00"/>
        <d v="2021-02-08T00:00:00"/>
        <d v="2021-11-27T00:00:00"/>
        <d v="2021-06-25T00:00:00"/>
        <d v="2020-02-09T00:00:00"/>
        <d v="2023-12-04T00:00:00"/>
        <d v="2019-03-13T00:00:00"/>
        <d v="2023-08-18T00:00:00"/>
        <d v="2020-08-28T00:00:00"/>
        <d v="2023-11-06T00:00:00"/>
        <d v="2019-01-10T00:00:00"/>
        <d v="2021-05-27T00:00:00"/>
        <d v="2021-10-25T00:00:00"/>
        <d v="2022-06-10T00:00:00"/>
        <d v="2020-07-18T00:00:00"/>
        <d v="2020-12-01T00:00:00"/>
        <d v="2021-05-21T00:00:00"/>
        <d v="2019-01-15T00:00:00"/>
        <d v="2020-09-05T00:00:00"/>
        <d v="2023-12-03T00:00:00"/>
        <d v="2021-01-13T00:00:00"/>
        <d v="2021-10-12T00:00:00"/>
        <d v="2021-01-06T00:00:00"/>
        <d v="2020-05-24T00:00:00"/>
        <d v="2023-03-05T00:00:00"/>
        <d v="2020-04-28T00:00:00"/>
        <d v="2022-08-23T00:00:00"/>
        <d v="2020-06-12T00:00:00"/>
        <d v="2020-10-17T00:00:00"/>
        <d v="2021-09-12T00:00:00"/>
        <d v="2022-08-12T00:00:00"/>
        <d v="2019-09-24T00:00:00"/>
        <d v="2019-06-12T00:00:00"/>
        <d v="2023-05-10T00:00:00"/>
        <d v="2022-04-01T00:00:00"/>
        <d v="2023-06-18T00:00:00"/>
        <d v="2023-06-03T00:00:00"/>
        <d v="2021-11-04T00:00:00"/>
        <d v="2019-12-20T00:00:00"/>
        <d v="2020-11-20T00:00:00"/>
        <d v="2023-02-24T00:00:00"/>
        <d v="2021-08-23T00:00:00"/>
        <d v="2020-12-26T00:00:00"/>
        <d v="2023-03-12T00:00:00"/>
        <d v="2023-09-28T00:00:00"/>
        <d v="2020-12-27T00:00:00"/>
        <d v="2019-08-03T00:00:00"/>
        <d v="2021-07-20T00:00:00"/>
        <d v="2019-11-10T00:00:00"/>
        <d v="2020-04-22T00:00:00"/>
        <d v="2020-06-24T00:00:00"/>
        <d v="2022-03-24T00:00:00"/>
        <d v="2020-02-28T00:00:00"/>
        <d v="2022-07-13T00:00:00"/>
        <d v="2023-02-18T00:00:00"/>
        <d v="2020-03-07T00:00:00"/>
        <d v="2020-09-19T00:00:00"/>
        <d v="2019-01-13T00:00:00"/>
        <d v="2020-03-19T00:00:00"/>
        <d v="2019-03-01T00:00:00"/>
        <d v="2023-11-23T00:00:00"/>
        <d v="2021-03-24T00:00:00"/>
        <d v="2019-04-06T00:00:00"/>
        <d v="2021-03-09T00:00:00"/>
        <d v="2020-06-10T00:00:00"/>
        <d v="2022-07-19T00:00:00"/>
        <d v="2023-02-25T00:00:00"/>
        <d v="2022-10-06T00:00:00"/>
        <d v="2023-06-14T00:00:00"/>
        <d v="2019-10-04T00:00:00"/>
        <d v="2022-11-01T00:00:00"/>
        <d v="2019-06-15T00:00:00"/>
        <d v="2019-12-03T00:00:00"/>
        <d v="2019-12-27T00:00:00"/>
        <d v="2021-05-14T00:00:00"/>
        <d v="2023-04-15T00:00:00"/>
        <d v="2021-10-09T00:00:00"/>
        <d v="2023-11-19T00:00:00"/>
        <d v="2022-12-04T00:00:00"/>
        <d v="2019-03-09T00:00:00"/>
        <d v="2020-01-17T00:00:00"/>
        <d v="2022-07-03T00:00:00"/>
        <d v="2020-02-15T00:00:00"/>
        <d v="2020-07-27T00:00:00"/>
        <d v="2021-04-27T00:00:00"/>
        <d v="2019-02-08T00:00:00"/>
        <d v="2021-01-19T00:00:00"/>
        <d v="2022-02-27T00:00:00"/>
        <d v="2019-10-02T00:00:00"/>
        <d v="2022-08-05T00:00:00"/>
        <d v="2022-12-18T00:00:00"/>
        <d v="2020-12-07T00:00:00"/>
        <d v="2020-05-27T00:00:00"/>
        <d v="2021-12-28T00:00:00"/>
        <d v="2022-01-16T00:00:00"/>
        <d v="2023-10-14T00:00:00"/>
        <d v="2022-11-03T00:00:00"/>
        <d v="2023-07-14T00:00:00"/>
        <d v="2020-02-08T00:00:00"/>
        <d v="2023-02-02T00:00:00"/>
        <d v="2020-03-28T00:00:00"/>
        <d v="2022-06-24T00:00:00"/>
        <d v="2019-07-16T00:00:00"/>
        <d v="2022-11-02T00:00:00"/>
        <d v="2023-07-20T00:00:00"/>
        <d v="2022-05-18T00:00:00"/>
        <d v="2021-08-11T00:00:00"/>
        <d v="2019-11-21T00:00:00"/>
        <d v="2023-01-21T00:00:00"/>
        <d v="2021-02-14T00:00:00"/>
        <d v="2019-11-22T00:00:00"/>
        <d v="2019-11-23T00:00:00"/>
        <d v="2020-03-18T00:00:00"/>
        <d v="2023-11-22T00:00:00"/>
        <d v="2020-02-20T00:00:00"/>
        <d v="2021-02-09T00:00:00"/>
        <d v="2019-12-19T00:00:00"/>
        <d v="2021-12-10T00:00:00"/>
        <d v="2021-03-27T00:00:00"/>
        <d v="2023-11-05T00:00:00"/>
        <d v="2022-02-11T00:00:00"/>
        <d v="2020-02-23T00:00:00"/>
        <d v="2019-07-12T00:00:00"/>
        <d v="2019-08-11T00:00:00"/>
        <d v="2023-02-03T00:00:00"/>
        <d v="2019-09-06T00:00:00"/>
        <d v="2022-02-22T00:00:00"/>
        <d v="2019-02-06T00:00:00"/>
        <d v="2019-05-22T00:00:00"/>
        <d v="2023-07-04T00:00:00"/>
        <d v="2020-11-25T00:00:00"/>
        <d v="2020-04-20T00:00:00"/>
        <d v="2021-05-28T00:00:00"/>
        <d v="2020-11-22T00:00:00"/>
        <d v="2020-05-02T00:00:00"/>
        <d v="2019-12-22T00:00:00"/>
        <d v="2023-03-06T00:00:00"/>
        <d v="2020-12-13T00:00:00"/>
        <d v="2020-10-21T00:00:00"/>
        <d v="2020-10-23T00:00:00"/>
        <d v="2019-07-05T00:00:00"/>
        <d v="2020-09-28T00:00:00"/>
        <d v="2020-05-17T00:00:00"/>
        <d v="2023-06-10T00:00:00"/>
        <d v="2023-03-22T00:00:00"/>
        <d v="2020-09-08T00:00:00"/>
        <d v="2021-01-14T00:00:00"/>
        <d v="2022-03-02T00:00:00"/>
        <d v="2022-02-09T00:00:00"/>
        <d v="2023-02-05T00:00:00"/>
        <d v="2021-01-04T00:00:00"/>
        <d v="2021-01-17T00:00:00"/>
        <d v="2019-04-03T00:00:00"/>
        <d v="2020-07-26T00:00:00"/>
        <d v="2021-11-11T00:00:00"/>
        <d v="2023-04-19T00:00:00"/>
        <d v="2019-03-03T00:00:00"/>
        <d v="2020-03-21T00:00:00"/>
        <d v="2023-08-01T00:00:00"/>
        <d v="2020-11-05T00:00:00"/>
        <d v="2020-08-08T00:00:00"/>
        <d v="2019-02-19T00:00:00"/>
        <d v="2019-08-07T00:00:00"/>
        <d v="2021-08-25T00:00:00"/>
        <d v="2020-04-24T00:00:00"/>
        <d v="2021-10-18T00:00:00"/>
        <d v="2020-05-15T00:00:00"/>
        <d v="2020-10-18T00:00:00"/>
        <d v="2023-09-03T00:00:00"/>
        <d v="2020-08-26T00:00:00"/>
        <d v="2019-09-27T00:00:00"/>
        <d v="2023-01-01T00:00:00"/>
        <d v="2021-09-08T00:00:00"/>
        <d v="2023-08-16T00:00:00"/>
        <d v="2022-04-24T00:00:00"/>
        <d v="2019-06-08T00:00:00"/>
        <d v="2023-05-19T00:00:00"/>
        <d v="2020-04-27T00:00:00"/>
        <d v="2023-08-11T00:00:00"/>
        <d v="2021-03-17T00:00:00"/>
        <d v="2019-01-07T00:00:00"/>
        <d v="2021-01-27T00:00:00"/>
        <d v="2021-09-01T00:00:00"/>
        <d v="2019-11-12T00:00:00"/>
        <d v="2023-10-26T00:00:00"/>
        <d v="2020-04-04T00:00:00"/>
        <d v="2020-05-18T00:00:00"/>
        <d v="2021-01-18T00:00:00"/>
        <d v="2019-03-16T00:00:00"/>
        <d v="2019-02-13T00:00:00"/>
        <d v="2019-12-12T00:00:00"/>
        <d v="2020-07-08T00:00:00"/>
        <d v="2021-10-02T00:00:00"/>
        <d v="2022-12-22T00:00:00"/>
        <d v="2022-10-02T00:00:00"/>
        <d v="2023-12-23T00:00:00"/>
        <d v="2022-02-12T00:00:00"/>
        <d v="2023-03-28T00:00:00"/>
        <d v="2021-01-22T00:00:00"/>
        <d v="2022-03-09T00:00:00"/>
        <d v="2023-06-25T00:00:00"/>
        <d v="2021-01-03T00:00:00"/>
        <d v="2020-07-15T00:00:00"/>
        <d v="2023-12-27T00:00:00"/>
        <d v="2021-10-17T00:00:00"/>
        <d v="2023-03-10T00:00:00"/>
        <d v="2020-11-27T00:00:00"/>
        <d v="2023-10-23T00:00:00"/>
        <d v="2020-02-17T00:00:00"/>
        <d v="2022-05-16T00:00:00"/>
        <d v="2022-03-13T00:00:00"/>
        <d v="2020-02-24T00:00:00"/>
        <d v="2022-10-27T00:00:00"/>
        <d v="2023-09-17T00:00:00"/>
        <d v="2020-12-05T00:00:00"/>
        <d v="2021-10-06T00:00:00"/>
        <d v="2022-10-22T00:00:00"/>
        <d v="2019-04-01T00:00:00"/>
        <d v="2020-10-01T00:00:00"/>
        <d v="2021-06-17T00:00:00"/>
        <d v="2023-05-16T00:00:00"/>
        <d v="2021-10-20T00:00:00"/>
        <d v="2021-02-28T00:00:00"/>
        <d v="2019-09-13T00:00:00"/>
        <d v="2023-01-14T00:00:00"/>
        <d v="2021-07-02T00:00:00"/>
        <d v="2019-10-14T00:00:00"/>
        <d v="2020-05-13T00:00:00"/>
        <d v="2019-04-07T00:00:00"/>
        <d v="2021-02-20T00:00:00"/>
        <d v="2023-03-13T00:00:00"/>
        <d v="2023-05-11T00:00:00"/>
        <d v="2019-04-27T00:00:00"/>
        <d v="2021-06-14T00:00:00"/>
        <d v="2020-11-06T00:00:00"/>
        <d v="2021-03-25T00:00:00"/>
        <d v="2023-09-21T00:00:00"/>
        <d v="2019-05-15T00:00:00"/>
        <d v="2022-09-12T00:00:00"/>
        <d v="2021-11-15T00:00:00"/>
        <d v="2020-08-06T00:00:00"/>
        <d v="2019-07-20T00:00:00"/>
        <d v="2023-02-27T00:00:00"/>
        <d v="2021-03-07T00:00:00"/>
        <d v="2023-09-02T00:00:00"/>
        <d v="2022-02-02T00:00:00"/>
        <d v="2019-10-17T00:00:00"/>
        <d v="2020-01-12T00:00:00"/>
        <d v="2022-08-10T00:00:00"/>
        <d v="2020-03-20T00:00:00"/>
        <d v="2019-10-05T00:00:00"/>
        <d v="2020-05-26T00:00:00"/>
        <d v="2021-09-25T00:00:00"/>
        <d v="2023-09-07T00:00:00"/>
        <d v="2020-02-03T00:00:00"/>
        <d v="2021-05-23T00:00:00"/>
        <d v="2021-06-05T00:00:00"/>
        <d v="2020-06-22T00:00:00"/>
        <d v="2020-01-01T00:00:00"/>
        <d v="2022-03-10T00:00:00"/>
        <d v="2021-10-28T00:00:00"/>
        <d v="2022-06-12T00:00:00"/>
        <d v="2023-06-11T00:00:00"/>
        <d v="2023-03-21T00:00:00"/>
        <d v="2020-12-21T00:00:00"/>
        <d v="2020-01-25T00:00:00"/>
        <d v="2021-07-19T00:00:00"/>
        <d v="2019-05-08T00:00:00"/>
        <d v="2022-07-15T00:00:00"/>
        <d v="2022-07-07T00:00:00"/>
        <d v="2019-02-10T00:00:00"/>
        <d v="2023-07-05T00:00:00"/>
        <d v="2021-08-13T00:00:00"/>
        <d v="2020-02-06T00:00:00"/>
        <d v="2023-10-07T00:00:00"/>
        <d v="2023-06-06T00:00:00"/>
        <d v="2023-08-09T00:00:00"/>
        <d v="2023-07-13T00:00:00"/>
        <d v="2023-12-21T00:00:00"/>
        <d v="2019-07-08T00:00:00"/>
        <d v="2023-06-05T00:00:00"/>
        <d v="2023-06-15T00:00:00"/>
        <d v="2020-02-26T00:00:00"/>
        <d v="2019-10-03T00:00:00"/>
        <d v="2022-07-09T00:00:00"/>
        <d v="2021-10-15T00:00:00"/>
        <d v="2019-10-24T00:00:00"/>
        <d v="2021-05-19T00:00:00"/>
        <d v="2023-11-27T00:00:00"/>
        <d v="2020-12-20T00:00:00"/>
        <d v="2021-10-11T00:00:00"/>
        <d v="2020-09-20T00:00:00"/>
        <d v="2023-02-07T00:00:00"/>
        <d v="2022-03-25T00:00:00"/>
        <d v="2019-04-09T00:00:00"/>
        <d v="2021-01-15T00:00:00"/>
        <d v="2020-12-12T00:00:00"/>
        <d v="2019-07-06T00:00:00"/>
        <d v="2023-10-19T00:00:00"/>
        <d v="2023-12-06T00:00:00"/>
        <d v="2019-07-03T00:00:00"/>
        <d v="2021-05-25T00:00:00"/>
        <d v="2022-12-10T00:00:00"/>
        <d v="2021-03-20T00:00:00"/>
        <d v="2020-09-23T00:00:00"/>
        <d v="2023-07-07T00:00:00"/>
        <d v="2019-08-13T00:00:00"/>
        <d v="2023-03-04T00:00:00"/>
        <d v="2022-08-08T00:00:00"/>
        <d v="2019-06-06T00:00:00"/>
        <d v="2021-01-02T00:00:00"/>
        <d v="2022-07-10T00:00:00"/>
        <d v="2021-04-04T00:00:00"/>
        <d v="2023-06-23T00:00:00"/>
        <d v="2023-02-15T00:00:00"/>
        <d v="2020-08-18T00:00:00"/>
        <d v="2021-09-18T00:00:00"/>
        <d v="2019-03-24T00:00:00"/>
        <d v="2022-12-01T00:00:00"/>
        <d v="2021-06-04T00:00:00"/>
        <d v="2023-01-23T00:00:00"/>
        <d v="2021-02-04T00:00:00"/>
        <d v="2022-01-11T00:00:00"/>
        <d v="2021-09-28T00:00:00"/>
        <d v="2022-02-15T00:00:00"/>
        <d v="2020-09-16T00:00:00"/>
        <d v="2019-03-18T00:00:00"/>
        <d v="2019-12-13T00:00:00"/>
        <d v="2020-02-19T00:00:00"/>
        <d v="2022-04-20T00:00:00"/>
        <d v="2020-05-10T00:00:00"/>
        <d v="2021-12-27T00:00:00"/>
        <d v="2020-05-12T00:00:00"/>
        <d v="2023-09-14T00:00:00"/>
        <d v="2023-02-19T00:00:00"/>
        <d v="2023-02-20T00:00:00"/>
        <d v="2023-01-13T00:00:00"/>
        <d v="2020-07-04T00:00:00"/>
        <d v="2020-11-09T00:00:00"/>
        <d v="2023-12-09T00:00:00"/>
        <d v="2023-08-20T00:00:00"/>
        <d v="2020-04-12T00:00:00"/>
        <d v="2021-10-01T00:00:00"/>
        <d v="2021-12-14T00:00:00"/>
        <d v="2019-09-17T00:00:00"/>
        <d v="2019-02-23T00:00:00"/>
        <d v="2019-02-26T00:00:00"/>
        <d v="2023-01-24T00:00:00"/>
        <d v="2023-03-23T00:00:00"/>
        <d v="2023-12-17T00:00:00"/>
        <d v="2022-09-28T00:00:00"/>
        <d v="2020-07-06T00:00:00"/>
        <d v="2020-11-28T00:00:00"/>
        <d v="2021-02-15T00:00:00"/>
        <d v="2023-07-16T00:00:00"/>
        <d v="2020-01-23T00:00:00"/>
        <m/>
      </sharedItems>
    </cacheField>
    <cacheField name="End_Date" numFmtId="0">
      <sharedItems containsString="0" containsBlank="1" containsNonDate="0" containsDate="1" minDate="2019-07-07T00:00:00" maxDate="2025-05-10T00:00:00" count="772">
        <d v="2024-05-16T00:00:00"/>
        <d v="2023-07-04T00:00:00"/>
        <d v="2023-05-06T00:00:00"/>
        <d v="2024-03-17T00:00:00"/>
        <d v="2024-02-26T00:00:00"/>
        <d v="2023-01-23T00:00:00"/>
        <d v="2021-11-13T00:00:00"/>
        <d v="2023-10-08T00:00:00"/>
        <d v="2024-09-19T00:00:00"/>
        <d v="2020-10-21T00:00:00"/>
        <d v="2024-09-05T00:00:00"/>
        <d v="2023-03-28T00:00:00"/>
        <d v="2022-07-12T00:00:00"/>
        <d v="2021-01-11T00:00:00"/>
        <d v="2023-08-27T00:00:00"/>
        <d v="2020-09-18T00:00:00"/>
        <d v="2022-06-03T00:00:00"/>
        <d v="2023-10-26T00:00:00"/>
        <d v="2022-10-10T00:00:00"/>
        <d v="2021-05-09T00:00:00"/>
        <d v="2024-04-26T00:00:00"/>
        <d v="2020-04-12T00:00:00"/>
        <d v="2020-01-14T00:00:00"/>
        <d v="2023-10-14T00:00:00"/>
        <d v="2025-01-06T00:00:00"/>
        <d v="2024-08-19T00:00:00"/>
        <d v="2019-11-04T00:00:00"/>
        <d v="2022-12-15T00:00:00"/>
        <d v="2023-11-18T00:00:00"/>
        <d v="2021-10-25T00:00:00"/>
        <d v="2022-04-20T00:00:00"/>
        <d v="2021-10-21T00:00:00"/>
        <d v="2023-08-23T00:00:00"/>
        <d v="2024-08-09T00:00:00"/>
        <d v="2024-07-14T00:00:00"/>
        <d v="2023-05-09T00:00:00"/>
        <d v="2023-11-11T00:00:00"/>
        <d v="2022-05-25T00:00:00"/>
        <d v="2020-10-22T00:00:00"/>
        <d v="2020-07-11T00:00:00"/>
        <d v="2025-01-01T00:00:00"/>
        <d v="2023-02-26T00:00:00"/>
        <d v="2023-04-04T00:00:00"/>
        <d v="2019-11-07T00:00:00"/>
        <d v="2021-03-07T00:00:00"/>
        <d v="2021-07-01T00:00:00"/>
        <d v="2022-07-03T00:00:00"/>
        <d v="2020-12-16T00:00:00"/>
        <d v="2024-07-02T00:00:00"/>
        <d v="2023-04-16T00:00:00"/>
        <d v="2024-05-14T00:00:00"/>
        <d v="2023-08-05T00:00:00"/>
        <d v="2020-04-15T00:00:00"/>
        <d v="2022-08-03T00:00:00"/>
        <d v="2020-01-05T00:00:00"/>
        <d v="2023-08-01T00:00:00"/>
        <d v="2020-02-09T00:00:00"/>
        <d v="2024-10-01T00:00:00"/>
        <d v="2021-12-06T00:00:00"/>
        <d v="2020-03-16T00:00:00"/>
        <d v="2022-01-11T00:00:00"/>
        <d v="2022-04-11T00:00:00"/>
        <d v="2021-12-26T00:00:00"/>
        <d v="2022-08-26T00:00:00"/>
        <d v="2020-03-21T00:00:00"/>
        <d v="2020-06-01T00:00:00"/>
        <d v="2020-11-18T00:00:00"/>
        <d v="2023-10-18T00:00:00"/>
        <d v="2022-12-06T00:00:00"/>
        <d v="2024-02-28T00:00:00"/>
        <d v="2024-02-16T00:00:00"/>
        <d v="2022-03-10T00:00:00"/>
        <d v="2020-05-26T00:00:00"/>
        <d v="2024-01-13T00:00:00"/>
        <d v="2022-03-08T00:00:00"/>
        <d v="2023-04-15T00:00:00"/>
        <d v="2022-06-05T00:00:00"/>
        <d v="2022-03-18T00:00:00"/>
        <d v="2021-11-08T00:00:00"/>
        <d v="2024-06-28T00:00:00"/>
        <d v="2023-11-07T00:00:00"/>
        <d v="2024-08-01T00:00:00"/>
        <d v="2021-05-16T00:00:00"/>
        <d v="2025-01-02T00:00:00"/>
        <d v="2020-09-17T00:00:00"/>
        <d v="2025-01-07T00:00:00"/>
        <d v="2023-06-09T00:00:00"/>
        <d v="2024-03-09T00:00:00"/>
        <d v="2024-11-26T00:00:00"/>
        <d v="2023-02-17T00:00:00"/>
        <d v="2023-05-08T00:00:00"/>
        <d v="2023-06-21T00:00:00"/>
        <d v="2023-12-18T00:00:00"/>
        <d v="2022-05-24T00:00:00"/>
        <d v="2024-01-19T00:00:00"/>
        <d v="2024-04-23T00:00:00"/>
        <d v="2022-02-18T00:00:00"/>
        <d v="2022-07-10T00:00:00"/>
        <d v="2025-05-10T00:00:00"/>
        <d v="2020-12-05T00:00:00"/>
        <d v="2022-08-07T00:00:00"/>
        <d v="2022-02-26T00:00:00"/>
        <d v="2020-08-22T00:00:00"/>
        <d v="2024-04-09T00:00:00"/>
        <d v="2023-02-10T00:00:00"/>
        <d v="2024-04-05T00:00:00"/>
        <d v="2021-08-27T00:00:00"/>
        <d v="2021-08-21T00:00:00"/>
        <d v="2022-01-26T00:00:00"/>
        <d v="2024-09-09T00:00:00"/>
        <d v="2023-01-08T00:00:00"/>
        <d v="2022-07-08T00:00:00"/>
        <d v="2024-05-19T00:00:00"/>
        <d v="2022-10-08T00:00:00"/>
        <d v="2020-07-15T00:00:00"/>
        <d v="2022-09-04T00:00:00"/>
        <d v="2024-01-12T00:00:00"/>
        <d v="2022-09-01T00:00:00"/>
        <d v="2023-06-14T00:00:00"/>
        <d v="2022-03-13T00:00:00"/>
        <d v="2023-12-21T00:00:00"/>
        <d v="2022-01-20T00:00:00"/>
        <d v="2024-04-16T00:00:00"/>
        <d v="2021-11-10T00:00:00"/>
        <d v="2021-01-07T00:00:00"/>
        <d v="2024-02-13T00:00:00"/>
        <d v="2019-10-22T00:00:00"/>
        <d v="2022-06-28T00:00:00"/>
        <d v="2021-03-16T00:00:00"/>
        <d v="2022-08-12T00:00:00"/>
        <d v="2023-07-05T00:00:00"/>
        <d v="2023-02-19T00:00:00"/>
        <d v="2023-04-25T00:00:00"/>
        <d v="2022-07-28T00:00:00"/>
        <d v="2023-05-12T00:00:00"/>
        <d v="2023-02-20T00:00:00"/>
        <d v="2024-02-14T00:00:00"/>
        <d v="2022-10-05T00:00:00"/>
        <d v="2021-07-09T00:00:00"/>
        <d v="2022-02-24T00:00:00"/>
        <d v="2023-02-01T00:00:00"/>
        <d v="2023-04-05T00:00:00"/>
        <d v="2023-11-10T00:00:00"/>
        <d v="2020-11-17T00:00:00"/>
        <d v="2020-06-17T00:00:00"/>
        <d v="2022-09-20T00:00:00"/>
        <d v="2021-04-04T00:00:00"/>
        <d v="2023-02-13T00:00:00"/>
        <d v="2024-05-10T00:00:00"/>
        <d v="2024-03-11T00:00:00"/>
        <d v="2024-02-09T00:00:00"/>
        <d v="2023-06-12T00:00:00"/>
        <d v="2019-12-20T00:00:00"/>
        <d v="2020-11-19T00:00:00"/>
        <d v="2022-08-13T00:00:00"/>
        <d v="2022-10-12T00:00:00"/>
        <d v="2022-12-19T00:00:00"/>
        <d v="2021-02-18T00:00:00"/>
        <d v="2020-08-20T00:00:00"/>
        <d v="2023-01-09T00:00:00"/>
        <d v="2025-03-19T00:00:00"/>
        <d v="2021-10-10T00:00:00"/>
        <d v="2020-10-11T00:00:00"/>
        <d v="2024-07-28T00:00:00"/>
        <d v="2020-09-16T00:00:00"/>
        <d v="2021-07-02T00:00:00"/>
        <d v="2024-01-02T00:00:00"/>
        <d v="2024-04-04T00:00:00"/>
        <d v="2024-02-23T00:00:00"/>
        <d v="2021-12-05T00:00:00"/>
        <d v="2019-12-26T00:00:00"/>
        <d v="2022-01-02T00:00:00"/>
        <d v="2020-04-20T00:00:00"/>
        <d v="2022-03-27T00:00:00"/>
        <d v="2021-11-22T00:00:00"/>
        <d v="2020-10-18T00:00:00"/>
        <d v="2024-08-08T00:00:00"/>
        <d v="2023-05-22T00:00:00"/>
        <d v="2023-07-12T00:00:00"/>
        <d v="2023-09-14T00:00:00"/>
        <d v="2021-06-05T00:00:00"/>
        <d v="2024-03-24T00:00:00"/>
        <d v="2024-04-27T00:00:00"/>
        <d v="2024-02-25T00:00:00"/>
        <d v="2023-08-21T00:00:00"/>
        <d v="2022-09-17T00:00:00"/>
        <d v="2024-03-25T00:00:00"/>
        <d v="2023-04-02T00:00:00"/>
        <d v="2020-05-03T00:00:00"/>
        <d v="2023-12-28T00:00:00"/>
        <d v="2023-02-21T00:00:00"/>
        <d v="2023-04-26T00:00:00"/>
        <d v="2021-01-05T00:00:00"/>
        <d v="2024-01-26T00:00:00"/>
        <d v="2023-02-23T00:00:00"/>
        <d v="2023-09-05T00:00:00"/>
        <d v="2020-12-04T00:00:00"/>
        <d v="2021-06-09T00:00:00"/>
        <d v="2021-03-12T00:00:00"/>
        <d v="2024-09-26T00:00:00"/>
        <d v="2024-01-08T00:00:00"/>
        <d v="2021-01-12T00:00:00"/>
        <d v="2024-02-11T00:00:00"/>
        <d v="2023-09-15T00:00:00"/>
        <d v="2022-08-09T00:00:00"/>
        <d v="2021-03-03T00:00:00"/>
        <d v="2022-04-23T00:00:00"/>
        <d v="2021-08-15T00:00:00"/>
        <d v="2024-11-15T00:00:00"/>
        <d v="2022-10-28T00:00:00"/>
        <d v="2020-10-25T00:00:00"/>
        <d v="2023-10-24T00:00:00"/>
        <d v="2020-05-12T00:00:00"/>
        <d v="2020-08-19T00:00:00"/>
        <d v="2022-10-04T00:00:00"/>
        <d v="2021-10-08T00:00:00"/>
        <d v="2019-12-02T00:00:00"/>
        <d v="2024-09-20T00:00:00"/>
        <d v="2024-07-15T00:00:00"/>
        <d v="2023-10-16T00:00:00"/>
        <d v="2020-07-02T00:00:00"/>
        <d v="2023-11-09T00:00:00"/>
        <d v="2021-05-23T00:00:00"/>
        <d v="2021-12-02T00:00:00"/>
        <d v="2023-03-03T00:00:00"/>
        <d v="2023-09-13T00:00:00"/>
        <d v="2022-04-10T00:00:00"/>
        <d v="2024-09-14T00:00:00"/>
        <d v="2025-04-28T00:00:00"/>
        <d v="2022-08-20T00:00:00"/>
        <d v="2022-01-01T00:00:00"/>
        <d v="2022-11-05T00:00:00"/>
        <d v="2021-11-16T00:00:00"/>
        <d v="2020-05-09T00:00:00"/>
        <d v="2022-02-09T00:00:00"/>
        <d v="2021-09-17T00:00:00"/>
        <d v="2020-12-21T00:00:00"/>
        <d v="2023-06-16T00:00:00"/>
        <d v="2023-01-01T00:00:00"/>
        <d v="2023-10-20T00:00:00"/>
        <d v="2023-08-09T00:00:00"/>
        <d v="2023-08-04T00:00:00"/>
        <d v="2024-07-17T00:00:00"/>
        <d v="2023-02-06T00:00:00"/>
        <d v="2020-03-17T00:00:00"/>
        <d v="2024-03-08T00:00:00"/>
        <d v="2020-11-04T00:00:00"/>
        <d v="2023-01-03T00:00:00"/>
        <d v="2022-10-01T00:00:00"/>
        <d v="2024-03-05T00:00:00"/>
        <d v="2020-05-19T00:00:00"/>
        <d v="2023-11-17T00:00:00"/>
        <d v="2020-08-10T00:00:00"/>
        <d v="2024-09-10T00:00:00"/>
        <d v="2022-07-06T00:00:00"/>
        <d v="2024-05-22T00:00:00"/>
        <d v="2023-10-21T00:00:00"/>
        <d v="2022-12-13T00:00:00"/>
        <d v="2022-05-20T00:00:00"/>
        <d v="2020-07-18T00:00:00"/>
        <d v="2020-11-10T00:00:00"/>
        <d v="2022-06-19T00:00:00"/>
        <d v="2023-02-16T00:00:00"/>
        <d v="2021-04-12T00:00:00"/>
        <d v="2024-05-02T00:00:00"/>
        <d v="2024-01-27T00:00:00"/>
        <d v="2022-09-08T00:00:00"/>
        <d v="2020-04-04T00:00:00"/>
        <d v="2022-02-14T00:00:00"/>
        <d v="2023-05-14T00:00:00"/>
        <d v="2023-12-26T00:00:00"/>
        <d v="2024-03-10T00:00:00"/>
        <d v="2023-09-08T00:00:00"/>
        <d v="2021-01-01T00:00:00"/>
        <d v="2020-08-21T00:00:00"/>
        <d v="2024-09-22T00:00:00"/>
        <d v="2020-11-21T00:00:00"/>
        <d v="2020-06-07T00:00:00"/>
        <d v="2020-11-16T00:00:00"/>
        <d v="2020-09-20T00:00:00"/>
        <d v="2023-08-26T00:00:00"/>
        <d v="2022-12-16T00:00:00"/>
        <d v="2023-04-20T00:00:00"/>
        <d v="2023-09-23T00:00:00"/>
        <d v="2021-09-09T00:00:00"/>
        <d v="2024-11-25T00:00:00"/>
        <d v="2021-01-15T00:00:00"/>
        <d v="2024-10-11T00:00:00"/>
        <d v="2025-01-18T00:00:00"/>
        <d v="2020-04-10T00:00:00"/>
        <d v="2021-11-11T00:00:00"/>
        <d v="2024-01-22T00:00:00"/>
        <d v="2023-02-18T00:00:00"/>
        <d v="2021-08-10T00:00:00"/>
        <d v="2021-10-14T00:00:00"/>
        <d v="2024-09-15T00:00:00"/>
        <d v="2024-07-13T00:00:00"/>
        <d v="2023-06-06T00:00:00"/>
        <d v="2023-04-03T00:00:00"/>
        <d v="2022-02-15T00:00:00"/>
        <d v="2021-03-08T00:00:00"/>
        <d v="2025-02-07T00:00:00"/>
        <d v="2022-06-16T00:00:00"/>
        <d v="2021-04-16T00:00:00"/>
        <d v="2020-09-28T00:00:00"/>
        <d v="2020-09-21T00:00:00"/>
        <d v="2024-02-10T00:00:00"/>
        <d v="2023-02-28T00:00:00"/>
        <d v="2023-01-05T00:00:00"/>
        <d v="2020-03-19T00:00:00"/>
        <d v="2024-04-22T00:00:00"/>
        <d v="2023-03-23T00:00:00"/>
        <d v="2021-02-14T00:00:00"/>
        <d v="2021-06-06T00:00:00"/>
        <d v="2023-06-25T00:00:00"/>
        <d v="2022-09-14T00:00:00"/>
        <d v="2024-11-23T00:00:00"/>
        <d v="2024-12-24T00:00:00"/>
        <d v="2023-11-24T00:00:00"/>
        <d v="2022-01-10T00:00:00"/>
        <d v="2022-08-22T00:00:00"/>
        <d v="2021-11-05T00:00:00"/>
        <d v="2021-03-04T00:00:00"/>
        <d v="2023-09-21T00:00:00"/>
        <d v="2023-11-23T00:00:00"/>
        <d v="2020-06-28T00:00:00"/>
        <d v="2024-07-12T00:00:00"/>
        <d v="2020-01-02T00:00:00"/>
        <d v="2023-04-14T00:00:00"/>
        <d v="2021-01-04T00:00:00"/>
        <d v="2021-07-24T00:00:00"/>
        <d v="2023-07-26T00:00:00"/>
        <d v="2021-02-10T00:00:00"/>
        <d v="2022-02-22T00:00:00"/>
        <d v="2022-02-20T00:00:00"/>
        <d v="2020-12-07T00:00:00"/>
        <d v="2024-02-24T00:00:00"/>
        <d v="2021-12-16T00:00:00"/>
        <d v="2024-07-21T00:00:00"/>
        <d v="2021-04-11T00:00:00"/>
        <d v="2020-10-24T00:00:00"/>
        <d v="2022-11-26T00:00:00"/>
        <d v="2024-01-23T00:00:00"/>
        <d v="2020-11-01T00:00:00"/>
        <d v="2020-09-05T00:00:00"/>
        <d v="2020-05-27T00:00:00"/>
        <d v="2022-08-19T00:00:00"/>
        <d v="2021-09-10T00:00:00"/>
        <d v="2022-07-04T00:00:00"/>
        <d v="2023-06-15T00:00:00"/>
        <d v="2021-01-08T00:00:00"/>
        <d v="2024-05-04T00:00:00"/>
        <d v="2023-09-12T00:00:00"/>
        <d v="2022-09-06T00:00:00"/>
        <d v="2020-10-23T00:00:00"/>
        <d v="2024-04-08T00:00:00"/>
        <d v="2021-12-03T00:00:00"/>
        <d v="2020-07-21T00:00:00"/>
        <d v="2021-01-20T00:00:00"/>
        <d v="2024-03-01T00:00:00"/>
        <d v="2019-08-11T00:00:00"/>
        <d v="2024-08-17T00:00:00"/>
        <d v="2022-02-06T00:00:00"/>
        <d v="2020-01-25T00:00:00"/>
        <d v="2023-06-05T00:00:00"/>
        <d v="2020-04-21T00:00:00"/>
        <d v="2024-03-04T00:00:00"/>
        <d v="2021-10-07T00:00:00"/>
        <d v="2022-03-15T00:00:00"/>
        <d v="2023-09-28T00:00:00"/>
        <d v="2021-05-25T00:00:00"/>
        <d v="2023-12-06T00:00:00"/>
        <d v="2024-06-01T00:00:00"/>
        <d v="2022-08-14T00:00:00"/>
        <d v="2022-11-20T00:00:00"/>
        <d v="2020-02-06T00:00:00"/>
        <d v="2025-03-14T00:00:00"/>
        <d v="2023-07-10T00:00:00"/>
        <d v="2022-01-13T00:00:00"/>
        <d v="2022-11-06T00:00:00"/>
        <d v="2021-05-15T00:00:00"/>
        <d v="2022-11-03T00:00:00"/>
        <d v="2024-01-05T00:00:00"/>
        <d v="2022-09-24T00:00:00"/>
        <d v="2024-06-17T00:00:00"/>
        <d v="2020-06-08T00:00:00"/>
        <d v="2020-12-26T00:00:00"/>
        <d v="2023-07-01T00:00:00"/>
        <d v="2021-09-03T00:00:00"/>
        <d v="2024-08-23T00:00:00"/>
        <d v="2020-08-09T00:00:00"/>
        <d v="2024-06-22T00:00:00"/>
        <d v="2023-02-22T00:00:00"/>
        <d v="2024-07-19T00:00:00"/>
        <d v="2020-05-24T00:00:00"/>
        <d v="2019-10-20T00:00:00"/>
        <d v="2022-08-15T00:00:00"/>
        <d v="2022-11-10T00:00:00"/>
        <d v="2023-11-04T00:00:00"/>
        <d v="2024-03-26T00:00:00"/>
        <d v="2024-05-07T00:00:00"/>
        <d v="2023-07-02T00:00:00"/>
        <d v="2024-06-18T00:00:00"/>
        <d v="2023-05-26T00:00:00"/>
        <d v="2023-01-20T00:00:00"/>
        <d v="2019-11-15T00:00:00"/>
        <d v="2021-06-23T00:00:00"/>
        <d v="2023-01-28T00:00:00"/>
        <d v="2023-10-25T00:00:00"/>
        <d v="2023-05-24T00:00:00"/>
        <d v="2020-06-06T00:00:00"/>
        <d v="2024-06-08T00:00:00"/>
        <d v="2024-10-27T00:00:00"/>
        <d v="2020-06-19T00:00:00"/>
        <d v="2024-03-19T00:00:00"/>
        <d v="2023-07-25T00:00:00"/>
        <d v="2022-09-19T00:00:00"/>
        <d v="2020-09-19T00:00:00"/>
        <d v="2023-01-11T00:00:00"/>
        <d v="2021-01-10T00:00:00"/>
        <d v="2020-04-07T00:00:00"/>
        <d v="2021-11-03T00:00:00"/>
        <d v="2021-07-13T00:00:00"/>
        <d v="2020-05-23T00:00:00"/>
        <d v="2021-09-08T00:00:00"/>
        <d v="2022-05-27T00:00:00"/>
        <d v="2022-12-25T00:00:00"/>
        <d v="2020-07-17T00:00:00"/>
        <d v="2025-01-04T00:00:00"/>
        <d v="2020-06-13T00:00:00"/>
        <d v="2024-09-18T00:00:00"/>
        <d v="2021-03-28T00:00:00"/>
        <d v="2024-07-06T00:00:00"/>
        <d v="2020-06-10T00:00:00"/>
        <d v="2023-01-25T00:00:00"/>
        <d v="2023-08-10T00:00:00"/>
        <d v="2021-08-18T00:00:00"/>
        <d v="2021-09-01T00:00:00"/>
        <d v="2021-11-21T00:00:00"/>
        <d v="2020-05-15T00:00:00"/>
        <d v="2022-02-05T00:00:00"/>
        <d v="2025-03-03T00:00:00"/>
        <d v="2022-06-13T00:00:00"/>
        <d v="2022-09-12T00:00:00"/>
        <d v="2024-01-09T00:00:00"/>
        <d v="2022-01-06T00:00:00"/>
        <d v="2021-04-24T00:00:00"/>
        <d v="2024-07-05T00:00:00"/>
        <d v="2021-01-28T00:00:00"/>
        <d v="2023-05-23T00:00:00"/>
        <d v="2021-05-12T00:00:00"/>
        <d v="2021-10-17T00:00:00"/>
        <d v="2022-04-12T00:00:00"/>
        <d v="2023-02-12T00:00:00"/>
        <d v="2020-09-24T00:00:00"/>
        <d v="2019-12-12T00:00:00"/>
        <d v="2024-08-10T00:00:00"/>
        <d v="2023-10-01T00:00:00"/>
        <d v="2024-03-03T00:00:00"/>
        <d v="2021-03-18T00:00:00"/>
        <d v="2023-03-04T00:00:00"/>
        <d v="2021-06-20T00:00:00"/>
        <d v="2021-12-20T00:00:00"/>
        <d v="2020-12-09T00:00:00"/>
        <d v="2022-06-23T00:00:00"/>
        <d v="2022-05-26T00:00:00"/>
        <d v="2021-12-08T00:00:00"/>
        <d v="2025-02-28T00:00:00"/>
        <d v="2021-07-27T00:00:00"/>
        <d v="2020-09-03T00:00:00"/>
        <d v="2023-01-12T00:00:00"/>
        <d v="2021-09-22T00:00:00"/>
        <d v="2022-10-24T00:00:00"/>
        <d v="2021-08-28T00:00:00"/>
        <d v="2024-08-18T00:00:00"/>
        <d v="2023-02-08T00:00:00"/>
        <d v="2022-02-19T00:00:00"/>
        <d v="2020-07-13T00:00:00"/>
        <d v="2020-04-01T00:00:00"/>
        <d v="2024-06-23T00:00:00"/>
        <d v="2022-07-24T00:00:00"/>
        <d v="2020-04-06T00:00:00"/>
        <d v="2021-07-10T00:00:00"/>
        <d v="2022-01-24T00:00:00"/>
        <d v="2023-04-19T00:00:00"/>
        <d v="2024-06-25T00:00:00"/>
        <d v="2024-03-06T00:00:00"/>
        <d v="2024-10-14T00:00:00"/>
        <d v="2020-11-15T00:00:00"/>
        <d v="2021-04-03T00:00:00"/>
        <d v="2020-02-19T00:00:00"/>
        <d v="2021-06-27T00:00:00"/>
        <d v="2022-04-14T00:00:00"/>
        <d v="2024-02-15T00:00:00"/>
        <d v="2023-03-09T00:00:00"/>
        <d v="2024-10-19T00:00:00"/>
        <d v="2020-03-09T00:00:00"/>
        <d v="2024-02-19T00:00:00"/>
        <d v="2022-01-05T00:00:00"/>
        <d v="2024-05-23T00:00:00"/>
        <d v="2023-08-03T00:00:00"/>
        <d v="2025-02-19T00:00:00"/>
        <d v="2020-10-15T00:00:00"/>
        <d v="2021-04-27T00:00:00"/>
        <d v="2022-10-27T00:00:00"/>
        <d v="2022-04-09T00:00:00"/>
        <d v="2019-08-08T00:00:00"/>
        <d v="2021-07-19T00:00:00"/>
        <d v="2022-11-27T00:00:00"/>
        <d v="2020-10-02T00:00:00"/>
        <d v="2023-09-18T00:00:00"/>
        <d v="2022-03-07T00:00:00"/>
        <d v="2021-06-11T00:00:00"/>
        <d v="2023-03-15T00:00:00"/>
        <d v="2020-12-27T00:00:00"/>
        <d v="2022-09-28T00:00:00"/>
        <d v="2023-05-16T00:00:00"/>
        <d v="2024-06-14T00:00:00"/>
        <d v="2023-10-03T00:00:00"/>
        <d v="2024-12-14T00:00:00"/>
        <d v="2020-09-08T00:00:00"/>
        <d v="2023-06-23T00:00:00"/>
        <d v="2021-02-28T00:00:00"/>
        <d v="2023-12-24T00:00:00"/>
        <d v="2023-10-02T00:00:00"/>
        <d v="2024-02-20T00:00:00"/>
        <d v="2023-04-18T00:00:00"/>
        <d v="2020-10-16T00:00:00"/>
        <d v="2022-11-11T00:00:00"/>
        <d v="2021-05-21T00:00:00"/>
        <d v="2021-09-05T00:00:00"/>
        <d v="2023-11-21T00:00:00"/>
        <d v="2022-01-14T00:00:00"/>
        <d v="2021-01-22T00:00:00"/>
        <d v="2021-04-23T00:00:00"/>
        <d v="2025-01-22T00:00:00"/>
        <d v="2021-01-19T00:00:00"/>
        <d v="2023-05-10T00:00:00"/>
        <d v="2022-07-27T00:00:00"/>
        <d v="2025-02-05T00:00:00"/>
        <d v="2023-07-11T00:00:00"/>
        <d v="2020-12-23T00:00:00"/>
        <d v="2020-11-12T00:00:00"/>
        <d v="2023-11-03T00:00:00"/>
        <d v="2020-10-06T00:00:00"/>
        <d v="2022-10-22T00:00:00"/>
        <d v="2019-10-06T00:00:00"/>
        <d v="2020-04-22T00:00:00"/>
        <d v="2024-09-04T00:00:00"/>
        <d v="2021-07-08T00:00:00"/>
        <d v="2021-11-25T00:00:00"/>
        <d v="2024-08-11T00:00:00"/>
        <d v="2022-03-28T00:00:00"/>
        <d v="2021-10-22T00:00:00"/>
        <d v="2021-05-02T00:00:00"/>
        <d v="2020-12-22T00:00:00"/>
        <d v="2021-05-01T00:00:00"/>
        <d v="2022-03-03T00:00:00"/>
        <d v="2023-06-26T00:00:00"/>
        <d v="2021-12-21T00:00:00"/>
        <d v="2021-03-09T00:00:00"/>
        <d v="2021-10-28T00:00:00"/>
        <d v="2020-08-05T00:00:00"/>
        <d v="2021-01-17T00:00:00"/>
        <d v="2021-02-20T00:00:00"/>
        <d v="2019-09-28T00:00:00"/>
        <d v="2024-07-22T00:00:00"/>
        <d v="2022-10-20T00:00:00"/>
        <d v="2022-11-02T00:00:00"/>
        <d v="2023-04-06T00:00:00"/>
        <d v="2022-02-04T00:00:00"/>
        <d v="2019-11-11T00:00:00"/>
        <d v="2021-10-24T00:00:00"/>
        <d v="2020-10-03T00:00:00"/>
        <d v="2021-04-26T00:00:00"/>
        <d v="2021-06-07T00:00:00"/>
        <d v="2022-06-10T00:00:00"/>
        <d v="2022-12-10T00:00:00"/>
        <d v="2019-10-03T00:00:00"/>
        <d v="2021-06-21T00:00:00"/>
        <d v="2020-10-07T00:00:00"/>
        <d v="2020-11-09T00:00:00"/>
        <d v="2021-08-05T00:00:00"/>
        <d v="2019-09-19T00:00:00"/>
        <d v="2021-01-24T00:00:00"/>
        <d v="2023-03-18T00:00:00"/>
        <d v="2023-11-12T00:00:00"/>
        <d v="2024-03-22T00:00:00"/>
        <d v="2021-06-08T00:00:00"/>
        <d v="2024-08-03T00:00:00"/>
        <d v="2024-02-21T00:00:00"/>
        <d v="2021-03-26T00:00:00"/>
        <d v="2024-05-01T00:00:00"/>
        <d v="2022-08-08T00:00:00"/>
        <d v="2021-02-25T00:00:00"/>
        <d v="2023-08-24T00:00:00"/>
        <d v="2020-08-08T00:00:00"/>
        <d v="2024-04-19T00:00:00"/>
        <d v="2020-10-27T00:00:00"/>
        <d v="2020-07-22T00:00:00"/>
        <d v="2022-05-17T00:00:00"/>
        <d v="2019-07-07T00:00:00"/>
        <d v="2022-01-27T00:00:00"/>
        <d v="2023-03-01T00:00:00"/>
        <d v="2020-12-12T00:00:00"/>
        <d v="2024-10-26T00:00:00"/>
        <d v="2021-10-18T00:00:00"/>
        <d v="2022-07-18T00:00:00"/>
        <d v="2023-06-22T00:00:00"/>
        <d v="2020-04-13T00:00:00"/>
        <d v="2020-09-12T00:00:00"/>
        <d v="2023-03-02T00:00:00"/>
        <d v="2023-12-04T00:00:00"/>
        <d v="2022-06-06T00:00:00"/>
        <d v="2023-12-02T00:00:00"/>
        <d v="2024-10-23T00:00:00"/>
        <d v="2021-12-22T00:00:00"/>
        <d v="2022-03-17T00:00:00"/>
        <d v="2022-10-09T00:00:00"/>
        <d v="2025-02-26T00:00:00"/>
        <d v="2024-07-25T00:00:00"/>
        <d v="2021-06-15T00:00:00"/>
        <d v="2024-08-27T00:00:00"/>
        <d v="2022-10-17T00:00:00"/>
        <d v="2024-06-10T00:00:00"/>
        <d v="2023-01-16T00:00:00"/>
        <d v="2022-11-13T00:00:00"/>
        <d v="2021-02-24T00:00:00"/>
        <d v="2024-05-09T00:00:00"/>
        <d v="2023-11-27T00:00:00"/>
        <d v="2024-12-17T00:00:00"/>
        <d v="2024-05-11T00:00:00"/>
        <d v="2021-07-05T00:00:00"/>
        <d v="2019-12-09T00:00:00"/>
        <d v="2020-10-01T00:00:00"/>
        <d v="2022-03-01T00:00:00"/>
        <d v="2022-04-17T00:00:00"/>
        <d v="2023-11-16T00:00:00"/>
        <d v="2022-12-03T00:00:00"/>
        <d v="2022-12-20T00:00:00"/>
        <d v="2022-04-28T00:00:00"/>
        <d v="2025-01-14T00:00:00"/>
        <d v="2022-08-02T00:00:00"/>
        <d v="2021-03-14T00:00:00"/>
        <d v="2021-06-13T00:00:00"/>
        <d v="2020-05-07T00:00:00"/>
        <d v="2021-09-20T00:00:00"/>
        <d v="2024-11-11T00:00:00"/>
        <d v="2020-07-27T00:00:00"/>
        <d v="2021-08-17T00:00:00"/>
        <d v="2022-05-14T00:00:00"/>
        <d v="2022-05-06T00:00:00"/>
        <d v="2022-09-25T00:00:00"/>
        <d v="2024-09-21T00:00:00"/>
        <d v="2020-01-15T00:00:00"/>
        <d v="2022-10-15T00:00:00"/>
        <d v="2021-02-06T00:00:00"/>
        <d v="2024-02-27T00:00:00"/>
        <d v="2023-12-10T00:00:00"/>
        <d v="2022-05-07T00:00:00"/>
        <d v="2025-02-02T00:00:00"/>
        <d v="2021-04-17T00:00:00"/>
        <d v="2020-09-27T00:00:00"/>
        <d v="2025-03-22T00:00:00"/>
        <d v="2020-08-14T00:00:00"/>
        <d v="2024-01-10T00:00:00"/>
        <d v="2021-04-20T00:00:00"/>
        <d v="2020-06-05T00:00:00"/>
        <d v="2020-02-03T00:00:00"/>
        <d v="2020-07-05T00:00:00"/>
        <d v="2022-05-05T00:00:00"/>
        <d v="2021-07-26T00:00:00"/>
        <d v="2022-06-25T00:00:00"/>
        <d v="2024-11-07T00:00:00"/>
        <d v="2022-07-20T00:00:00"/>
        <d v="2021-12-23T00:00:00"/>
        <d v="2020-11-07T00:00:00"/>
        <d v="2024-08-02T00:00:00"/>
        <d v="2021-02-13T00:00:00"/>
        <d v="2019-12-08T00:00:00"/>
        <d v="2023-08-12T00:00:00"/>
        <d v="2023-07-06T00:00:00"/>
        <d v="2024-03-20T00:00:00"/>
        <d v="2022-05-21T00:00:00"/>
        <d v="2021-07-25T00:00:00"/>
        <d v="2020-10-08T00:00:00"/>
        <d v="2024-01-15T00:00:00"/>
        <d v="2019-10-10T00:00:00"/>
        <d v="2024-11-05T00:00:00"/>
        <d v="2022-06-08T00:00:00"/>
        <d v="2021-01-06T00:00:00"/>
        <d v="2022-03-06T00:00:00"/>
        <d v="2024-07-07T00:00:00"/>
        <d v="2024-02-06T00:00:00"/>
        <d v="2024-06-09T00:00:00"/>
        <d v="2024-11-13T00:00:00"/>
        <d v="2020-07-16T00:00:00"/>
        <d v="2025-01-21T00:00:00"/>
        <d v="2024-06-13T00:00:00"/>
        <d v="2020-11-08T00:00:00"/>
        <d v="2023-12-05T00:00:00"/>
        <d v="2022-09-09T00:00:00"/>
        <d v="2024-08-15T00:00:00"/>
        <d v="2021-05-26T00:00:00"/>
        <d v="2021-02-03T00:00:00"/>
        <d v="2023-01-15T00:00:00"/>
        <d v="2025-01-27T00:00:00"/>
        <d v="2022-06-12T00:00:00"/>
        <d v="2023-02-11T00:00:00"/>
        <d v="2020-04-08T00:00:00"/>
        <d v="2021-07-20T00:00:00"/>
        <d v="2020-09-09T00:00:00"/>
        <d v="2022-06-15T00:00:00"/>
        <d v="2024-03-23T00:00:00"/>
        <d v="2022-05-12T00:00:00"/>
        <d v="2022-03-11T00:00:00"/>
        <d v="2020-07-06T00:00:00"/>
        <d v="2024-12-06T00:00:00"/>
        <d v="2020-07-03T00:00:00"/>
        <d v="2021-09-11T00:00:00"/>
        <d v="2020-09-07T00:00:00"/>
        <d v="2022-01-25T00:00:00"/>
        <d v="2024-02-07T00:00:00"/>
        <d v="2020-10-13T00:00:00"/>
        <d v="2021-05-18T00:00:00"/>
        <d v="2024-07-04T00:00:00"/>
        <d v="2021-01-18T00:00:00"/>
        <d v="2022-07-16T00:00:00"/>
        <d v="2023-06-08T00:00:00"/>
        <d v="2020-01-06T00:00:00"/>
        <d v="2020-12-18T00:00:00"/>
        <d v="2024-09-28T00:00:00"/>
        <d v="2024-11-14T00:00:00"/>
        <d v="2023-09-10T00:00:00"/>
        <d v="2021-12-04T00:00:00"/>
        <d v="2021-06-04T00:00:00"/>
        <d v="2021-09-18T00:00:00"/>
        <d v="2022-06-18T00:00:00"/>
        <d v="2019-12-24T00:00:00"/>
        <d v="2022-03-04T00:00:00"/>
        <d v="2023-07-23T00:00:00"/>
        <d v="2022-10-11T00:00:00"/>
        <d v="2021-04-28T00:00:00"/>
        <d v="2021-10-16T00:00:00"/>
        <d v="2019-11-18T00:00:00"/>
        <d v="2020-10-12T00:00:00"/>
        <d v="2020-09-13T00:00:00"/>
        <d v="2023-05-20T00:00:00"/>
        <d v="2022-10-06T00:00:00"/>
        <d v="2023-01-27T00:00:00"/>
        <d v="2021-10-12T00:00:00"/>
        <d v="2023-08-19T00:00:00"/>
        <d v="2023-08-20T00:00:00"/>
        <d v="2023-07-13T00:00:00"/>
        <d v="2021-02-04T00:00:00"/>
        <d v="2022-05-09T00:00:00"/>
        <d v="2024-12-09T00:00:00"/>
        <d v="2025-02-20T00:00:00"/>
        <d v="2022-08-01T00:00:00"/>
        <d v="2023-12-08T00:00:00"/>
        <d v="2022-06-27T00:00:00"/>
        <d v="2020-02-23T00:00:00"/>
        <d v="2023-10-23T00:00:00"/>
        <d v="2023-04-28T00:00:00"/>
        <d v="2021-03-06T00:00:00"/>
        <d v="2021-05-17T00:00:00"/>
        <d v="2022-02-28T00:00:00"/>
        <d v="2021-09-15T00:00:00"/>
        <d v="2023-03-10T00:00:00"/>
        <d v="2024-08-05T00:00:00"/>
        <d v="2024-07-16T00:00:00"/>
        <m/>
      </sharedItems>
    </cacheField>
    <cacheField name="Dose" numFmtId="0">
      <sharedItems containsString="0" containsBlank="1" containsNumber="1" containsInteger="1" minValue="0" maxValue="200" count="5">
        <n v="200"/>
        <n v="100"/>
        <n v="150"/>
        <n v="50"/>
        <m/>
      </sharedItems>
    </cacheField>
    <cacheField name="Adverse_Events" numFmtId="0">
      <sharedItems containsBlank="1" count="86">
        <s v="Fatigue, Nausea"/>
        <s v="None, Fatigue"/>
        <s v="Nausea, None, Fatigue"/>
        <s v="Dizziness"/>
        <s v="Headache"/>
        <s v="Fatigue, Nausea, Headache"/>
        <s v="None"/>
        <s v="None, Headache, Fatigue"/>
        <s v="Fatigue, None"/>
        <s v="Fatigue"/>
        <s v="Nausea, Headache"/>
        <s v="Fatigue, Headache, None"/>
        <s v="Dizziness, Fatigue"/>
        <s v="Nausea, Fatigue, Dizziness"/>
        <s v="Headache, None, Fatigue"/>
        <s v="Dizziness, None, Fatigue"/>
        <s v="Headache, Nausea"/>
        <s v="Headache, Fatigue, Dizziness"/>
        <s v="Nausea, None, Headache"/>
        <s v="Dizziness, Fatigue, Headache"/>
        <s v="Headache, Dizziness, Nausea"/>
        <s v="Nausea, Fatigue, Headache"/>
        <s v="Dizziness, Nausea, None"/>
        <s v="Fatigue, Headache, Dizziness"/>
        <s v="Nausea"/>
        <s v="Nausea, Headache, None"/>
        <s v="Fatigue, Dizziness, Nausea"/>
        <s v="Fatigue, Headache, Nausea"/>
        <s v="Nausea, Fatigue"/>
        <s v="Dizziness, None"/>
        <s v="None, Headache, Dizziness"/>
        <s v="Headache, None"/>
        <s v="Nausea, Headache, Dizziness"/>
        <s v="Dizziness, Fatigue, Nausea"/>
        <s v="None, Headache"/>
        <s v="Nausea, None"/>
        <s v="Fatigue, Dizziness"/>
        <s v="None, Nausea, Dizziness"/>
        <s v="Fatigue, Dizziness, Headache"/>
        <s v="Headache, Dizziness, None"/>
        <s v="Dizziness, Nausea, Fatigue"/>
        <s v="Dizziness, Headache"/>
        <s v="None, Dizziness, Nausea"/>
        <s v="None, Dizziness"/>
        <s v="None, Headache, Nausea"/>
        <s v="Fatigue, Dizziness, None"/>
        <s v="Nausea, Dizziness, Headache"/>
        <s v="Nausea, Dizziness"/>
        <s v="Fatigue, Headache"/>
        <s v="Headache, Dizziness"/>
        <s v="Headache, Nausea, Dizziness"/>
        <s v="Dizziness, Nausea"/>
        <s v="Nausea, Dizziness, None"/>
        <s v="Headache, None, Dizziness"/>
        <s v="Dizziness, Headache, Nausea"/>
        <s v="Dizziness, Nausea, Headache"/>
        <s v="None, Fatigue, Headache"/>
        <s v="Headache, Fatigue, Nausea"/>
        <s v="None, Nausea"/>
        <s v="Nausea, Headache, Fatigue"/>
        <s v="Dizziness, None, Headache"/>
        <s v="Nausea, Fatigue, None"/>
        <s v="Fatigue, Nausea, Dizziness"/>
        <s v="Fatigue, None, Dizziness"/>
        <s v="Nausea, Dizziness, Fatigue"/>
        <s v="None, Nausea, Headache"/>
        <s v="Headache, Nausea, Fatigue"/>
        <s v="Dizziness, Fatigue, None"/>
        <s v="None, Fatigue, Dizziness"/>
        <s v="Headache, Fatigue, None"/>
        <s v="Fatigue, Nausea, None"/>
        <s v="Fatigue, None, Nausea"/>
        <s v="Headache, Fatigue"/>
        <s v="None, Fatigue, Nausea"/>
        <s v="Headache, Dizziness, Fatigue"/>
        <s v="Headache, Nausea, None"/>
        <s v="Nausea, None, Dizziness"/>
        <s v="None, Dizziness, Headache"/>
        <s v="Dizziness, Headache, Fatigue"/>
        <s v="None, Dizziness, Fatigue"/>
        <s v="Fatigue, None, Headache"/>
        <s v="Dizziness, Headache, None"/>
        <s v="None, Nausea, Fatigue"/>
        <s v="Headache, None, Nausea"/>
        <s v="Dizziness, None, Nausea"/>
        <m/>
      </sharedItems>
    </cacheField>
    <cacheField name="Treatment_ID" numFmtId="0">
      <sharedItems containsBlank="1" count="198">
        <s v="TR0085"/>
        <s v="TR0002"/>
        <s v="TR0158"/>
        <s v="TR0029"/>
        <s v="TR0107"/>
        <s v="TR0009"/>
        <s v="TR0077"/>
        <s v="TR0037"/>
        <s v="TR0039"/>
        <s v="TR0166"/>
        <s v="TR0049"/>
        <s v="TR0195"/>
        <s v="TR0168"/>
        <s v="TR0036"/>
        <s v="TR0185"/>
        <s v="TR0179"/>
        <s v="TR0178"/>
        <s v="TR0194"/>
        <s v="TR0142"/>
        <s v="TR0028"/>
        <s v="TR0004"/>
        <s v="TR0093"/>
        <s v="TR0123"/>
        <s v="TR0075"/>
        <s v="TR0138"/>
        <s v="TR0096"/>
        <s v="TR0025"/>
        <s v="TR0104"/>
        <s v="TR0084"/>
        <s v="TR0035"/>
        <s v="TR0145"/>
        <s v="TR0056"/>
        <s v="TR0016"/>
        <s v="TR0183"/>
        <s v="TR0171"/>
        <s v="TR0005"/>
        <s v="TR0161"/>
        <s v="TR0059"/>
        <s v="TR0163"/>
        <s v="TR0089"/>
        <s v="TR0015"/>
        <s v="TR0010"/>
        <s v="TR0120"/>
        <s v="TR0024"/>
        <s v="TR0180"/>
        <s v="TR0198"/>
        <s v="TR0174"/>
        <s v="TR0020"/>
        <s v="TR0055"/>
        <s v="TR0162"/>
        <s v="TR0136"/>
        <s v="TR0184"/>
        <s v="TR0082"/>
        <s v="TR0113"/>
        <s v="TR0067"/>
        <s v="TR0026"/>
        <s v="TR0052"/>
        <s v="TR0048"/>
        <s v="TR0061"/>
        <s v="TR0109"/>
        <s v="TR0071"/>
        <s v="TR0126"/>
        <s v="TR0200"/>
        <s v="TR0150"/>
        <s v="TR0169"/>
        <s v="TR0034"/>
        <s v="TR0177"/>
        <s v="TR0073"/>
        <s v="TR0011"/>
        <s v="TR0030"/>
        <s v="TR0098"/>
        <s v="TR0058"/>
        <s v="TR0143"/>
        <s v="TR0157"/>
        <s v="TR0076"/>
        <s v="TR0176"/>
        <s v="TR0189"/>
        <s v="TR0147"/>
        <s v="TR0007"/>
        <s v="TR0081"/>
        <s v="TR0102"/>
        <s v="TR0153"/>
        <s v="TR0172"/>
        <s v="TR0050"/>
        <s v="TR0129"/>
        <s v="TR0068"/>
        <s v="TR0106"/>
        <s v="TR0156"/>
        <s v="TR0197"/>
        <s v="TR0144"/>
        <s v="TR0100"/>
        <s v="TR0164"/>
        <s v="TR0151"/>
        <s v="TR0046"/>
        <s v="TR0031"/>
        <s v="TR0148"/>
        <s v="TR0032"/>
        <s v="TR0019"/>
        <s v="TR0006"/>
        <s v="TR0022"/>
        <s v="TR0003"/>
        <s v="TR0121"/>
        <s v="TR0175"/>
        <s v="TR0060"/>
        <s v="TR0094"/>
        <s v="TR0135"/>
        <s v="TR0133"/>
        <s v="TR0040"/>
        <s v="TR0124"/>
        <s v="TR0115"/>
        <s v="TR0038"/>
        <s v="TR0181"/>
        <s v="TR0018"/>
        <s v="TR0110"/>
        <s v="TR0191"/>
        <s v="TR0130"/>
        <s v="TR0080"/>
        <s v="TR0008"/>
        <s v="TR0017"/>
        <s v="TR0103"/>
        <s v="TR0152"/>
        <s v="TR0149"/>
        <s v="TR0160"/>
        <s v="TR0146"/>
        <s v="TR0014"/>
        <s v="TR0190"/>
        <s v="TR0186"/>
        <s v="TR0066"/>
        <s v="TR0065"/>
        <s v="TR0063"/>
        <s v="TR0062"/>
        <s v="TR0132"/>
        <s v="TR0021"/>
        <s v="TR0155"/>
        <s v="TR0196"/>
        <s v="TR0111"/>
        <s v="TR0173"/>
        <s v="TR0090"/>
        <s v="TR0044"/>
        <s v="TR0087"/>
        <s v="TR0119"/>
        <s v="TR0054"/>
        <s v="TR0117"/>
        <s v="TR0051"/>
        <s v="TR0074"/>
        <s v="TR0116"/>
        <s v="TR0118"/>
        <s v="TR0069"/>
        <s v="TR0170"/>
        <s v="TR0078"/>
        <s v="TR0023"/>
        <s v="TR0086"/>
        <s v="TR0108"/>
        <s v="TR0139"/>
        <s v="TR0042"/>
        <s v="TR0095"/>
        <s v="TR0154"/>
        <s v="TR0033"/>
        <s v="TR0134"/>
        <s v="TR0092"/>
        <s v="TR0072"/>
        <s v="TR0027"/>
        <s v="TR0053"/>
        <s v="TR0045"/>
        <s v="TR0187"/>
        <s v="TR0131"/>
        <s v="TR0193"/>
        <s v="TR0057"/>
        <s v="TR0188"/>
        <s v="TR0079"/>
        <s v="TR0182"/>
        <s v="TR0001"/>
        <s v="TR0101"/>
        <s v="TR0127"/>
        <s v="TR0199"/>
        <s v="TR0070"/>
        <s v="TR0112"/>
        <s v="TR0105"/>
        <s v="TR0091"/>
        <s v="TR0125"/>
        <s v="TR0064"/>
        <s v="TR0114"/>
        <s v="TR0099"/>
        <s v="TR0137"/>
        <s v="TR0122"/>
        <s v="TR0128"/>
        <s v="TR0083"/>
        <s v="TR0088"/>
        <s v="TR0159"/>
        <s v="TR0141"/>
        <s v="TR0013"/>
        <s v="TR0012"/>
        <s v="TR0192"/>
        <s v="TR0140"/>
        <s v="TR0043"/>
        <s v="TR0041"/>
        <s v="TR0167"/>
        <m/>
      </sharedItems>
    </cacheField>
    <cacheField name="Dose_Ad" numFmtId="0">
      <sharedItems containsString="0" containsBlank="1" containsNumber="1" containsInteger="1" minValue="0" maxValue="200" count="5">
        <n v="200"/>
        <n v="100"/>
        <n v="150"/>
        <n v="50"/>
        <m/>
      </sharedItems>
    </cacheField>
    <cacheField name="Treatment_Outcome" numFmtId="0">
      <sharedItems containsBlank="1" count="4">
        <s v="Improved"/>
        <s v="No Change"/>
        <s v="Deteriorated"/>
        <m/>
      </sharedItems>
    </cacheField>
    <cacheField name="Side_Effects" numFmtId="0">
      <sharedItems containsBlank="1" count="6">
        <s v="Headache"/>
        <s v="Fatigue"/>
        <s v="Dizziness"/>
        <s v="Nausea"/>
        <s v="None"/>
        <m/>
      </sharedItems>
    </cacheField>
    <cacheField name="Duration_of_Treatment" numFmtId="0">
      <sharedItems containsString="0" containsBlank="1" containsNumber="1" containsInteger="1" minValue="0" maxValue="180" count="152">
        <n v="95"/>
        <n v="90"/>
        <n v="64"/>
        <n v="159"/>
        <n v="44"/>
        <n v="76"/>
        <n v="138"/>
        <n v="42"/>
        <n v="86"/>
        <n v="77"/>
        <n v="124"/>
        <n v="152"/>
        <n v="47"/>
        <n v="103"/>
        <n v="50"/>
        <n v="99"/>
        <n v="108"/>
        <n v="129"/>
        <n v="156"/>
        <n v="131"/>
        <n v="134"/>
        <n v="57"/>
        <n v="180"/>
        <n v="111"/>
        <n v="59"/>
        <n v="91"/>
        <n v="145"/>
        <n v="104"/>
        <n v="93"/>
        <n v="166"/>
        <n v="130"/>
        <n v="46"/>
        <n v="142"/>
        <n v="139"/>
        <n v="56"/>
        <n v="135"/>
        <n v="102"/>
        <n v="63"/>
        <n v="136"/>
        <n v="109"/>
        <n v="96"/>
        <n v="72"/>
        <n v="87"/>
        <n v="113"/>
        <n v="89"/>
        <n v="163"/>
        <n v="74"/>
        <n v="80"/>
        <n v="101"/>
        <n v="127"/>
        <n v="174"/>
        <n v="45"/>
        <n v="121"/>
        <n v="117"/>
        <n v="78"/>
        <n v="82"/>
        <n v="97"/>
        <n v="81"/>
        <n v="132"/>
        <n v="112"/>
        <n v="37"/>
        <n v="75"/>
        <n v="151"/>
        <n v="160"/>
        <n v="65"/>
        <n v="105"/>
        <n v="148"/>
        <n v="143"/>
        <n v="157"/>
        <n v="58"/>
        <n v="110"/>
        <n v="146"/>
        <n v="68"/>
        <n v="133"/>
        <n v="53"/>
        <n v="30"/>
        <n v="60"/>
        <n v="153"/>
        <n v="168"/>
        <n v="43"/>
        <n v="126"/>
        <n v="48"/>
        <n v="161"/>
        <n v="170"/>
        <n v="178"/>
        <n v="40"/>
        <n v="94"/>
        <n v="176"/>
        <n v="179"/>
        <n v="32"/>
        <n v="120"/>
        <n v="31"/>
        <n v="38"/>
        <n v="55"/>
        <n v="85"/>
        <n v="70"/>
        <n v="118"/>
        <n v="149"/>
        <n v="175"/>
        <n v="125"/>
        <n v="141"/>
        <n v="144"/>
        <n v="154"/>
        <n v="119"/>
        <n v="155"/>
        <n v="167"/>
        <n v="158"/>
        <n v="51"/>
        <n v="137"/>
        <n v="106"/>
        <n v="83"/>
        <n v="115"/>
        <n v="52"/>
        <n v="54"/>
        <n v="67"/>
        <n v="122"/>
        <n v="36"/>
        <n v="49"/>
        <n v="39"/>
        <n v="33"/>
        <n v="100"/>
        <n v="147"/>
        <n v="177"/>
        <n v="173"/>
        <n v="150"/>
        <n v="34"/>
        <n v="69"/>
        <n v="116"/>
        <n v="92"/>
        <n v="35"/>
        <n v="114"/>
        <n v="88"/>
        <n v="62"/>
        <n v="61"/>
        <n v="79"/>
        <n v="164"/>
        <n v="123"/>
        <n v="107"/>
        <n v="66"/>
        <n v="98"/>
        <n v="128"/>
        <n v="165"/>
        <n v="171"/>
        <n v="140"/>
        <n v="71"/>
        <n v="169"/>
        <n v="73"/>
        <n v="162"/>
        <n v="172"/>
        <n v="41"/>
        <n v="84"/>
        <m/>
      </sharedItems>
    </cacheField>
    <cacheField name="Success_Indicator" numFmtId="0">
      <sharedItems containsString="0" containsBlank="1" containsNumber="1" containsInteger="1" minValue="0" maxValue="1" count="3">
        <n v="1"/>
        <n v="0"/>
        <m/>
      </sharedItems>
    </cacheField>
    <cacheField name="Gene_Name" numFmtId="0">
      <sharedItems containsBlank="1" count="6">
        <s v="BRCA2"/>
        <s v="HER2"/>
        <s v="EGFR"/>
        <s v="BRCA1"/>
        <s v="TP53"/>
        <m/>
      </sharedItems>
    </cacheField>
    <cacheField name="Mutation_Status" numFmtId="0">
      <sharedItems containsBlank="1" count="3">
        <s v="Positive"/>
        <s v="Negative"/>
        <m/>
      </sharedItems>
    </cacheField>
    <cacheField name="Expression_Level" numFmtId="0">
      <sharedItems containsString="0" containsBlank="1" containsNumber="1" minValue="0" maxValue="4.98" count="373">
        <n v="3.79"/>
        <n v="1.65"/>
        <n v="3.45"/>
        <n v="1.11"/>
        <n v="3.38"/>
        <n v="2.87"/>
        <n v="4.25"/>
        <n v="4.78"/>
        <n v="4.82"/>
        <n v="2.43"/>
        <n v="3.08"/>
        <n v="2.61"/>
        <n v="3.82"/>
        <n v="3.36"/>
        <n v="3.06"/>
        <n v="4.8"/>
        <n v="2.84"/>
        <n v="1.96"/>
        <n v="1.56"/>
        <n v="2.9"/>
        <n v="1.68"/>
        <n v="1.16"/>
        <n v="4.68"/>
        <n v="1.74"/>
        <n v="2.48"/>
        <n v="3.85"/>
        <n v="2.79"/>
        <n v="1.08"/>
        <n v="4.56"/>
        <n v="1.35"/>
        <n v="1.51"/>
        <n v="2.42"/>
        <n v="1.61"/>
        <n v="1.69"/>
        <n v="4.93"/>
        <n v="4.27"/>
        <n v="3.23"/>
        <n v="2.29"/>
        <n v="3.44"/>
        <n v="3.13"/>
        <n v="4.96"/>
        <n v="4.04"/>
        <n v="4.72"/>
        <n v="4.75"/>
        <n v="4.37"/>
        <n v="1.66"/>
        <n v="4.51"/>
        <n v="2.85"/>
        <n v="4.6"/>
        <n v="1.47"/>
        <n v="4.18"/>
        <n v="3.28"/>
        <n v="1.44"/>
        <n v="1.6"/>
        <n v="3.78"/>
        <n v="4.63"/>
        <n v="4.49"/>
        <n v="3.83"/>
        <n v="3.95"/>
        <n v="4.94"/>
        <n v="4.21"/>
        <n v="1.9"/>
        <n v="2.68"/>
        <n v="1.05"/>
        <n v="2.66"/>
        <n v="1.27"/>
        <n v="1.76"/>
        <n v="4.1"/>
        <n v="3.24"/>
        <n v="2.49"/>
        <n v="1.62"/>
        <n v="1.92"/>
        <n v="1.71"/>
        <n v="3.89"/>
        <n v="1.82"/>
        <n v="1.83"/>
        <n v="4.57"/>
        <n v="2.74"/>
        <n v="4.47"/>
        <n v="1.09"/>
        <n v="2.09"/>
        <n v="2.1"/>
        <n v="1.04"/>
        <n v="3.4"/>
        <n v="2.53"/>
        <n v="1.33"/>
        <n v="3.65"/>
        <n v="2.05"/>
        <n v="2.34"/>
        <n v="2.98"/>
        <n v="4.2"/>
        <n v="1.37"/>
        <n v="3.64"/>
        <n v="1.88"/>
        <n v="4.7"/>
        <n v="1.15"/>
        <n v="3.16"/>
        <n v="3.46"/>
        <n v="4.5"/>
        <n v="2.4"/>
        <n v="2.19"/>
        <n v="2.71"/>
        <n v="4.15"/>
        <n v="4.77"/>
        <n v="1.23"/>
        <n v="1.7"/>
        <n v="4.26"/>
        <n v="3.32"/>
        <n v="4.55"/>
        <n v="3.2"/>
        <n v="1.3"/>
        <n v="4.3"/>
        <n v="4.01"/>
        <n v="3.47"/>
        <n v="4.85"/>
        <n v="4.03"/>
        <n v="4.08"/>
        <n v="2.7"/>
        <n v="3.55"/>
        <n v="4.58"/>
        <n v="2.47"/>
        <n v="3.5"/>
        <n v="4.19"/>
        <n v="2.72"/>
        <n v="2.08"/>
        <n v="1.29"/>
        <n v="1.42"/>
        <n v="3.07"/>
        <n v="2.59"/>
        <n v="1.8"/>
        <n v="1.13"/>
        <n v="4.48"/>
        <n v="1.32"/>
        <n v="3.57"/>
        <n v="1.99"/>
        <n v="2.35"/>
        <n v="3.22"/>
        <n v="3.6"/>
        <n v="2.03"/>
        <n v="4.65"/>
        <n v="1.53"/>
        <n v="4.89"/>
        <n v="2.3"/>
        <n v="1.94"/>
        <n v="4.32"/>
        <n v="1.67"/>
        <n v="2.26"/>
        <n v="4.86"/>
        <n v="2.82"/>
        <n v="1.12"/>
        <n v="4.88"/>
        <n v="2.99"/>
        <n v="2.58"/>
        <n v="1.19"/>
        <n v="3.27"/>
        <n v="3.67"/>
        <n v="1.95"/>
        <n v="2.6"/>
        <n v="1.03"/>
        <n v="1.24"/>
        <n v="2.25"/>
        <n v="1.49"/>
        <n v="3.84"/>
        <n v="2.93"/>
        <n v="4.81"/>
        <n v="1.85"/>
        <n v="2.41"/>
        <n v="2.69"/>
        <n v="3.35"/>
        <n v="1.38"/>
        <n v="1.93"/>
        <n v="1.55"/>
        <n v="3.77"/>
        <n v="3.31"/>
        <n v="1.77"/>
        <n v="4.52"/>
        <n v="3.68"/>
        <n v="2.86"/>
        <n v="3.76"/>
        <n v="4.02"/>
        <n v="1.14"/>
        <n v="4.41"/>
        <n v="2.52"/>
        <n v="2.22"/>
        <n v="2.38"/>
        <n v="4.45"/>
        <n v="4.98"/>
        <n v="1.57"/>
        <n v="1.25"/>
        <n v="2.23"/>
        <n v="4.31"/>
        <n v="3.14"/>
        <n v="1.34"/>
        <n v="4.83"/>
        <n v="4.87"/>
        <n v="3.12"/>
        <n v="4.92"/>
        <n v="3.63"/>
        <n v="2.14"/>
        <n v="2.01"/>
        <n v="4.11"/>
        <n v="3.17"/>
        <n v="1.4"/>
        <n v="3.93"/>
        <n v="1.81"/>
        <n v="4.22"/>
        <n v="4.73"/>
        <n v="1.1"/>
        <n v="4.76"/>
        <n v="4.06"/>
        <n v="2.64"/>
        <n v="2.04"/>
        <n v="1.79"/>
        <n v="4.4"/>
        <n v="2.83"/>
        <n v="4.17"/>
        <n v="4.66"/>
        <n v="2.27"/>
        <n v="4.28"/>
        <n v="4.29"/>
        <n v="3.75"/>
        <n v="4.35"/>
        <n v="4.91"/>
        <n v="4.67"/>
        <n v="3.81"/>
        <n v="2.88"/>
        <n v="3.97"/>
        <n v="3.37"/>
        <n v="3.09"/>
        <n v="3.29"/>
        <n v="3.53"/>
        <n v="2.02"/>
        <n v="2.11"/>
        <n v="3.03"/>
        <n v="2.54"/>
        <n v="4"/>
        <n v="3.54"/>
        <n v="1.48"/>
        <n v="1.17"/>
        <n v="3.61"/>
        <n v="3.33"/>
        <n v="2.5"/>
        <n v="2.36"/>
        <n v="3.42"/>
        <n v="1.64"/>
        <n v="3.41"/>
        <n v="2.56"/>
        <n v="3.21"/>
        <n v="2.21"/>
        <n v="1.91"/>
        <n v="2.97"/>
        <n v="4.71"/>
        <n v="2.12"/>
        <n v="3.71"/>
        <n v="4.34"/>
        <n v="2.95"/>
        <n v="2.18"/>
        <n v="2.62"/>
        <n v="3.56"/>
        <n v="3.52"/>
        <n v="3.04"/>
        <n v="4.36"/>
        <n v="1.41"/>
        <n v="4.16"/>
        <n v="2.44"/>
        <n v="1.84"/>
        <n v="2.67"/>
        <n v="2.89"/>
        <n v="3.58"/>
        <n v="2.15"/>
        <n v="2.07"/>
        <n v="4.23"/>
        <n v="4.09"/>
        <n v="2.2"/>
        <n v="4.59"/>
        <n v="3.99"/>
        <n v="4.14"/>
        <n v="2.46"/>
        <n v="4.13"/>
        <n v="2.55"/>
        <n v="2.16"/>
        <n v="1.59"/>
        <n v="2.73"/>
        <n v="1.2"/>
        <n v="1.97"/>
        <n v="4.39"/>
        <n v="2.92"/>
        <n v="2.57"/>
        <n v="3.02"/>
        <n v="2.91"/>
        <n v="2.33"/>
        <n v="1.22"/>
        <n v="4.61"/>
        <n v="2.06"/>
        <n v="1.78"/>
        <n v="3.8"/>
        <n v="2.75"/>
        <n v="1.72"/>
        <n v="4.46"/>
        <n v="3.69"/>
        <n v="4.33"/>
        <n v="3.72"/>
        <n v="2.8"/>
        <n v="3.43"/>
        <n v="2.78"/>
        <n v="2.96"/>
        <n v="3.62"/>
        <n v="1.28"/>
        <n v="2.81"/>
        <n v="3.19"/>
        <n v="3.48"/>
        <n v="3.87"/>
        <n v="1.86"/>
        <n v="1.31"/>
        <n v="1.87"/>
        <n v="3.26"/>
        <n v="2.37"/>
        <n v="3.49"/>
        <n v="1.52"/>
        <n v="3.9"/>
        <n v="2.31"/>
        <n v="1.73"/>
        <n v="2.94"/>
        <n v="4.54"/>
        <n v="4.62"/>
        <n v="3.01"/>
        <n v="4.74"/>
        <n v="4.79"/>
        <n v="1.07"/>
        <n v="3.3"/>
        <n v="4.9"/>
        <n v="2.77"/>
        <n v="2.65"/>
        <n v="4.95"/>
        <n v="1.06"/>
        <n v="3.94"/>
        <n v="3.66"/>
        <n v="2.17"/>
        <n v="1.75"/>
        <n v="3.92"/>
        <n v="3.7"/>
        <n v="2.51"/>
        <n v="1.46"/>
        <n v="3.74"/>
        <n v="1.39"/>
        <n v="2.63"/>
        <n v="3.88"/>
        <n v="3"/>
        <n v="4.43"/>
        <n v="3.73"/>
        <n v="1.21"/>
        <n v="2.45"/>
        <n v="2"/>
        <n v="2.28"/>
        <n v="1"/>
        <n v="4.97"/>
        <n v="1.43"/>
        <n v="1.5"/>
        <n v="3.18"/>
        <n v="4.53"/>
        <n v="1.02"/>
        <n v="3.11"/>
        <n v="4.05"/>
        <n v="2.24"/>
        <n v="3.05"/>
        <n v="2.13"/>
        <n v="1.54"/>
        <n v="4.24"/>
        <n v="3.15"/>
        <n v="1.98"/>
        <n v="3.96"/>
        <n v="1.63"/>
        <m/>
      </sharedItems>
    </cacheField>
    <cacheField name="Biomarker_Level" numFmtId="0">
      <sharedItems containsString="0" containsBlank="1" containsNumber="1" minValue="0" maxValue="5" count="366">
        <n v="3.14"/>
        <n v="4.64"/>
        <n v="2.67"/>
        <n v="2.51"/>
        <n v="2.52"/>
        <n v="2.66"/>
        <n v="5"/>
        <n v="4.4"/>
        <n v="3.42"/>
        <n v="1.45"/>
        <n v="4.41"/>
        <n v="1.54"/>
        <n v="1.85"/>
        <n v="2.57"/>
        <n v="4.13"/>
        <n v="1.59"/>
        <n v="4.92"/>
        <n v="1.3"/>
        <n v="3.56"/>
        <n v="3.67"/>
        <n v="2.11"/>
        <n v="1.83"/>
        <n v="4.2"/>
        <n v="1.24"/>
        <n v="1.84"/>
        <n v="2.85"/>
        <n v="4.58"/>
        <n v="3.13"/>
        <n v="2.29"/>
        <n v="3.37"/>
        <n v="3.15"/>
        <n v="2.14"/>
        <n v="4.95"/>
        <n v="1.98"/>
        <n v="4.59"/>
        <n v="2.03"/>
        <n v="3.29"/>
        <n v="2.7"/>
        <n v="2.15"/>
        <n v="1.21"/>
        <n v="3.38"/>
        <n v="4.32"/>
        <n v="1.72"/>
        <n v="1.56"/>
        <n v="4.26"/>
        <n v="2.21"/>
        <n v="2.54"/>
        <n v="4.76"/>
        <n v="3.48"/>
        <n v="2.25"/>
        <n v="4.05"/>
        <n v="4.39"/>
        <n v="1.92"/>
        <n v="3.17"/>
        <n v="3.33"/>
        <n v="3.34"/>
        <n v="4.73"/>
        <n v="1.61"/>
        <n v="4.74"/>
        <n v="4.36"/>
        <n v="1.02"/>
        <n v="2.39"/>
        <n v="2.81"/>
        <n v="4.66"/>
        <n v="3.65"/>
        <n v="1.34"/>
        <n v="4"/>
        <n v="1.15"/>
        <n v="1.62"/>
        <n v="2.08"/>
        <n v="3.86"/>
        <n v="3.69"/>
        <n v="3.61"/>
        <n v="4.42"/>
        <n v="2.17"/>
        <n v="1.11"/>
        <n v="4.27"/>
        <n v="2.07"/>
        <n v="2.18"/>
        <n v="2.95"/>
        <n v="4.34"/>
        <n v="1.07"/>
        <n v="3.22"/>
        <n v="1.55"/>
        <n v="3.66"/>
        <n v="3.08"/>
        <n v="3.41"/>
        <n v="3.88"/>
        <n v="4.75"/>
        <n v="4.08"/>
        <n v="3.75"/>
        <n v="3.78"/>
        <n v="4.67"/>
        <n v="3.77"/>
        <n v="2.19"/>
        <n v="4.45"/>
        <n v="3.39"/>
        <n v="2.36"/>
        <n v="4.16"/>
        <n v="1.93"/>
        <n v="3.12"/>
        <n v="4.07"/>
        <n v="4.94"/>
        <n v="1.96"/>
        <n v="1.36"/>
        <n v="3.45"/>
        <n v="3.6"/>
        <n v="1.88"/>
        <n v="4.88"/>
        <n v="2.58"/>
        <n v="1.9"/>
        <n v="1.37"/>
        <n v="4.82"/>
        <n v="1.35"/>
        <n v="2.98"/>
        <n v="4.19"/>
        <n v="4.35"/>
        <n v="1.63"/>
        <n v="1.52"/>
        <n v="4.33"/>
        <n v="4.12"/>
        <n v="2.37"/>
        <n v="4.89"/>
        <n v="1.1"/>
        <n v="3.73"/>
        <n v="1.33"/>
        <n v="1.6"/>
        <n v="2.59"/>
        <n v="4.46"/>
        <n v="4.11"/>
        <n v="2.93"/>
        <n v="1.8"/>
        <n v="4.44"/>
        <n v="1.97"/>
        <n v="3.81"/>
        <n v="1.53"/>
        <n v="1.67"/>
        <n v="3.11"/>
        <n v="1.64"/>
        <n v="1.73"/>
        <n v="2.38"/>
        <n v="3.31"/>
        <n v="4.6"/>
        <n v="2.78"/>
        <n v="2.56"/>
        <n v="4.09"/>
        <n v="1.29"/>
        <n v="2.72"/>
        <n v="4.38"/>
        <n v="1.16"/>
        <n v="3.03"/>
        <n v="3.06"/>
        <n v="2.23"/>
        <n v="1.38"/>
        <n v="3.47"/>
        <n v="3.76"/>
        <n v="4.91"/>
        <n v="3.95"/>
        <n v="4.23"/>
        <n v="1.48"/>
        <n v="2.49"/>
        <n v="2.92"/>
        <n v="3.32"/>
        <n v="3.87"/>
        <n v="3.59"/>
        <n v="3.44"/>
        <n v="1.43"/>
        <n v="4.22"/>
        <n v="1.95"/>
        <n v="1.09"/>
        <n v="4.97"/>
        <n v="2.1"/>
        <n v="1.27"/>
        <n v="4.98"/>
        <n v="2.6"/>
        <n v="4.37"/>
        <n v="1.51"/>
        <n v="4.51"/>
        <n v="1.32"/>
        <n v="4.9"/>
        <n v="4.69"/>
        <n v="3.01"/>
        <n v="2.73"/>
        <n v="1.25"/>
        <n v="1.23"/>
        <n v="1.49"/>
        <n v="3.04"/>
        <n v="3.5"/>
        <n v="2.8"/>
        <n v="3.93"/>
        <n v="1.08"/>
        <n v="1.86"/>
        <n v="4.84"/>
        <n v="4.14"/>
        <n v="4.61"/>
        <n v="3.55"/>
        <n v="4.06"/>
        <n v="1.17"/>
        <n v="4.02"/>
        <n v="3.62"/>
        <n v="3.36"/>
        <n v="4.49"/>
        <n v="1.04"/>
        <n v="2.61"/>
        <n v="3.46"/>
        <n v="4.83"/>
        <n v="4.54"/>
        <n v="1.01"/>
        <n v="3.35"/>
        <n v="3.25"/>
        <n v="2.34"/>
        <n v="2.76"/>
        <n v="3.57"/>
        <n v="2.64"/>
        <n v="1.74"/>
        <n v="2.04"/>
        <n v="4.21"/>
        <n v="3.91"/>
        <n v="1.99"/>
        <n v="3.24"/>
        <n v="3.92"/>
        <n v="3.26"/>
        <n v="1.46"/>
        <n v="2.94"/>
        <n v="3.05"/>
        <n v="1.81"/>
        <n v="1.26"/>
        <n v="1.42"/>
        <n v="4.86"/>
        <n v="4.43"/>
        <n v="3.02"/>
        <n v="3.54"/>
        <n v="1.05"/>
        <n v="3.16"/>
        <n v="2.84"/>
        <n v="1.7"/>
        <n v="1.57"/>
        <n v="1.28"/>
        <n v="2.12"/>
        <n v="4.48"/>
        <n v="4.63"/>
        <n v="1.44"/>
        <n v="1.19"/>
        <n v="4.57"/>
        <n v="1.14"/>
        <n v="3.07"/>
        <n v="3.97"/>
        <n v="2.45"/>
        <n v="4.5"/>
        <n v="4.28"/>
        <n v="2.82"/>
        <n v="3.71"/>
        <n v="4.65"/>
        <n v="2.69"/>
        <n v="2.48"/>
        <n v="2.46"/>
        <n v="4.31"/>
        <n v="4.87"/>
        <n v="4.52"/>
        <n v="4.53"/>
        <n v="3.96"/>
        <n v="1.31"/>
        <n v="3.09"/>
        <n v="3.83"/>
        <n v="4.62"/>
        <n v="4.55"/>
        <n v="2.09"/>
        <n v="1.22"/>
        <n v="2.44"/>
        <n v="3.82"/>
        <n v="2.47"/>
        <n v="4.29"/>
        <n v="1.5"/>
        <n v="2.9"/>
        <n v="3.7"/>
        <n v="2.88"/>
        <n v="1.03"/>
        <n v="1.18"/>
        <n v="4.03"/>
        <n v="3"/>
        <n v="1.91"/>
        <n v="4.15"/>
        <n v="2.13"/>
        <n v="4.79"/>
        <n v="2.99"/>
        <n v="3.85"/>
        <n v="3.64"/>
        <n v="3.79"/>
        <n v="1.65"/>
        <n v="1.94"/>
        <n v="4.78"/>
        <n v="1.06"/>
        <n v="2.63"/>
        <n v="3.99"/>
        <n v="3.89"/>
        <n v="4.68"/>
        <n v="4.71"/>
        <n v="2.16"/>
        <n v="2.43"/>
        <n v="1.66"/>
        <n v="3.43"/>
        <n v="2.55"/>
        <n v="4.99"/>
        <n v="3.63"/>
        <n v="2.3"/>
        <n v="4.04"/>
        <n v="4.3"/>
        <n v="3.49"/>
        <n v="4.96"/>
        <n v="2.42"/>
        <n v="4.24"/>
        <n v="3.3"/>
        <n v="1.78"/>
        <n v="3.28"/>
        <n v="3.23"/>
        <n v="1"/>
        <n v="1.2"/>
        <n v="1.69"/>
        <n v="4.72"/>
        <n v="3.1"/>
        <n v="4.85"/>
        <n v="3.94"/>
        <n v="2.31"/>
        <n v="2.83"/>
        <n v="2.87"/>
        <n v="1.13"/>
        <n v="1.47"/>
        <n v="2.65"/>
        <n v="3.18"/>
        <n v="2.5"/>
        <n v="2.32"/>
        <n v="2.71"/>
        <n v="3.72"/>
        <n v="1.87"/>
        <n v="1.41"/>
        <n v="2"/>
        <n v="2.91"/>
        <n v="3.4"/>
        <n v="2.53"/>
        <n v="4.8"/>
        <n v="3.19"/>
        <n v="2.4"/>
        <n v="2.89"/>
        <n v="1.79"/>
        <n v="2.02"/>
        <n v="3.98"/>
        <n v="2.33"/>
        <n v="1.76"/>
        <n v="1.75"/>
        <n v="4.81"/>
        <n v="1.58"/>
        <n v="2.86"/>
        <n v="1.82"/>
        <n v="2.74"/>
        <n v="2.96"/>
        <n v="2.75"/>
        <n v="4.7"/>
        <n v="3.8"/>
        <n v="4.93"/>
        <n v="2.68"/>
        <n v="2.27"/>
        <n v="1.68"/>
        <n v="2.41"/>
        <n v="2.24"/>
        <n v="4.01"/>
        <m/>
      </sharedItems>
    </cacheField>
    <cacheField name="Efficacy_Score" numFmtId="0">
      <sharedItems containsString="0" containsBlank="1" containsNumber="1" minValue="0" maxValue="10" count="92">
        <n v="3.8"/>
        <n v="8.4"/>
        <n v="9.4"/>
        <n v="8.3"/>
        <n v="9.7"/>
        <n v="3.5"/>
        <n v="10"/>
        <n v="3.2"/>
        <n v="3.1"/>
        <n v="7"/>
        <n v="6"/>
        <n v="1.3"/>
        <n v="2.2"/>
        <n v="4.9"/>
        <n v="4.6"/>
        <n v="9.3"/>
        <n v="5.4"/>
        <n v="2.6"/>
        <n v="4.3"/>
        <n v="6.7"/>
        <n v="7.7"/>
        <n v="5.6"/>
        <n v="2.9"/>
        <n v="7.1"/>
        <n v="6.3"/>
        <n v="6.5"/>
        <n v="2.4"/>
        <n v="1.7"/>
        <n v="2.5"/>
        <n v="6.2"/>
        <n v="4"/>
        <n v="5.2"/>
        <n v="1.6"/>
        <n v="8.2"/>
        <n v="5.9"/>
        <n v="6.6"/>
        <n v="5.8"/>
        <n v="8.9"/>
        <n v="2.1"/>
        <n v="7.5"/>
        <n v="3.3"/>
        <n v="6.1"/>
        <n v="4.1"/>
        <n v="2.3"/>
        <n v="5.7"/>
        <n v="6.8"/>
        <n v="6.9"/>
        <n v="1.2"/>
        <n v="8.5"/>
        <n v="9.1"/>
        <n v="9.5"/>
        <n v="9.9"/>
        <n v="9.2"/>
        <n v="1.4"/>
        <n v="3.7"/>
        <n v="7.6"/>
        <n v="1.5"/>
        <n v="2"/>
        <n v="3.4"/>
        <n v="8.6"/>
        <n v="3.9"/>
        <n v="7.9"/>
        <n v="4.8"/>
        <n v="2.7"/>
        <n v="9"/>
        <n v="7.8"/>
        <n v="3"/>
        <n v="8.8"/>
        <n v="4.7"/>
        <n v="5.5"/>
        <n v="7.3"/>
        <n v="5"/>
        <n v="5.3"/>
        <n v="8"/>
        <n v="4.2"/>
        <n v="1.9"/>
        <n v="8.1"/>
        <n v="8.7"/>
        <n v="9.6"/>
        <n v="7.4"/>
        <n v="6.4"/>
        <n v="2.8"/>
        <n v="1.1"/>
        <n v="5.1"/>
        <n v="9.8"/>
        <n v="1"/>
        <n v="7.2"/>
        <n v="1.8"/>
        <n v="4.5"/>
        <n v="4.4"/>
        <n v="3.6"/>
        <m/>
      </sharedItems>
    </cacheField>
    <cacheField name="Survival_Rate" numFmtId="0">
      <sharedItems containsString="0" containsBlank="1" containsNumber="1" minValue="0" maxValue="24" count="181">
        <n v="20.6"/>
        <n v="23.1"/>
        <n v="21.6"/>
        <n v="23.8"/>
        <n v="21.2"/>
        <n v="7"/>
        <n v="16"/>
        <n v="14.1"/>
        <n v="18.1"/>
        <n v="15.4"/>
        <n v="16.1"/>
        <n v="19.6"/>
        <n v="6.3"/>
        <n v="22.3"/>
        <n v="17.2"/>
        <n v="14.9"/>
        <n v="11.9"/>
        <n v="8.3"/>
        <n v="12.2"/>
        <n v="9.5"/>
        <n v="7.6"/>
        <n v="15.1"/>
        <n v="7.5"/>
        <n v="20.5"/>
        <n v="14.7"/>
        <n v="6.7"/>
        <n v="15.6"/>
        <n v="10.8"/>
        <n v="20.2"/>
        <n v="19.4"/>
        <n v="17.6"/>
        <n v="10.3"/>
        <n v="9.4"/>
        <n v="23.5"/>
        <n v="18"/>
        <n v="19.9"/>
        <n v="10.4"/>
        <n v="8.8"/>
        <n v="8.4"/>
        <n v="10.6"/>
        <n v="13.4"/>
        <n v="8.2"/>
        <n v="19.3"/>
        <n v="9.6"/>
        <n v="13.9"/>
        <n v="15"/>
        <n v="12"/>
        <n v="22.1"/>
        <n v="13.2"/>
        <n v="19"/>
        <n v="14.3"/>
        <n v="17"/>
        <n v="18.5"/>
        <n v="16.9"/>
        <n v="22.6"/>
        <n v="9.2"/>
        <n v="16.5"/>
        <n v="23.3"/>
        <n v="22.2"/>
        <n v="16.2"/>
        <n v="21.5"/>
        <n v="6.5"/>
        <n v="7.9"/>
        <n v="7.8"/>
        <n v="13.1"/>
        <n v="6.2"/>
        <n v="10.7"/>
        <n v="19.7"/>
        <n v="20.4"/>
        <n v="17.4"/>
        <n v="15.5"/>
        <n v="8.1"/>
        <n v="20.9"/>
        <n v="21.7"/>
        <n v="22.5"/>
        <n v="9"/>
        <n v="13"/>
        <n v="9.9"/>
        <n v="7.4"/>
        <n v="16.6"/>
        <n v="19.2"/>
        <n v="10.5"/>
        <n v="11.7"/>
        <n v="7.2"/>
        <n v="17.3"/>
        <n v="14.6"/>
        <n v="13.5"/>
        <n v="12.4"/>
        <n v="21.8"/>
        <n v="15.2"/>
        <n v="20"/>
        <n v="22.7"/>
        <n v="15.7"/>
        <n v="12.7"/>
        <n v="10"/>
        <n v="21.3"/>
        <n v="18.2"/>
        <n v="6.1"/>
        <n v="22.8"/>
        <n v="11.4"/>
        <n v="19.5"/>
        <n v="11.8"/>
        <n v="10.9"/>
        <n v="20.3"/>
        <n v="17.8"/>
        <n v="23"/>
        <n v="23.7"/>
        <n v="6.6"/>
        <n v="23.4"/>
        <n v="14.2"/>
        <n v="16.8"/>
        <n v="8.6"/>
        <n v="18.4"/>
        <n v="17.5"/>
        <n v="12.1"/>
        <n v="20.7"/>
        <n v="17.9"/>
        <n v="23.9"/>
        <n v="7.3"/>
        <n v="19.1"/>
        <n v="11"/>
        <n v="12.5"/>
        <n v="17.1"/>
        <n v="8.7"/>
        <n v="14"/>
        <n v="16.3"/>
        <n v="13.3"/>
        <n v="12.8"/>
        <n v="9.3"/>
        <n v="6.8"/>
        <n v="21.9"/>
        <n v="21.1"/>
        <n v="13.7"/>
        <n v="10.2"/>
        <n v="23.2"/>
        <n v="7.7"/>
        <n v="20.1"/>
        <n v="9.1"/>
        <n v="20.8"/>
        <n v="12.6"/>
        <n v="8"/>
        <n v="14.8"/>
        <n v="11.3"/>
        <n v="6.4"/>
        <n v="22"/>
        <n v="15.8"/>
        <n v="9.7"/>
        <n v="18.7"/>
        <n v="12.9"/>
        <n v="15.3"/>
        <n v="8.5"/>
        <n v="6.9"/>
        <n v="10.1"/>
        <n v="17.7"/>
        <n v="22.4"/>
        <n v="21.4"/>
        <n v="11.5"/>
        <n v="18.6"/>
        <n v="13.6"/>
        <n v="11.6"/>
        <n v="16.7"/>
        <n v="13.8"/>
        <n v="11.2"/>
        <n v="21"/>
        <n v="12.3"/>
        <n v="11.1"/>
        <n v="9.8"/>
        <n v="14.4"/>
        <n v="8.9"/>
        <n v="18.9"/>
        <n v="23.6"/>
        <n v="19.8"/>
        <n v="16.4"/>
        <n v="22.9"/>
        <n v="18.8"/>
        <n v="7.1"/>
        <n v="6"/>
        <n v="18.3"/>
        <n v="14.5"/>
        <n v="24"/>
        <m/>
      </sharedItems>
    </cacheField>
    <cacheField name="Progression_Free_Survival" numFmtId="0">
      <sharedItems containsString="0" containsBlank="1" containsNumber="1" minValue="0" maxValue="20" count="171">
        <n v="14.6"/>
        <n v="15.3"/>
        <n v="3.8"/>
        <n v="5.6"/>
        <n v="17.3"/>
        <n v="17.7"/>
        <n v="16.1"/>
        <n v="5.2"/>
        <n v="13.5"/>
        <n v="17.9"/>
        <n v="9"/>
        <n v="8.9"/>
        <n v="7.4"/>
        <n v="13.8"/>
        <n v="18.2"/>
        <n v="3.7"/>
        <n v="5.1"/>
        <n v="14.7"/>
        <n v="15.7"/>
        <n v="7.3"/>
        <n v="4.8"/>
        <n v="9.4"/>
        <n v="5"/>
        <n v="11.5"/>
        <n v="10.3"/>
        <n v="12.7"/>
        <n v="4.7"/>
        <n v="7.8"/>
        <n v="10"/>
        <n v="18.8"/>
        <n v="6.2"/>
        <n v="11.2"/>
        <n v="4.1"/>
        <n v="15.4"/>
        <n v="12.8"/>
        <n v="5.8"/>
        <n v="9.1"/>
        <n v="6.9"/>
        <n v="13.6"/>
        <n v="5.4"/>
        <n v="16.4"/>
        <n v="3.6"/>
        <n v="17"/>
        <n v="16.6"/>
        <n v="13.9"/>
        <n v="6.1"/>
        <n v="19.1"/>
        <n v="3.3"/>
        <n v="18.7"/>
        <n v="10.2"/>
        <n v="4.9"/>
        <n v="17.8"/>
        <n v="8.7"/>
        <n v="12.1"/>
        <n v="10.7"/>
        <n v="13.7"/>
        <n v="5.5"/>
        <n v="13.1"/>
        <n v="6.5"/>
        <n v="9.8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9"/>
        <n v="10.6"/>
        <n v="16.7"/>
        <n v="11.3"/>
        <n v="15"/>
        <n v="17.1"/>
        <n v="4.3"/>
        <n v="8.4"/>
        <n v="18.1"/>
        <n v="20"/>
        <n v="19.8"/>
        <n v="19.9"/>
        <n v="14.1"/>
        <n v="7.5"/>
        <n v="5.7"/>
        <n v="12.2"/>
        <n v="14.8"/>
        <n v="7.6"/>
        <n v="15.9"/>
        <n v="12.9"/>
        <n v="3.2"/>
        <n v="8"/>
        <n v="8.5"/>
        <n v="15.1"/>
        <n v="4"/>
        <n v="19.6"/>
        <n v="15.6"/>
        <n v="7"/>
        <n v="7.2"/>
        <n v="14.2"/>
        <n v="14.3"/>
        <n v="12"/>
        <n v="18.9"/>
        <n v="16.3"/>
        <n v="8.6"/>
        <n v="10.4"/>
        <n v="13.3"/>
        <n v="16"/>
        <n v="6.3"/>
        <n v="11.9"/>
        <n v="19.4"/>
        <n v="18.3"/>
        <n v="6.7"/>
        <n v="12.3"/>
        <n v="15.2"/>
        <n v="4.2"/>
        <n v="6"/>
        <n v="5.3"/>
        <n v="9.2"/>
        <n v="10.5"/>
        <n v="9.7"/>
        <n v="11.8"/>
        <n v="4.4"/>
        <n v="16.8"/>
        <n v="19"/>
        <n v="14"/>
        <n v="18.6"/>
        <n v="19.7"/>
        <n v="12.6"/>
        <n v="16.5"/>
        <n v="14.5"/>
        <n v="8.1"/>
        <n v="15.8"/>
        <n v="17.6"/>
        <n v="17.4"/>
        <n v="3.9"/>
        <n v="18"/>
        <n v="11"/>
        <n v="11.7"/>
        <n v="18.5"/>
        <n v="17.5"/>
        <n v="19.2"/>
        <n v="3.1"/>
        <n v="8.8"/>
        <n v="11.6"/>
        <n v="9.6"/>
        <n v="19.3"/>
        <n v="10.9"/>
        <n v="9.9"/>
        <n v="6.4"/>
        <n v="13"/>
        <n v="3"/>
        <n v="8.3"/>
        <n v="14.9"/>
        <n v="10.8"/>
        <n v="6.6"/>
        <n v="9.3"/>
        <n v="17.2"/>
        <n v="8.2"/>
        <n v="11.4"/>
        <n v="19.5"/>
        <n v="7.7"/>
        <n v="13.4"/>
        <n v="12.5"/>
        <n v="4.6"/>
        <n v="16.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86.2305902778" refreshedBy="vnaga" recordCount="1001">
  <cacheSource type="worksheet">
    <worksheetSource ref="C1:C1048576" sheet="Main Sheet"/>
  </cacheSource>
  <cacheFields count="1">
    <cacheField name="Gender" numFmtId="0">
      <sharedItems containsBlank="1" count="4">
        <s v="Male"/>
        <s v="Female"/>
        <s v="Othe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03.6446875" refreshedBy="vnaga" recordCount="1000">
  <cacheSource type="worksheet">
    <worksheetSource ref="A1:Z1001" sheet="Main Sheet"/>
  </cacheSource>
  <cacheFields count="26">
    <cacheField name="Patient_ID" numFmtId="0">
      <sharedItems count="10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  <s v="P501"/>
        <s v="P502"/>
        <s v="P503"/>
        <s v="P504"/>
        <s v="P505"/>
        <s v="P506"/>
        <s v="P507"/>
        <s v="P508"/>
        <s v="P509"/>
        <s v="P510"/>
        <s v="P511"/>
        <s v="P512"/>
        <s v="P513"/>
        <s v="P514"/>
        <s v="P515"/>
        <s v="P516"/>
        <s v="P517"/>
        <s v="P518"/>
        <s v="P519"/>
        <s v="P520"/>
        <s v="P521"/>
        <s v="P522"/>
        <s v="P523"/>
        <s v="P524"/>
        <s v="P525"/>
        <s v="P526"/>
        <s v="P527"/>
        <s v="P528"/>
        <s v="P529"/>
        <s v="P530"/>
        <s v="P531"/>
        <s v="P532"/>
        <s v="P533"/>
        <s v="P534"/>
        <s v="P535"/>
        <s v="P536"/>
        <s v="P537"/>
        <s v="P538"/>
        <s v="P539"/>
        <s v="P540"/>
        <s v="P541"/>
        <s v="P542"/>
        <s v="P543"/>
        <s v="P544"/>
        <s v="P545"/>
        <s v="P546"/>
        <s v="P547"/>
        <s v="P548"/>
        <s v="P549"/>
        <s v="P550"/>
        <s v="P551"/>
        <s v="P552"/>
        <s v="P553"/>
        <s v="P554"/>
        <s v="P555"/>
        <s v="P556"/>
        <s v="P557"/>
        <s v="P558"/>
        <s v="P559"/>
        <s v="P560"/>
        <s v="P561"/>
        <s v="P562"/>
        <s v="P563"/>
        <s v="P564"/>
        <s v="P565"/>
        <s v="P566"/>
        <s v="P567"/>
        <s v="P568"/>
        <s v="P569"/>
        <s v="P570"/>
        <s v="P571"/>
        <s v="P572"/>
        <s v="P573"/>
        <s v="P574"/>
        <s v="P575"/>
        <s v="P576"/>
        <s v="P577"/>
        <s v="P578"/>
        <s v="P579"/>
        <s v="P580"/>
        <s v="P581"/>
        <s v="P582"/>
        <s v="P583"/>
        <s v="P584"/>
        <s v="P585"/>
        <s v="P586"/>
        <s v="P587"/>
        <s v="P588"/>
        <s v="P589"/>
        <s v="P590"/>
        <s v="P591"/>
        <s v="P592"/>
        <s v="P593"/>
        <s v="P594"/>
        <s v="P595"/>
        <s v="P596"/>
        <s v="P597"/>
        <s v="P598"/>
        <s v="P599"/>
        <s v="P600"/>
        <s v="P601"/>
        <s v="P602"/>
        <s v="P603"/>
        <s v="P604"/>
        <s v="P605"/>
        <s v="P606"/>
        <s v="P607"/>
        <s v="P608"/>
        <s v="P609"/>
        <s v="P610"/>
        <s v="P611"/>
        <s v="P612"/>
        <s v="P613"/>
        <s v="P614"/>
        <s v="P615"/>
        <s v="P616"/>
        <s v="P617"/>
        <s v="P618"/>
        <s v="P619"/>
        <s v="P620"/>
        <s v="P621"/>
        <s v="P622"/>
        <s v="P623"/>
        <s v="P624"/>
        <s v="P625"/>
        <s v="P626"/>
        <s v="P627"/>
        <s v="P628"/>
        <s v="P629"/>
        <s v="P630"/>
        <s v="P631"/>
        <s v="P632"/>
        <s v="P633"/>
        <s v="P634"/>
        <s v="P635"/>
        <s v="P636"/>
        <s v="P637"/>
        <s v="P638"/>
        <s v="P639"/>
        <s v="P640"/>
        <s v="P641"/>
        <s v="P642"/>
        <s v="P643"/>
        <s v="P644"/>
        <s v="P645"/>
        <s v="P646"/>
        <s v="P647"/>
        <s v="P648"/>
        <s v="P649"/>
        <s v="P650"/>
        <s v="P651"/>
        <s v="P652"/>
        <s v="P653"/>
        <s v="P654"/>
        <s v="P655"/>
        <s v="P656"/>
        <s v="P657"/>
        <s v="P658"/>
        <s v="P659"/>
        <s v="P660"/>
        <s v="P661"/>
        <s v="P662"/>
        <s v="P663"/>
        <s v="P664"/>
        <s v="P665"/>
        <s v="P666"/>
        <s v="P667"/>
        <s v="P668"/>
        <s v="P669"/>
        <s v="P670"/>
        <s v="P671"/>
        <s v="P672"/>
        <s v="P673"/>
        <s v="P674"/>
        <s v="P675"/>
        <s v="P676"/>
        <s v="P677"/>
        <s v="P678"/>
        <s v="P679"/>
        <s v="P680"/>
        <s v="P681"/>
        <s v="P682"/>
        <s v="P683"/>
        <s v="P684"/>
        <s v="P685"/>
        <s v="P686"/>
        <s v="P687"/>
        <s v="P688"/>
        <s v="P689"/>
        <s v="P690"/>
        <s v="P691"/>
        <s v="P692"/>
        <s v="P693"/>
        <s v="P694"/>
        <s v="P695"/>
        <s v="P696"/>
        <s v="P697"/>
        <s v="P698"/>
        <s v="P699"/>
        <s v="P700"/>
        <s v="P701"/>
        <s v="P702"/>
        <s v="P703"/>
        <s v="P704"/>
        <s v="P705"/>
        <s v="P706"/>
        <s v="P707"/>
        <s v="P708"/>
        <s v="P709"/>
        <s v="P710"/>
        <s v="P711"/>
        <s v="P712"/>
        <s v="P713"/>
        <s v="P714"/>
        <s v="P715"/>
        <s v="P716"/>
        <s v="P717"/>
        <s v="P718"/>
        <s v="P719"/>
        <s v="P720"/>
        <s v="P721"/>
        <s v="P722"/>
        <s v="P723"/>
        <s v="P724"/>
        <s v="P725"/>
        <s v="P726"/>
        <s v="P727"/>
        <s v="P728"/>
        <s v="P729"/>
        <s v="P730"/>
        <s v="P731"/>
        <s v="P732"/>
        <s v="P733"/>
        <s v="P734"/>
        <s v="P735"/>
        <s v="P736"/>
        <s v="P737"/>
        <s v="P738"/>
        <s v="P739"/>
        <s v="P740"/>
        <s v="P741"/>
        <s v="P742"/>
        <s v="P743"/>
        <s v="P744"/>
        <s v="P745"/>
        <s v="P746"/>
        <s v="P747"/>
        <s v="P748"/>
        <s v="P749"/>
        <s v="P750"/>
        <s v="P751"/>
        <s v="P752"/>
        <s v="P753"/>
        <s v="P754"/>
        <s v="P755"/>
        <s v="P756"/>
        <s v="P757"/>
        <s v="P758"/>
        <s v="P759"/>
        <s v="P760"/>
        <s v="P761"/>
        <s v="P762"/>
        <s v="P763"/>
        <s v="P764"/>
        <s v="P765"/>
        <s v="P766"/>
        <s v="P767"/>
        <s v="P768"/>
        <s v="P769"/>
        <s v="P770"/>
        <s v="P771"/>
        <s v="P772"/>
        <s v="P773"/>
        <s v="P774"/>
        <s v="P775"/>
        <s v="P776"/>
        <s v="P777"/>
        <s v="P778"/>
        <s v="P779"/>
        <s v="P780"/>
        <s v="P781"/>
        <s v="P782"/>
        <s v="P783"/>
        <s v="P784"/>
        <s v="P785"/>
        <s v="P786"/>
        <s v="P787"/>
        <s v="P788"/>
        <s v="P789"/>
        <s v="P790"/>
        <s v="P791"/>
        <s v="P792"/>
        <s v="P793"/>
        <s v="P794"/>
        <s v="P795"/>
        <s v="P796"/>
        <s v="P797"/>
        <s v="P798"/>
        <s v="P799"/>
        <s v="P800"/>
        <s v="P801"/>
        <s v="P802"/>
        <s v="P803"/>
        <s v="P804"/>
        <s v="P805"/>
        <s v="P806"/>
        <s v="P807"/>
        <s v="P808"/>
        <s v="P809"/>
        <s v="P810"/>
        <s v="P811"/>
        <s v="P812"/>
        <s v="P813"/>
        <s v="P814"/>
        <s v="P815"/>
        <s v="P816"/>
        <s v="P817"/>
        <s v="P818"/>
        <s v="P819"/>
        <s v="P820"/>
        <s v="P821"/>
        <s v="P822"/>
        <s v="P823"/>
        <s v="P824"/>
        <s v="P825"/>
        <s v="P826"/>
        <s v="P827"/>
        <s v="P828"/>
        <s v="P829"/>
        <s v="P830"/>
        <s v="P831"/>
        <s v="P832"/>
        <s v="P833"/>
        <s v="P834"/>
        <s v="P835"/>
        <s v="P836"/>
        <s v="P837"/>
        <s v="P838"/>
        <s v="P839"/>
        <s v="P840"/>
        <s v="P841"/>
        <s v="P842"/>
        <s v="P843"/>
        <s v="P844"/>
        <s v="P845"/>
        <s v="P846"/>
        <s v="P847"/>
        <s v="P848"/>
        <s v="P849"/>
        <s v="P850"/>
        <s v="P851"/>
        <s v="P852"/>
        <s v="P853"/>
        <s v="P854"/>
        <s v="P855"/>
        <s v="P856"/>
        <s v="P857"/>
        <s v="P858"/>
        <s v="P859"/>
        <s v="P860"/>
        <s v="P861"/>
        <s v="P862"/>
        <s v="P863"/>
        <s v="P864"/>
        <s v="P865"/>
        <s v="P866"/>
        <s v="P867"/>
        <s v="P868"/>
        <s v="P869"/>
        <s v="P870"/>
        <s v="P871"/>
        <s v="P872"/>
        <s v="P873"/>
        <s v="P874"/>
        <s v="P875"/>
        <s v="P876"/>
        <s v="P877"/>
        <s v="P878"/>
        <s v="P879"/>
        <s v="P880"/>
        <s v="P881"/>
        <s v="P882"/>
        <s v="P883"/>
        <s v="P884"/>
        <s v="P885"/>
        <s v="P886"/>
        <s v="P887"/>
        <s v="P888"/>
        <s v="P889"/>
        <s v="P890"/>
        <s v="P891"/>
        <s v="P892"/>
        <s v="P893"/>
        <s v="P894"/>
        <s v="P895"/>
        <s v="P896"/>
        <s v="P897"/>
        <s v="P898"/>
        <s v="P899"/>
        <s v="P900"/>
        <s v="P901"/>
        <s v="P902"/>
        <s v="P903"/>
        <s v="P904"/>
        <s v="P905"/>
        <s v="P906"/>
        <s v="P907"/>
        <s v="P908"/>
        <s v="P909"/>
        <s v="P910"/>
        <s v="P911"/>
        <s v="P912"/>
        <s v="P913"/>
        <s v="P914"/>
        <s v="P915"/>
        <s v="P916"/>
        <s v="P917"/>
        <s v="P918"/>
        <s v="P919"/>
        <s v="P920"/>
        <s v="P921"/>
        <s v="P922"/>
        <s v="P923"/>
        <s v="P924"/>
        <s v="P925"/>
        <s v="P926"/>
        <s v="P927"/>
        <s v="P928"/>
        <s v="P929"/>
        <s v="P930"/>
        <s v="P931"/>
        <s v="P932"/>
        <s v="P933"/>
        <s v="P934"/>
        <s v="P935"/>
        <s v="P936"/>
        <s v="P937"/>
        <s v="P938"/>
        <s v="P939"/>
        <s v="P940"/>
        <s v="P941"/>
        <s v="P942"/>
        <s v="P943"/>
        <s v="P944"/>
        <s v="P945"/>
        <s v="P946"/>
        <s v="P947"/>
        <s v="P948"/>
        <s v="P949"/>
        <s v="P950"/>
        <s v="P951"/>
        <s v="P952"/>
        <s v="P953"/>
        <s v="P954"/>
        <s v="P955"/>
        <s v="P956"/>
        <s v="P957"/>
        <s v="P958"/>
        <s v="P959"/>
        <s v="P960"/>
        <s v="P961"/>
        <s v="P962"/>
        <s v="P963"/>
        <s v="P964"/>
        <s v="P965"/>
        <s v="P966"/>
        <s v="P967"/>
        <s v="P968"/>
        <s v="P969"/>
        <s v="P970"/>
        <s v="P971"/>
        <s v="P972"/>
        <s v="P973"/>
        <s v="P974"/>
        <s v="P975"/>
        <s v="P976"/>
        <s v="P977"/>
        <s v="P978"/>
        <s v="P979"/>
        <s v="P980"/>
        <s v="P981"/>
        <s v="P982"/>
        <s v="P983"/>
        <s v="P984"/>
        <s v="P985"/>
        <s v="P986"/>
        <s v="P987"/>
        <s v="P988"/>
        <s v="P989"/>
        <s v="P990"/>
        <s v="P991"/>
        <s v="P992"/>
        <s v="P993"/>
        <s v="P994"/>
        <s v="P995"/>
        <s v="P996"/>
        <s v="P997"/>
        <s v="P998"/>
        <s v="P999"/>
        <s v="P1000"/>
      </sharedItems>
    </cacheField>
    <cacheField name="Age" numFmtId="0">
      <sharedItems containsSemiMixedTypes="0" containsString="0" containsNumber="1" containsInteger="1" minValue="0" maxValue="85" count="68">
        <n v="22"/>
        <n v="61"/>
        <n v="60"/>
        <n v="76"/>
        <n v="39"/>
        <n v="57"/>
        <n v="65"/>
        <n v="47"/>
        <n v="69"/>
        <n v="53"/>
        <n v="48"/>
        <n v="24"/>
        <n v="68"/>
        <n v="23"/>
        <n v="45"/>
        <n v="40"/>
        <n v="28"/>
        <n v="52"/>
        <n v="84"/>
        <n v="80"/>
        <n v="56"/>
        <n v="62"/>
        <n v="21"/>
        <n v="85"/>
        <n v="41"/>
        <n v="63"/>
        <n v="46"/>
        <n v="75"/>
        <n v="59"/>
        <n v="72"/>
        <n v="18"/>
        <n v="44"/>
        <n v="64"/>
        <n v="25"/>
        <n v="34"/>
        <n v="50"/>
        <n v="71"/>
        <n v="19"/>
        <n v="33"/>
        <n v="29"/>
        <n v="49"/>
        <n v="81"/>
        <n v="36"/>
        <n v="66"/>
        <n v="38"/>
        <n v="54"/>
        <n v="51"/>
        <n v="82"/>
        <n v="58"/>
        <n v="31"/>
        <n v="43"/>
        <n v="55"/>
        <n v="79"/>
        <n v="37"/>
        <n v="30"/>
        <n v="83"/>
        <n v="32"/>
        <n v="26"/>
        <n v="35"/>
        <n v="67"/>
        <n v="73"/>
        <n v="42"/>
        <n v="78"/>
        <n v="20"/>
        <n v="70"/>
        <n v="77"/>
        <n v="74"/>
        <n v="27"/>
      </sharedItems>
    </cacheField>
    <cacheField name="Gender" numFmtId="0">
      <sharedItems count="3">
        <s v="Male"/>
        <s v="Female"/>
        <s v="Other"/>
      </sharedItems>
    </cacheField>
    <cacheField name="Ethnicity" numFmtId="0">
      <sharedItems count="5">
        <s v="African American"/>
        <s v="Other"/>
        <s v="Caucasian"/>
        <s v="Hispanic"/>
        <s v="Asian"/>
      </sharedItems>
    </cacheField>
    <cacheField name="Medical_History" numFmtId="0">
      <sharedItems count="5">
        <s v="Heart Disease"/>
        <s v="Diabetes"/>
        <s v="None"/>
        <s v="Asthma"/>
        <s v="Hypertension"/>
      </sharedItems>
    </cacheField>
    <cacheField name="Genomic_Profile" numFmtId="0">
      <sharedItems count="6">
        <s v="None"/>
        <s v="HER2 Mutation"/>
        <s v="TP53 Mutation"/>
        <s v="EGFR Mutation"/>
        <s v="BRCA2 Mutation"/>
        <s v="BRCA1 Mutation"/>
      </sharedItems>
    </cacheField>
    <cacheField name="Trial_ID" numFmtId="0">
      <sharedItems count="20">
        <s v="T011"/>
        <s v="T014"/>
        <s v="T008"/>
        <s v="T016"/>
        <s v="T019"/>
        <s v="T007"/>
        <s v="T005"/>
        <s v="T004"/>
        <s v="T006"/>
        <s v="T002"/>
        <s v="T003"/>
        <s v="T013"/>
        <s v="T020"/>
        <s v="T001"/>
        <s v="T018"/>
        <s v="T009"/>
        <s v="T012"/>
        <s v="T017"/>
        <s v="T010"/>
        <s v="T015"/>
      </sharedItems>
    </cacheField>
    <cacheField name="Drug_Name" numFmtId="0">
      <sharedItems count="4">
        <s v="DrugC"/>
        <s v="DrugA"/>
        <s v="DrugB"/>
        <s v="DrugD"/>
      </sharedItems>
    </cacheField>
    <cacheField name="Trial_Phase" numFmtId="0">
      <sharedItems count="4">
        <s v="Phase IV"/>
        <s v="Phase I"/>
        <s v="Phase II"/>
        <s v="Phase III"/>
      </sharedItems>
    </cacheField>
    <cacheField name="Start_Date" numFmtId="180">
      <sharedItems containsSemiMixedTypes="0" containsString="0" containsNonDate="0" containsDate="1" minDate="2019-01-04T00:00:00" maxDate="2023-12-27T00:00:00" count="756">
        <d v="2023-09-16T00:00:00"/>
        <d v="2022-11-04T00:00:00"/>
        <d v="2022-05-06T00:00:00"/>
        <d v="2023-02-17T00:00:00"/>
        <d v="2023-08-26T00:00:00"/>
        <d v="2022-06-23T00:00:00"/>
        <d v="2020-09-13T00:00:00"/>
        <d v="2023-01-08T00:00:00"/>
        <d v="2023-06-19T00:00:00"/>
        <d v="2019-06-21T00:00:00"/>
        <d v="2023-09-05T00:00:00"/>
        <d v="2022-04-28T00:00:00"/>
        <d v="2021-05-12T00:00:00"/>
        <d v="2020-04-11T00:00:00"/>
        <d v="2023-01-27T00:00:00"/>
        <d v="2019-09-18T00:00:00"/>
        <d v="2021-07-03T00:00:00"/>
        <d v="2022-11-26T00:00:00"/>
        <d v="2022-02-10T00:00:00"/>
        <d v="2019-11-09T00:00:00"/>
        <d v="2022-12-26T00:00:00"/>
        <d v="2019-02-12T00:00:00"/>
        <d v="2019-03-14T00:00:00"/>
        <d v="2022-06-14T00:00:00"/>
        <d v="2023-09-06T00:00:00"/>
        <d v="2023-08-19T00:00:00"/>
        <d v="2019-01-04T00:00:00"/>
        <d v="2021-06-15T00:00:00"/>
        <d v="2023-03-18T00:00:00"/>
        <d v="2020-05-25T00:00:00"/>
        <d v="2021-08-20T00:00:00"/>
        <d v="2020-08-21T00:00:00"/>
        <d v="2022-07-23T00:00:00"/>
        <d v="2023-02-09T00:00:00"/>
        <d v="2023-11-14T00:00:00"/>
        <d v="2022-01-09T00:00:00"/>
        <d v="2022-08-11T00:00:00"/>
        <d v="2021-11-25T00:00:00"/>
        <d v="2019-06-22T00:00:00"/>
        <d v="2019-12-11T00:00:00"/>
        <d v="2023-10-01T00:00:00"/>
        <d v="2022-06-26T00:00:00"/>
        <d v="2022-07-04T00:00:00"/>
        <d v="2019-05-07T00:00:00"/>
        <d v="2019-09-07T00:00:00"/>
        <d v="2020-02-01T00:00:00"/>
        <d v="2021-09-03T00:00:00"/>
        <d v="2020-01-16T00:00:00"/>
        <d v="2023-11-02T00:00:00"/>
        <d v="2021-10-16T00:00:00"/>
        <d v="2023-04-14T00:00:00"/>
        <d v="2022-11-05T00:00:00"/>
        <d v="2019-03-15T00:00:00"/>
        <d v="2021-03-03T00:00:00"/>
        <d v="2019-04-05T00:00:00"/>
        <d v="2022-08-01T00:00:00"/>
        <d v="2019-02-09T00:00:00"/>
        <d v="2023-04-01T00:00:00"/>
        <d v="2021-03-06T00:00:00"/>
        <d v="2019-09-16T00:00:00"/>
        <d v="2021-05-11T00:00:00"/>
        <d v="2020-10-11T00:00:00"/>
        <d v="2021-05-26T00:00:00"/>
        <d v="2022-02-26T00:00:00"/>
        <d v="2019-07-21T00:00:00"/>
        <d v="2019-06-01T00:00:00"/>
        <d v="2019-11-18T00:00:00"/>
        <d v="2023-04-18T00:00:00"/>
        <d v="2022-03-06T00:00:00"/>
        <d v="2023-08-28T00:00:00"/>
        <d v="2022-11-16T00:00:00"/>
        <d v="2021-05-10T00:00:00"/>
        <d v="2019-09-26T00:00:00"/>
        <d v="2022-09-13T00:00:00"/>
        <d v="2020-11-08T00:00:00"/>
        <d v="2022-06-15T00:00:00"/>
        <d v="2021-04-05T00:00:00"/>
        <d v="2020-11-18T00:00:00"/>
        <d v="2020-06-08T00:00:00"/>
        <d v="2023-02-28T00:00:00"/>
        <d v="2022-05-07T00:00:00"/>
        <d v="2020-06-16T00:00:00"/>
        <d v="2023-10-02T00:00:00"/>
        <d v="2019-11-17T00:00:00"/>
        <d v="2023-08-07T00:00:00"/>
        <d v="2022-05-09T00:00:00"/>
        <d v="2022-10-09T00:00:00"/>
        <d v="2021-09-17T00:00:00"/>
        <d v="2022-06-08T00:00:00"/>
        <d v="2022-12-21T00:00:00"/>
        <d v="2022-06-18T00:00:00"/>
        <d v="2020-12-24T00:00:00"/>
        <d v="2022-11-19T00:00:00"/>
        <d v="2022-10-23T00:00:00"/>
        <d v="2020-09-18T00:00:00"/>
        <d v="2021-03-10T00:00:00"/>
        <d v="2023-12-10T00:00:00"/>
        <d v="2021-08-06T00:00:00"/>
        <d v="2020-01-05T00:00:00"/>
        <d v="2021-04-07T00:00:00"/>
        <d v="2021-07-26T00:00:00"/>
        <d v="2019-04-22T00:00:00"/>
        <d v="2023-04-09T00:00:00"/>
        <d v="2021-11-10T00:00:00"/>
        <d v="2020-10-27T00:00:00"/>
        <d v="2020-11-21T00:00:00"/>
        <d v="2021-04-26T00:00:00"/>
        <d v="2021-07-08T00:00:00"/>
        <d v="2021-01-08T00:00:00"/>
        <d v="2023-09-19T00:00:00"/>
        <d v="2022-03-08T00:00:00"/>
        <d v="2022-01-08T00:00:00"/>
        <d v="2019-04-15T00:00:00"/>
        <d v="2022-03-04T00:00:00"/>
        <d v="2023-07-12T00:00:00"/>
        <d v="2021-04-01T00:00:00"/>
        <d v="2022-04-14T00:00:00"/>
        <d v="2022-10-21T00:00:00"/>
        <d v="2021-04-21T00:00:00"/>
        <d v="2021-04-20T00:00:00"/>
        <d v="2022-10-16T00:00:00"/>
        <d v="2021-04-10T00:00:00"/>
        <d v="2020-04-07T00:00:00"/>
        <d v="2023-05-13T00:00:00"/>
        <d v="2019-01-22T00:00:00"/>
        <d v="2021-06-28T00:00:00"/>
        <d v="2020-07-16T00:00:00"/>
        <d v="2021-06-12T00:00:00"/>
        <d v="2021-12-19T00:00:00"/>
        <d v="2022-09-25T00:00:00"/>
        <d v="2022-05-12T00:00:00"/>
        <d v="2022-05-20T00:00:00"/>
        <d v="2023-05-14T00:00:00"/>
        <d v="2021-05-05T00:00:00"/>
        <d v="2020-01-09T00:00:00"/>
        <d v="2020-08-24T00:00:00"/>
        <d v="2022-06-01T00:00:00"/>
        <d v="2021-11-05T00:00:00"/>
        <d v="2022-09-10T00:00:00"/>
        <d v="2019-02-17T00:00:00"/>
        <d v="2020-09-04T00:00:00"/>
        <d v="2022-08-13T00:00:00"/>
        <d v="2019-08-12T00:00:00"/>
        <d v="2023-11-10T00:00:00"/>
        <d v="2023-01-11T00:00:00"/>
        <d v="2023-07-09T00:00:00"/>
        <d v="2022-07-12T00:00:00"/>
        <d v="2019-04-20T00:00:00"/>
        <d v="2019-07-19T00:00:00"/>
        <d v="2021-11-13T00:00:00"/>
        <d v="2021-11-12T00:00:00"/>
        <d v="2022-04-19T00:00:00"/>
        <d v="2019-10-20T00:00:00"/>
        <d v="2023-12-19T00:00:00"/>
        <d v="2020-07-10T00:00:00"/>
        <d v="2019-05-11T00:00:00"/>
        <d v="2023-11-28T00:00:00"/>
        <d v="2019-08-16T00:00:00"/>
        <d v="2020-03-02T00:00:00"/>
        <d v="2023-06-02T00:00:00"/>
        <d v="2023-01-04T00:00:00"/>
        <d v="2023-04-23T00:00:00"/>
        <d v="2020-08-05T00:00:00"/>
        <d v="2021-01-11T00:00:00"/>
        <d v="2019-06-26T00:00:00"/>
        <d v="2020-12-02T00:00:00"/>
        <d v="2020-05-09T00:00:00"/>
        <d v="2019-05-20T00:00:00"/>
        <d v="2021-06-27T00:00:00"/>
        <d v="2020-12-22T00:00:00"/>
        <d v="2019-06-18T00:00:00"/>
        <d v="2023-12-08T00:00:00"/>
        <d v="2022-11-22T00:00:00"/>
        <d v="2022-12-12T00:00:00"/>
        <d v="2022-07-14T00:00:00"/>
        <d v="2020-02-05T00:00:00"/>
        <d v="2022-11-24T00:00:00"/>
        <d v="2023-05-09T00:00:00"/>
        <d v="2023-03-27T00:00:00"/>
        <d v="2022-12-25T00:00:00"/>
        <d v="2022-02-17T00:00:00"/>
        <d v="2022-11-25T00:00:00"/>
        <d v="2022-06-02T00:00:00"/>
        <d v="2019-02-03T00:00:00"/>
        <d v="2022-07-28T00:00:00"/>
        <d v="2022-05-21T00:00:00"/>
        <d v="2019-12-05T00:00:00"/>
        <d v="2022-10-26T00:00:00"/>
        <d v="2022-03-23T00:00:00"/>
        <d v="2022-12-05T00:00:00"/>
        <d v="2019-09-04T00:00:00"/>
        <d v="2020-07-09T00:00:00"/>
        <d v="2020-07-12T00:00:00"/>
        <d v="2023-03-26T00:00:00"/>
        <d v="2022-10-08T00:00:00"/>
        <d v="2020-03-12T00:00:00"/>
        <d v="2022-12-11T00:00:00"/>
        <d v="2021-06-09T00:00:00"/>
        <d v="2020-08-03T00:00:00"/>
        <d v="2023-03-16T00:00:00"/>
        <d v="2021-10-05T00:00:00"/>
        <d v="2020-12-23T00:00:00"/>
        <d v="2020-06-15T00:00:00"/>
        <d v="2023-12-15T00:00:00"/>
        <d v="2020-01-03T00:00:00"/>
        <d v="2021-08-28T00:00:00"/>
        <d v="2019-10-25T00:00:00"/>
        <d v="2022-09-24T00:00:00"/>
        <d v="2019-05-12T00:00:00"/>
        <d v="2019-09-19T00:00:00"/>
        <d v="2022-02-04T00:00:00"/>
        <d v="2020-12-08T00:00:00"/>
        <d v="2019-05-02T00:00:00"/>
        <d v="2023-12-20T00:00:00"/>
        <d v="2023-03-15T00:00:00"/>
        <d v="2023-12-02T00:00:00"/>
        <d v="2019-11-16T00:00:00"/>
        <d v="2022-12-16T00:00:00"/>
        <d v="2019-12-02T00:00:00"/>
        <d v="2022-09-09T00:00:00"/>
        <d v="2020-05-23T00:00:00"/>
        <d v="2021-06-02T00:00:00"/>
        <d v="2021-10-03T00:00:00"/>
        <d v="2022-10-13T00:00:00"/>
        <d v="2021-01-10T00:00:00"/>
        <d v="2023-10-28T00:00:00"/>
        <d v="2021-11-20T00:00:00"/>
        <d v="2021-03-01T00:00:00"/>
        <d v="2022-12-27T00:00:00"/>
        <d v="2022-04-05T00:00:00"/>
        <d v="2019-07-09T00:00:00"/>
        <d v="2020-12-09T00:00:00"/>
        <d v="2020-04-17T00:00:00"/>
        <d v="2019-09-21T00:00:00"/>
        <d v="2022-03-01T00:00:00"/>
        <d v="2022-12-20T00:00:00"/>
        <d v="2020-09-02T00:00:00"/>
        <d v="2023-01-17T00:00:00"/>
        <d v="2019-02-15T00:00:00"/>
        <d v="2019-06-17T00:00:00"/>
        <d v="2022-11-08T00:00:00"/>
        <d v="2022-01-03T00:00:00"/>
        <d v="2022-02-01T00:00:00"/>
        <d v="2019-08-19T00:00:00"/>
        <d v="2022-08-17T00:00:00"/>
        <d v="2019-03-10T00:00:00"/>
        <d v="2023-04-10T00:00:00"/>
        <d v="2021-11-06T00:00:00"/>
        <d v="2023-10-22T00:00:00"/>
        <d v="2022-09-16T00:00:00"/>
        <d v="2022-06-21T00:00:00"/>
        <d v="2021-06-13T00:00:00"/>
        <d v="2021-09-20T00:00:00"/>
        <d v="2019-08-10T00:00:00"/>
        <d v="2021-09-19T00:00:00"/>
        <d v="2020-09-12T00:00:00"/>
        <d v="2023-07-02T00:00:00"/>
        <d v="2022-08-27T00:00:00"/>
        <d v="2021-11-03T00:00:00"/>
        <d v="2021-04-08T00:00:00"/>
        <d v="2019-02-04T00:00:00"/>
        <d v="2021-03-14T00:00:00"/>
        <d v="2022-01-14T00:00:00"/>
        <d v="2023-09-10T00:00:00"/>
        <d v="2022-05-08T00:00:00"/>
        <d v="2019-09-01T00:00:00"/>
        <d v="2019-10-21T00:00:00"/>
        <d v="2023-04-22T00:00:00"/>
        <d v="2019-07-07T00:00:00"/>
        <d v="2020-02-16T00:00:00"/>
        <d v="2022-08-26T00:00:00"/>
        <d v="2021-07-16T00:00:00"/>
        <d v="2022-04-13T00:00:00"/>
        <d v="2020-04-09T00:00:00"/>
        <d v="2021-08-08T00:00:00"/>
        <d v="2023-05-26T00:00:00"/>
        <d v="2023-07-25T00:00:00"/>
        <d v="2020-04-15T00:00:00"/>
        <d v="2023-10-11T00:00:00"/>
        <d v="2023-09-18T00:00:00"/>
        <d v="2019-05-10T00:00:00"/>
        <d v="2021-02-11T00:00:00"/>
        <d v="2022-07-22T00:00:00"/>
        <d v="2022-02-18T00:00:00"/>
        <d v="2020-04-10T00:00:00"/>
        <d v="2020-05-14T00:00:00"/>
        <d v="2023-08-15T00:00:00"/>
        <d v="2023-02-13T00:00:00"/>
        <d v="2022-08-06T00:00:00"/>
        <d v="2022-02-03T00:00:00"/>
        <d v="2021-03-15T00:00:00"/>
        <d v="2023-11-07T00:00:00"/>
        <d v="2021-11-16T00:00:00"/>
        <d v="2019-04-28T00:00:00"/>
        <d v="2020-01-21T00:00:00"/>
        <d v="2023-08-22T00:00:00"/>
        <d v="2022-05-23T00:00:00"/>
        <d v="2019-12-14T00:00:00"/>
        <d v="2019-12-06T00:00:00"/>
        <d v="2021-10-14T00:00:00"/>
        <d v="2023-05-23T00:00:00"/>
        <d v="2022-08-22T00:00:00"/>
        <d v="2022-02-16T00:00:00"/>
        <d v="2023-11-24T00:00:00"/>
        <d v="2023-04-24T00:00:00"/>
        <d v="2022-01-18T00:00:00"/>
        <d v="2020-08-10T00:00:00"/>
        <d v="2021-07-22T00:00:00"/>
        <d v="2020-10-05T00:00:00"/>
        <d v="2020-01-04T00:00:00"/>
        <d v="2022-11-23T00:00:00"/>
        <d v="2019-03-28T00:00:00"/>
        <d v="2023-05-12T00:00:00"/>
        <d v="2019-04-02T00:00:00"/>
        <d v="2021-11-14T00:00:00"/>
        <d v="2020-09-24T00:00:00"/>
        <d v="2023-09-20T00:00:00"/>
        <d v="2019-12-10T00:00:00"/>
        <d v="2021-11-08T00:00:00"/>
        <d v="2021-01-20T00:00:00"/>
        <d v="2022-01-05T00:00:00"/>
        <d v="2020-02-07T00:00:00"/>
        <d v="2021-05-16T00:00:00"/>
        <d v="2023-11-21T00:00:00"/>
        <d v="2019-11-24T00:00:00"/>
        <d v="2021-12-26T00:00:00"/>
        <d v="2021-12-16T00:00:00"/>
        <d v="2020-03-01T00:00:00"/>
        <d v="2019-11-05T00:00:00"/>
        <d v="2019-11-27T00:00:00"/>
        <d v="2021-04-19T00:00:00"/>
        <d v="2022-01-04T00:00:00"/>
        <d v="2022-10-15T00:00:00"/>
        <d v="2020-01-08T00:00:00"/>
        <d v="2023-06-04T00:00:00"/>
        <d v="2022-11-12T00:00:00"/>
        <d v="2019-10-23T00:00:00"/>
        <d v="2023-07-08T00:00:00"/>
        <d v="2020-07-20T00:00:00"/>
        <d v="2023-06-01T00:00:00"/>
        <d v="2019-01-11T00:00:00"/>
        <d v="2020-12-06T00:00:00"/>
        <d v="2019-03-25T00:00:00"/>
        <d v="2023-08-04T00:00:00"/>
        <d v="2020-11-07T00:00:00"/>
        <d v="2021-12-15T00:00:00"/>
        <d v="2023-07-27T00:00:00"/>
        <d v="2020-11-15T00:00:00"/>
        <d v="2022-05-28T00:00:00"/>
        <d v="2020-04-25T00:00:00"/>
        <d v="2019-07-02T00:00:00"/>
        <d v="2022-12-06T00:00:00"/>
        <d v="2023-03-01T00:00:00"/>
        <d v="2021-02-05T00:00:00"/>
        <d v="2021-03-08T00:00:00"/>
        <d v="2021-07-04T00:00:00"/>
        <d v="2019-08-06T00:00:00"/>
        <d v="2020-06-04T00:00:00"/>
        <d v="2023-01-10T00:00:00"/>
        <d v="2022-04-06T00:00:00"/>
        <d v="2020-10-15T00:00:00"/>
        <d v="2021-12-03T00:00:00"/>
        <d v="2022-02-24T00:00:00"/>
        <d v="2023-07-17T00:00:00"/>
        <d v="2019-11-08T00:00:00"/>
        <d v="2020-03-26T00:00:00"/>
        <d v="2019-10-22T00:00:00"/>
        <d v="2019-06-10T00:00:00"/>
        <d v="2020-12-03T00:00:00"/>
        <d v="2023-09-23T00:00:00"/>
        <d v="2021-02-26T00:00:00"/>
        <d v="2019-12-09T00:00:00"/>
        <d v="2023-07-22T00:00:00"/>
        <d v="2021-09-22T00:00:00"/>
        <d v="2019-02-24T00:00:00"/>
        <d v="2019-03-20T00:00:00"/>
        <d v="2023-02-14T00:00:00"/>
        <d v="2021-07-13T00:00:00"/>
        <d v="2019-01-28T00:00:00"/>
        <d v="2023-05-04T00:00:00"/>
        <d v="2022-09-26T00:00:00"/>
        <d v="2022-04-02T00:00:00"/>
        <d v="2023-01-18T00:00:00"/>
        <d v="2022-05-26T00:00:00"/>
        <d v="2022-02-20T00:00:00"/>
        <d v="2020-08-23T00:00:00"/>
        <d v="2023-04-04T00:00:00"/>
        <d v="2022-01-28T00:00:00"/>
        <d v="2023-04-25T00:00:00"/>
        <d v="2022-08-24T00:00:00"/>
        <d v="2023-06-27T00:00:00"/>
        <d v="2019-04-19T00:00:00"/>
        <d v="2020-08-11T00:00:00"/>
        <d v="2022-05-25T00:00:00"/>
        <d v="2021-06-19T00:00:00"/>
        <d v="2019-10-19T00:00:00"/>
        <d v="2021-07-11T00:00:00"/>
        <d v="2020-03-10T00:00:00"/>
        <d v="2019-06-07T00:00:00"/>
        <d v="2020-10-13T00:00:00"/>
        <d v="2019-07-23T00:00:00"/>
        <d v="2021-02-08T00:00:00"/>
        <d v="2021-11-27T00:00:00"/>
        <d v="2021-06-25T00:00:00"/>
        <d v="2020-02-09T00:00:00"/>
        <d v="2023-12-04T00:00:00"/>
        <d v="2019-03-13T00:00:00"/>
        <d v="2023-08-18T00:00:00"/>
        <d v="2020-08-28T00:00:00"/>
        <d v="2023-11-06T00:00:00"/>
        <d v="2019-01-10T00:00:00"/>
        <d v="2021-05-27T00:00:00"/>
        <d v="2021-10-25T00:00:00"/>
        <d v="2022-06-10T00:00:00"/>
        <d v="2020-07-18T00:00:00"/>
        <d v="2020-12-01T00:00:00"/>
        <d v="2021-05-21T00:00:00"/>
        <d v="2019-01-15T00:00:00"/>
        <d v="2020-09-05T00:00:00"/>
        <d v="2023-12-03T00:00:00"/>
        <d v="2021-01-13T00:00:00"/>
        <d v="2021-10-12T00:00:00"/>
        <d v="2021-01-06T00:00:00"/>
        <d v="2020-05-24T00:00:00"/>
        <d v="2023-03-05T00:00:00"/>
        <d v="2020-04-28T00:00:00"/>
        <d v="2022-08-23T00:00:00"/>
        <d v="2020-06-12T00:00:00"/>
        <d v="2020-10-17T00:00:00"/>
        <d v="2021-09-12T00:00:00"/>
        <d v="2022-08-12T00:00:00"/>
        <d v="2019-09-24T00:00:00"/>
        <d v="2019-06-12T00:00:00"/>
        <d v="2023-05-10T00:00:00"/>
        <d v="2022-04-01T00:00:00"/>
        <d v="2023-06-18T00:00:00"/>
        <d v="2023-06-03T00:00:00"/>
        <d v="2021-11-04T00:00:00"/>
        <d v="2019-12-20T00:00:00"/>
        <d v="2020-11-20T00:00:00"/>
        <d v="2023-02-24T00:00:00"/>
        <d v="2021-08-23T00:00:00"/>
        <d v="2020-12-26T00:00:00"/>
        <d v="2023-03-12T00:00:00"/>
        <d v="2023-09-28T00:00:00"/>
        <d v="2020-12-27T00:00:00"/>
        <d v="2019-08-03T00:00:00"/>
        <d v="2021-07-20T00:00:00"/>
        <d v="2019-11-10T00:00:00"/>
        <d v="2020-04-22T00:00:00"/>
        <d v="2020-06-24T00:00:00"/>
        <d v="2022-03-24T00:00:00"/>
        <d v="2020-02-28T00:00:00"/>
        <d v="2022-07-13T00:00:00"/>
        <d v="2023-02-18T00:00:00"/>
        <d v="2020-03-07T00:00:00"/>
        <d v="2020-09-19T00:00:00"/>
        <d v="2019-01-13T00:00:00"/>
        <d v="2020-03-19T00:00:00"/>
        <d v="2019-03-01T00:00:00"/>
        <d v="2023-11-23T00:00:00"/>
        <d v="2021-03-24T00:00:00"/>
        <d v="2019-04-06T00:00:00"/>
        <d v="2021-03-09T00:00:00"/>
        <d v="2020-06-10T00:00:00"/>
        <d v="2022-07-19T00:00:00"/>
        <d v="2023-02-25T00:00:00"/>
        <d v="2022-10-06T00:00:00"/>
        <d v="2023-06-14T00:00:00"/>
        <d v="2019-10-04T00:00:00"/>
        <d v="2022-11-01T00:00:00"/>
        <d v="2019-06-15T00:00:00"/>
        <d v="2019-12-03T00:00:00"/>
        <d v="2019-12-27T00:00:00"/>
        <d v="2021-05-14T00:00:00"/>
        <d v="2023-04-15T00:00:00"/>
        <d v="2021-10-09T00:00:00"/>
        <d v="2023-11-19T00:00:00"/>
        <d v="2022-12-04T00:00:00"/>
        <d v="2019-03-09T00:00:00"/>
        <d v="2020-01-17T00:00:00"/>
        <d v="2022-07-03T00:00:00"/>
        <d v="2020-02-15T00:00:00"/>
        <d v="2020-07-27T00:00:00"/>
        <d v="2021-04-27T00:00:00"/>
        <d v="2019-02-08T00:00:00"/>
        <d v="2021-01-19T00:00:00"/>
        <d v="2022-02-27T00:00:00"/>
        <d v="2019-10-02T00:00:00"/>
        <d v="2022-08-05T00:00:00"/>
        <d v="2022-12-18T00:00:00"/>
        <d v="2020-12-07T00:00:00"/>
        <d v="2020-05-27T00:00:00"/>
        <d v="2021-12-28T00:00:00"/>
        <d v="2022-01-16T00:00:00"/>
        <d v="2023-10-14T00:00:00"/>
        <d v="2022-11-03T00:00:00"/>
        <d v="2023-07-14T00:00:00"/>
        <d v="2020-02-08T00:00:00"/>
        <d v="2023-02-02T00:00:00"/>
        <d v="2020-03-28T00:00:00"/>
        <d v="2022-06-24T00:00:00"/>
        <d v="2019-07-16T00:00:00"/>
        <d v="2022-11-02T00:00:00"/>
        <d v="2023-07-20T00:00:00"/>
        <d v="2022-05-18T00:00:00"/>
        <d v="2021-08-11T00:00:00"/>
        <d v="2019-11-21T00:00:00"/>
        <d v="2023-01-21T00:00:00"/>
        <d v="2021-02-14T00:00:00"/>
        <d v="2019-11-22T00:00:00"/>
        <d v="2019-11-23T00:00:00"/>
        <d v="2020-03-18T00:00:00"/>
        <d v="2023-11-22T00:00:00"/>
        <d v="2020-02-20T00:00:00"/>
        <d v="2021-02-09T00:00:00"/>
        <d v="2019-12-19T00:00:00"/>
        <d v="2021-12-10T00:00:00"/>
        <d v="2021-03-27T00:00:00"/>
        <d v="2023-11-05T00:00:00"/>
        <d v="2022-02-11T00:00:00"/>
        <d v="2020-02-23T00:00:00"/>
        <d v="2019-07-12T00:00:00"/>
        <d v="2019-08-11T00:00:00"/>
        <d v="2023-02-03T00:00:00"/>
        <d v="2019-09-06T00:00:00"/>
        <d v="2022-02-22T00:00:00"/>
        <d v="2019-02-06T00:00:00"/>
        <d v="2019-05-22T00:00:00"/>
        <d v="2023-07-04T00:00:00"/>
        <d v="2020-11-25T00:00:00"/>
        <d v="2020-04-20T00:00:00"/>
        <d v="2021-05-28T00:00:00"/>
        <d v="2020-11-22T00:00:00"/>
        <d v="2020-05-02T00:00:00"/>
        <d v="2019-12-22T00:00:00"/>
        <d v="2023-03-06T00:00:00"/>
        <d v="2020-12-13T00:00:00"/>
        <d v="2020-10-21T00:00:00"/>
        <d v="2020-10-23T00:00:00"/>
        <d v="2019-07-05T00:00:00"/>
        <d v="2020-09-28T00:00:00"/>
        <d v="2020-05-17T00:00:00"/>
        <d v="2023-06-10T00:00:00"/>
        <d v="2023-03-22T00:00:00"/>
        <d v="2020-09-08T00:00:00"/>
        <d v="2021-01-14T00:00:00"/>
        <d v="2022-03-02T00:00:00"/>
        <d v="2022-02-09T00:00:00"/>
        <d v="2023-02-05T00:00:00"/>
        <d v="2021-01-04T00:00:00"/>
        <d v="2021-01-17T00:00:00"/>
        <d v="2019-04-03T00:00:00"/>
        <d v="2020-07-26T00:00:00"/>
        <d v="2021-11-11T00:00:00"/>
        <d v="2023-04-19T00:00:00"/>
        <d v="2019-03-03T00:00:00"/>
        <d v="2020-03-21T00:00:00"/>
        <d v="2023-08-01T00:00:00"/>
        <d v="2020-11-05T00:00:00"/>
        <d v="2020-08-08T00:00:00"/>
        <d v="2019-02-19T00:00:00"/>
        <d v="2019-08-07T00:00:00"/>
        <d v="2021-08-25T00:00:00"/>
        <d v="2020-04-24T00:00:00"/>
        <d v="2021-10-18T00:00:00"/>
        <d v="2020-05-15T00:00:00"/>
        <d v="2020-10-18T00:00:00"/>
        <d v="2023-09-03T00:00:00"/>
        <d v="2020-08-26T00:00:00"/>
        <d v="2019-09-27T00:00:00"/>
        <d v="2023-01-01T00:00:00"/>
        <d v="2021-09-08T00:00:00"/>
        <d v="2023-08-16T00:00:00"/>
        <d v="2022-04-24T00:00:00"/>
        <d v="2019-06-08T00:00:00"/>
        <d v="2023-05-19T00:00:00"/>
        <d v="2020-04-27T00:00:00"/>
        <d v="2023-08-11T00:00:00"/>
        <d v="2021-03-17T00:00:00"/>
        <d v="2019-01-07T00:00:00"/>
        <d v="2021-01-27T00:00:00"/>
        <d v="2021-09-01T00:00:00"/>
        <d v="2019-11-12T00:00:00"/>
        <d v="2023-10-26T00:00:00"/>
        <d v="2020-04-04T00:00:00"/>
        <d v="2020-05-18T00:00:00"/>
        <d v="2021-01-18T00:00:00"/>
        <d v="2019-03-16T00:00:00"/>
        <d v="2019-02-13T00:00:00"/>
        <d v="2019-12-12T00:00:00"/>
        <d v="2020-07-08T00:00:00"/>
        <d v="2021-10-02T00:00:00"/>
        <d v="2022-12-22T00:00:00"/>
        <d v="2022-10-02T00:00:00"/>
        <d v="2023-12-23T00:00:00"/>
        <d v="2022-02-12T00:00:00"/>
        <d v="2023-03-28T00:00:00"/>
        <d v="2021-01-22T00:00:00"/>
        <d v="2022-03-09T00:00:00"/>
        <d v="2023-06-25T00:00:00"/>
        <d v="2021-01-03T00:00:00"/>
        <d v="2020-07-15T00:00:00"/>
        <d v="2023-12-27T00:00:00"/>
        <d v="2021-10-17T00:00:00"/>
        <d v="2023-03-10T00:00:00"/>
        <d v="2020-11-27T00:00:00"/>
        <d v="2023-10-23T00:00:00"/>
        <d v="2020-02-17T00:00:00"/>
        <d v="2022-05-16T00:00:00"/>
        <d v="2022-03-13T00:00:00"/>
        <d v="2020-02-24T00:00:00"/>
        <d v="2022-10-27T00:00:00"/>
        <d v="2023-09-17T00:00:00"/>
        <d v="2020-12-05T00:00:00"/>
        <d v="2021-10-06T00:00:00"/>
        <d v="2022-10-22T00:00:00"/>
        <d v="2019-04-01T00:00:00"/>
        <d v="2020-10-01T00:00:00"/>
        <d v="2021-06-17T00:00:00"/>
        <d v="2023-05-16T00:00:00"/>
        <d v="2021-10-20T00:00:00"/>
        <d v="2021-02-28T00:00:00"/>
        <d v="2019-09-13T00:00:00"/>
        <d v="2023-01-14T00:00:00"/>
        <d v="2021-07-02T00:00:00"/>
        <d v="2019-10-14T00:00:00"/>
        <d v="2020-05-13T00:00:00"/>
        <d v="2019-04-07T00:00:00"/>
        <d v="2021-02-20T00:00:00"/>
        <d v="2023-03-13T00:00:00"/>
        <d v="2023-05-11T00:00:00"/>
        <d v="2019-04-27T00:00:00"/>
        <d v="2021-06-14T00:00:00"/>
        <d v="2020-11-06T00:00:00"/>
        <d v="2021-03-25T00:00:00"/>
        <d v="2023-09-21T00:00:00"/>
        <d v="2019-05-15T00:00:00"/>
        <d v="2022-09-12T00:00:00"/>
        <d v="2021-11-15T00:00:00"/>
        <d v="2020-08-06T00:00:00"/>
        <d v="2019-07-20T00:00:00"/>
        <d v="2023-02-27T00:00:00"/>
        <d v="2021-03-07T00:00:00"/>
        <d v="2023-09-02T00:00:00"/>
        <d v="2022-02-02T00:00:00"/>
        <d v="2019-10-17T00:00:00"/>
        <d v="2020-01-12T00:00:00"/>
        <d v="2022-08-10T00:00:00"/>
        <d v="2020-03-20T00:00:00"/>
        <d v="2019-10-05T00:00:00"/>
        <d v="2020-05-26T00:00:00"/>
        <d v="2021-09-25T00:00:00"/>
        <d v="2023-09-07T00:00:00"/>
        <d v="2020-02-03T00:00:00"/>
        <d v="2021-05-23T00:00:00"/>
        <d v="2021-06-05T00:00:00"/>
        <d v="2020-06-22T00:00:00"/>
        <d v="2020-01-01T00:00:00"/>
        <d v="2022-03-10T00:00:00"/>
        <d v="2021-10-28T00:00:00"/>
        <d v="2022-06-12T00:00:00"/>
        <d v="2023-06-11T00:00:00"/>
        <d v="2023-03-21T00:00:00"/>
        <d v="2020-12-21T00:00:00"/>
        <d v="2020-01-25T00:00:00"/>
        <d v="2021-07-19T00:00:00"/>
        <d v="2019-05-08T00:00:00"/>
        <d v="2022-07-15T00:00:00"/>
        <d v="2022-07-07T00:00:00"/>
        <d v="2019-02-10T00:00:00"/>
        <d v="2023-07-05T00:00:00"/>
        <d v="2021-08-13T00:00:00"/>
        <d v="2020-02-06T00:00:00"/>
        <d v="2023-10-07T00:00:00"/>
        <d v="2023-06-06T00:00:00"/>
        <d v="2023-08-09T00:00:00"/>
        <d v="2023-07-13T00:00:00"/>
        <d v="2023-12-21T00:00:00"/>
        <d v="2019-07-08T00:00:00"/>
        <d v="2023-06-05T00:00:00"/>
        <d v="2023-06-15T00:00:00"/>
        <d v="2020-02-26T00:00:00"/>
        <d v="2019-10-03T00:00:00"/>
        <d v="2022-07-09T00:00:00"/>
        <d v="2021-10-15T00:00:00"/>
        <d v="2019-10-24T00:00:00"/>
        <d v="2021-05-19T00:00:00"/>
        <d v="2023-11-27T00:00:00"/>
        <d v="2020-12-20T00:00:00"/>
        <d v="2021-10-11T00:00:00"/>
        <d v="2020-09-20T00:00:00"/>
        <d v="2023-02-07T00:00:00"/>
        <d v="2022-03-25T00:00:00"/>
        <d v="2019-04-09T00:00:00"/>
        <d v="2021-01-15T00:00:00"/>
        <d v="2020-12-12T00:00:00"/>
        <d v="2019-07-06T00:00:00"/>
        <d v="2023-10-19T00:00:00"/>
        <d v="2023-12-06T00:00:00"/>
        <d v="2019-07-03T00:00:00"/>
        <d v="2021-05-25T00:00:00"/>
        <d v="2022-12-10T00:00:00"/>
        <d v="2021-03-20T00:00:00"/>
        <d v="2020-09-23T00:00:00"/>
        <d v="2023-07-07T00:00:00"/>
        <d v="2019-08-13T00:00:00"/>
        <d v="2023-03-04T00:00:00"/>
        <d v="2022-08-08T00:00:00"/>
        <d v="2019-06-06T00:00:00"/>
        <d v="2021-01-02T00:00:00"/>
        <d v="2022-07-10T00:00:00"/>
        <d v="2021-04-04T00:00:00"/>
        <d v="2023-06-23T00:00:00"/>
        <d v="2023-02-15T00:00:00"/>
        <d v="2020-08-18T00:00:00"/>
        <d v="2021-09-18T00:00:00"/>
        <d v="2019-03-24T00:00:00"/>
        <d v="2022-12-01T00:00:00"/>
        <d v="2021-06-04T00:00:00"/>
        <d v="2023-01-23T00:00:00"/>
        <d v="2021-02-04T00:00:00"/>
        <d v="2022-01-11T00:00:00"/>
        <d v="2021-09-28T00:00:00"/>
        <d v="2022-02-15T00:00:00"/>
        <d v="2020-09-16T00:00:00"/>
        <d v="2019-03-18T00:00:00"/>
        <d v="2019-12-13T00:00:00"/>
        <d v="2020-02-19T00:00:00"/>
        <d v="2022-04-20T00:00:00"/>
        <d v="2020-05-10T00:00:00"/>
        <d v="2021-12-27T00:00:00"/>
        <d v="2020-05-12T00:00:00"/>
        <d v="2023-09-14T00:00:00"/>
        <d v="2023-02-19T00:00:00"/>
        <d v="2023-02-20T00:00:00"/>
        <d v="2023-01-13T00:00:00"/>
        <d v="2020-07-04T00:00:00"/>
        <d v="2020-11-09T00:00:00"/>
        <d v="2023-12-09T00:00:00"/>
        <d v="2023-08-20T00:00:00"/>
        <d v="2020-04-12T00:00:00"/>
        <d v="2021-10-01T00:00:00"/>
        <d v="2021-12-14T00:00:00"/>
        <d v="2019-09-17T00:00:00"/>
        <d v="2019-02-23T00:00:00"/>
        <d v="2019-02-26T00:00:00"/>
        <d v="2023-01-24T00:00:00"/>
        <d v="2023-03-23T00:00:00"/>
        <d v="2023-12-17T00:00:00"/>
        <d v="2022-09-28T00:00:00"/>
        <d v="2020-07-06T00:00:00"/>
        <d v="2020-11-28T00:00:00"/>
        <d v="2021-02-15T00:00:00"/>
        <d v="2023-07-16T00:00:00"/>
        <d v="2020-01-23T00:00:00"/>
      </sharedItems>
    </cacheField>
    <cacheField name="End_Date" numFmtId="180">
      <sharedItems containsSemiMixedTypes="0" containsString="0" containsNonDate="0" containsDate="1" minDate="2019-07-07T00:00:00" maxDate="2025-05-10T00:00:00" count="771">
        <d v="2024-05-16T00:00:00"/>
        <d v="2023-07-04T00:00:00"/>
        <d v="2023-05-06T00:00:00"/>
        <d v="2024-03-17T00:00:00"/>
        <d v="2024-02-26T00:00:00"/>
        <d v="2023-01-23T00:00:00"/>
        <d v="2021-11-13T00:00:00"/>
        <d v="2023-10-08T00:00:00"/>
        <d v="2024-09-19T00:00:00"/>
        <d v="2020-10-21T00:00:00"/>
        <d v="2024-09-05T00:00:00"/>
        <d v="2023-03-28T00:00:00"/>
        <d v="2022-07-12T00:00:00"/>
        <d v="2021-01-11T00:00:00"/>
        <d v="2023-08-27T00:00:00"/>
        <d v="2020-09-18T00:00:00"/>
        <d v="2022-06-03T00:00:00"/>
        <d v="2023-10-26T00:00:00"/>
        <d v="2022-10-10T00:00:00"/>
        <d v="2021-05-09T00:00:00"/>
        <d v="2024-04-26T00:00:00"/>
        <d v="2020-04-12T00:00:00"/>
        <d v="2020-01-14T00:00:00"/>
        <d v="2023-10-14T00:00:00"/>
        <d v="2025-01-06T00:00:00"/>
        <d v="2024-08-19T00:00:00"/>
        <d v="2019-11-04T00:00:00"/>
        <d v="2022-12-15T00:00:00"/>
        <d v="2023-11-18T00:00:00"/>
        <d v="2021-10-25T00:00:00"/>
        <d v="2022-04-20T00:00:00"/>
        <d v="2021-10-21T00:00:00"/>
        <d v="2023-08-23T00:00:00"/>
        <d v="2024-08-09T00:00:00"/>
        <d v="2024-07-14T00:00:00"/>
        <d v="2023-05-09T00:00:00"/>
        <d v="2023-11-11T00:00:00"/>
        <d v="2022-05-25T00:00:00"/>
        <d v="2020-10-22T00:00:00"/>
        <d v="2020-07-11T00:00:00"/>
        <d v="2025-01-01T00:00:00"/>
        <d v="2023-02-26T00:00:00"/>
        <d v="2023-04-04T00:00:00"/>
        <d v="2019-11-07T00:00:00"/>
        <d v="2021-03-07T00:00:00"/>
        <d v="2021-07-01T00:00:00"/>
        <d v="2022-07-03T00:00:00"/>
        <d v="2020-12-16T00:00:00"/>
        <d v="2024-07-02T00:00:00"/>
        <d v="2023-04-16T00:00:00"/>
        <d v="2024-05-14T00:00:00"/>
        <d v="2023-08-05T00:00:00"/>
        <d v="2020-04-15T00:00:00"/>
        <d v="2022-08-03T00:00:00"/>
        <d v="2020-01-05T00:00:00"/>
        <d v="2023-08-01T00:00:00"/>
        <d v="2020-02-09T00:00:00"/>
        <d v="2024-10-01T00:00:00"/>
        <d v="2021-12-06T00:00:00"/>
        <d v="2020-03-16T00:00:00"/>
        <d v="2022-01-11T00:00:00"/>
        <d v="2022-04-11T00:00:00"/>
        <d v="2021-12-26T00:00:00"/>
        <d v="2022-08-26T00:00:00"/>
        <d v="2020-03-21T00:00:00"/>
        <d v="2020-06-01T00:00:00"/>
        <d v="2020-11-18T00:00:00"/>
        <d v="2023-10-18T00:00:00"/>
        <d v="2022-12-06T00:00:00"/>
        <d v="2024-02-28T00:00:00"/>
        <d v="2024-02-16T00:00:00"/>
        <d v="2022-03-10T00:00:00"/>
        <d v="2020-05-26T00:00:00"/>
        <d v="2024-01-13T00:00:00"/>
        <d v="2022-03-08T00:00:00"/>
        <d v="2023-04-15T00:00:00"/>
        <d v="2022-06-05T00:00:00"/>
        <d v="2022-03-18T00:00:00"/>
        <d v="2021-11-08T00:00:00"/>
        <d v="2024-06-28T00:00:00"/>
        <d v="2023-11-07T00:00:00"/>
        <d v="2024-08-01T00:00:00"/>
        <d v="2021-05-16T00:00:00"/>
        <d v="2025-01-02T00:00:00"/>
        <d v="2020-09-17T00:00:00"/>
        <d v="2025-01-07T00:00:00"/>
        <d v="2023-06-09T00:00:00"/>
        <d v="2024-03-09T00:00:00"/>
        <d v="2024-11-26T00:00:00"/>
        <d v="2023-02-17T00:00:00"/>
        <d v="2023-05-08T00:00:00"/>
        <d v="2023-06-21T00:00:00"/>
        <d v="2023-12-18T00:00:00"/>
        <d v="2022-05-24T00:00:00"/>
        <d v="2024-01-19T00:00:00"/>
        <d v="2024-04-23T00:00:00"/>
        <d v="2022-02-18T00:00:00"/>
        <d v="2022-07-10T00:00:00"/>
        <d v="2025-05-10T00:00:00"/>
        <d v="2020-12-05T00:00:00"/>
        <d v="2022-08-07T00:00:00"/>
        <d v="2022-02-26T00:00:00"/>
        <d v="2020-08-22T00:00:00"/>
        <d v="2024-04-09T00:00:00"/>
        <d v="2023-02-10T00:00:00"/>
        <d v="2024-04-05T00:00:00"/>
        <d v="2021-08-27T00:00:00"/>
        <d v="2021-08-21T00:00:00"/>
        <d v="2022-01-26T00:00:00"/>
        <d v="2024-09-09T00:00:00"/>
        <d v="2023-01-08T00:00:00"/>
        <d v="2022-07-08T00:00:00"/>
        <d v="2024-05-19T00:00:00"/>
        <d v="2022-10-08T00:00:00"/>
        <d v="2020-07-15T00:00:00"/>
        <d v="2022-09-04T00:00:00"/>
        <d v="2024-01-12T00:00:00"/>
        <d v="2022-09-01T00:00:00"/>
        <d v="2023-06-14T00:00:00"/>
        <d v="2022-03-13T00:00:00"/>
        <d v="2023-12-21T00:00:00"/>
        <d v="2022-01-20T00:00:00"/>
        <d v="2024-04-16T00:00:00"/>
        <d v="2021-11-10T00:00:00"/>
        <d v="2021-01-07T00:00:00"/>
        <d v="2024-02-13T00:00:00"/>
        <d v="2019-10-22T00:00:00"/>
        <d v="2022-06-28T00:00:00"/>
        <d v="2021-03-16T00:00:00"/>
        <d v="2022-08-12T00:00:00"/>
        <d v="2023-07-05T00:00:00"/>
        <d v="2023-02-19T00:00:00"/>
        <d v="2023-04-25T00:00:00"/>
        <d v="2022-07-28T00:00:00"/>
        <d v="2023-05-12T00:00:00"/>
        <d v="2023-02-20T00:00:00"/>
        <d v="2024-02-14T00:00:00"/>
        <d v="2022-10-05T00:00:00"/>
        <d v="2021-07-09T00:00:00"/>
        <d v="2022-02-24T00:00:00"/>
        <d v="2023-02-01T00:00:00"/>
        <d v="2023-04-05T00:00:00"/>
        <d v="2023-11-10T00:00:00"/>
        <d v="2020-11-17T00:00:00"/>
        <d v="2020-06-17T00:00:00"/>
        <d v="2022-09-20T00:00:00"/>
        <d v="2021-04-04T00:00:00"/>
        <d v="2023-02-13T00:00:00"/>
        <d v="2024-05-10T00:00:00"/>
        <d v="2024-03-11T00:00:00"/>
        <d v="2024-02-09T00:00:00"/>
        <d v="2023-06-12T00:00:00"/>
        <d v="2019-12-20T00:00:00"/>
        <d v="2020-11-19T00:00:00"/>
        <d v="2022-08-13T00:00:00"/>
        <d v="2022-10-12T00:00:00"/>
        <d v="2022-12-19T00:00:00"/>
        <d v="2021-02-18T00:00:00"/>
        <d v="2020-08-20T00:00:00"/>
        <d v="2023-01-09T00:00:00"/>
        <d v="2025-03-19T00:00:00"/>
        <d v="2021-10-10T00:00:00"/>
        <d v="2020-10-11T00:00:00"/>
        <d v="2024-07-28T00:00:00"/>
        <d v="2020-09-16T00:00:00"/>
        <d v="2021-07-02T00:00:00"/>
        <d v="2024-01-02T00:00:00"/>
        <d v="2024-04-04T00:00:00"/>
        <d v="2024-02-23T00:00:00"/>
        <d v="2021-12-05T00:00:00"/>
        <d v="2019-12-26T00:00:00"/>
        <d v="2022-01-02T00:00:00"/>
        <d v="2020-04-20T00:00:00"/>
        <d v="2022-03-27T00:00:00"/>
        <d v="2021-11-22T00:00:00"/>
        <d v="2020-10-18T00:00:00"/>
        <d v="2024-08-08T00:00:00"/>
        <d v="2023-05-22T00:00:00"/>
        <d v="2023-07-12T00:00:00"/>
        <d v="2023-09-14T00:00:00"/>
        <d v="2021-06-05T00:00:00"/>
        <d v="2024-03-24T00:00:00"/>
        <d v="2024-04-27T00:00:00"/>
        <d v="2024-02-25T00:00:00"/>
        <d v="2023-08-21T00:00:00"/>
        <d v="2022-09-17T00:00:00"/>
        <d v="2024-03-25T00:00:00"/>
        <d v="2023-04-02T00:00:00"/>
        <d v="2020-05-03T00:00:00"/>
        <d v="2023-12-28T00:00:00"/>
        <d v="2023-02-21T00:00:00"/>
        <d v="2023-04-26T00:00:00"/>
        <d v="2021-01-05T00:00:00"/>
        <d v="2024-01-26T00:00:00"/>
        <d v="2023-02-23T00:00:00"/>
        <d v="2023-09-05T00:00:00"/>
        <d v="2020-12-04T00:00:00"/>
        <d v="2021-06-09T00:00:00"/>
        <d v="2021-03-12T00:00:00"/>
        <d v="2024-09-26T00:00:00"/>
        <d v="2024-01-08T00:00:00"/>
        <d v="2021-01-12T00:00:00"/>
        <d v="2024-02-11T00:00:00"/>
        <d v="2023-09-15T00:00:00"/>
        <d v="2022-08-09T00:00:00"/>
        <d v="2021-03-03T00:00:00"/>
        <d v="2022-04-23T00:00:00"/>
        <d v="2021-08-15T00:00:00"/>
        <d v="2024-11-15T00:00:00"/>
        <d v="2022-10-28T00:00:00"/>
        <d v="2020-10-25T00:00:00"/>
        <d v="2023-10-24T00:00:00"/>
        <d v="2020-05-12T00:00:00"/>
        <d v="2020-08-19T00:00:00"/>
        <d v="2022-10-04T00:00:00"/>
        <d v="2021-10-08T00:00:00"/>
        <d v="2019-12-02T00:00:00"/>
        <d v="2024-09-20T00:00:00"/>
        <d v="2024-07-15T00:00:00"/>
        <d v="2023-10-16T00:00:00"/>
        <d v="2020-07-02T00:00:00"/>
        <d v="2023-11-09T00:00:00"/>
        <d v="2021-05-23T00:00:00"/>
        <d v="2021-12-02T00:00:00"/>
        <d v="2023-03-03T00:00:00"/>
        <d v="2023-09-13T00:00:00"/>
        <d v="2022-04-10T00:00:00"/>
        <d v="2024-09-14T00:00:00"/>
        <d v="2025-04-28T00:00:00"/>
        <d v="2022-08-20T00:00:00"/>
        <d v="2022-01-01T00:00:00"/>
        <d v="2022-11-05T00:00:00"/>
        <d v="2021-11-16T00:00:00"/>
        <d v="2020-05-09T00:00:00"/>
        <d v="2022-02-09T00:00:00"/>
        <d v="2021-09-17T00:00:00"/>
        <d v="2020-12-21T00:00:00"/>
        <d v="2023-06-16T00:00:00"/>
        <d v="2023-01-01T00:00:00"/>
        <d v="2023-10-20T00:00:00"/>
        <d v="2023-08-09T00:00:00"/>
        <d v="2023-08-04T00:00:00"/>
        <d v="2024-07-17T00:00:00"/>
        <d v="2023-02-06T00:00:00"/>
        <d v="2020-03-17T00:00:00"/>
        <d v="2024-03-08T00:00:00"/>
        <d v="2020-11-04T00:00:00"/>
        <d v="2023-01-03T00:00:00"/>
        <d v="2022-10-01T00:00:00"/>
        <d v="2024-03-05T00:00:00"/>
        <d v="2020-05-19T00:00:00"/>
        <d v="2023-11-17T00:00:00"/>
        <d v="2020-08-10T00:00:00"/>
        <d v="2024-09-10T00:00:00"/>
        <d v="2022-07-06T00:00:00"/>
        <d v="2024-05-22T00:00:00"/>
        <d v="2023-10-21T00:00:00"/>
        <d v="2022-12-13T00:00:00"/>
        <d v="2022-05-20T00:00:00"/>
        <d v="2020-07-18T00:00:00"/>
        <d v="2020-11-10T00:00:00"/>
        <d v="2022-06-19T00:00:00"/>
        <d v="2023-02-16T00:00:00"/>
        <d v="2021-04-12T00:00:00"/>
        <d v="2024-05-02T00:00:00"/>
        <d v="2024-01-27T00:00:00"/>
        <d v="2022-09-08T00:00:00"/>
        <d v="2020-04-04T00:00:00"/>
        <d v="2022-02-14T00:00:00"/>
        <d v="2023-05-14T00:00:00"/>
        <d v="2023-12-26T00:00:00"/>
        <d v="2024-03-10T00:00:00"/>
        <d v="2023-09-08T00:00:00"/>
        <d v="2021-01-01T00:00:00"/>
        <d v="2020-08-21T00:00:00"/>
        <d v="2024-09-22T00:00:00"/>
        <d v="2020-11-21T00:00:00"/>
        <d v="2020-06-07T00:00:00"/>
        <d v="2020-11-16T00:00:00"/>
        <d v="2020-09-20T00:00:00"/>
        <d v="2023-08-26T00:00:00"/>
        <d v="2022-12-16T00:00:00"/>
        <d v="2023-04-20T00:00:00"/>
        <d v="2023-09-23T00:00:00"/>
        <d v="2021-09-09T00:00:00"/>
        <d v="2024-11-25T00:00:00"/>
        <d v="2021-01-15T00:00:00"/>
        <d v="2024-10-11T00:00:00"/>
        <d v="2025-01-18T00:00:00"/>
        <d v="2020-04-10T00:00:00"/>
        <d v="2021-11-11T00:00:00"/>
        <d v="2024-01-22T00:00:00"/>
        <d v="2023-02-18T00:00:00"/>
        <d v="2021-08-10T00:00:00"/>
        <d v="2021-10-14T00:00:00"/>
        <d v="2024-09-15T00:00:00"/>
        <d v="2024-07-13T00:00:00"/>
        <d v="2023-06-06T00:00:00"/>
        <d v="2023-04-03T00:00:00"/>
        <d v="2022-02-15T00:00:00"/>
        <d v="2021-03-08T00:00:00"/>
        <d v="2025-02-07T00:00:00"/>
        <d v="2022-06-16T00:00:00"/>
        <d v="2021-04-16T00:00:00"/>
        <d v="2020-09-28T00:00:00"/>
        <d v="2020-09-21T00:00:00"/>
        <d v="2024-02-10T00:00:00"/>
        <d v="2023-02-28T00:00:00"/>
        <d v="2023-01-05T00:00:00"/>
        <d v="2020-03-19T00:00:00"/>
        <d v="2024-04-22T00:00:00"/>
        <d v="2023-03-23T00:00:00"/>
        <d v="2021-02-14T00:00:00"/>
        <d v="2021-06-06T00:00:00"/>
        <d v="2023-06-25T00:00:00"/>
        <d v="2022-09-14T00:00:00"/>
        <d v="2024-11-23T00:00:00"/>
        <d v="2024-12-24T00:00:00"/>
        <d v="2023-11-24T00:00:00"/>
        <d v="2022-01-10T00:00:00"/>
        <d v="2022-08-22T00:00:00"/>
        <d v="2021-11-05T00:00:00"/>
        <d v="2021-03-04T00:00:00"/>
        <d v="2023-09-21T00:00:00"/>
        <d v="2023-11-23T00:00:00"/>
        <d v="2020-06-28T00:00:00"/>
        <d v="2024-07-12T00:00:00"/>
        <d v="2020-01-02T00:00:00"/>
        <d v="2023-04-14T00:00:00"/>
        <d v="2021-01-04T00:00:00"/>
        <d v="2021-07-24T00:00:00"/>
        <d v="2023-07-26T00:00:00"/>
        <d v="2021-02-10T00:00:00"/>
        <d v="2022-02-22T00:00:00"/>
        <d v="2022-02-20T00:00:00"/>
        <d v="2020-12-07T00:00:00"/>
        <d v="2024-02-24T00:00:00"/>
        <d v="2021-12-16T00:00:00"/>
        <d v="2024-07-21T00:00:00"/>
        <d v="2021-04-11T00:00:00"/>
        <d v="2020-10-24T00:00:00"/>
        <d v="2022-11-26T00:00:00"/>
        <d v="2024-01-23T00:00:00"/>
        <d v="2020-11-01T00:00:00"/>
        <d v="2020-09-05T00:00:00"/>
        <d v="2020-05-27T00:00:00"/>
        <d v="2022-08-19T00:00:00"/>
        <d v="2021-09-10T00:00:00"/>
        <d v="2022-07-04T00:00:00"/>
        <d v="2023-06-15T00:00:00"/>
        <d v="2021-01-08T00:00:00"/>
        <d v="2024-05-04T00:00:00"/>
        <d v="2023-09-12T00:00:00"/>
        <d v="2022-09-06T00:00:00"/>
        <d v="2020-10-23T00:00:00"/>
        <d v="2024-04-08T00:00:00"/>
        <d v="2021-12-03T00:00:00"/>
        <d v="2020-07-21T00:00:00"/>
        <d v="2021-01-20T00:00:00"/>
        <d v="2024-03-01T00:00:00"/>
        <d v="2019-08-11T00:00:00"/>
        <d v="2024-08-17T00:00:00"/>
        <d v="2022-02-06T00:00:00"/>
        <d v="2020-01-25T00:00:00"/>
        <d v="2023-06-05T00:00:00"/>
        <d v="2020-04-21T00:00:00"/>
        <d v="2024-03-04T00:00:00"/>
        <d v="2021-10-07T00:00:00"/>
        <d v="2022-03-15T00:00:00"/>
        <d v="2023-09-28T00:00:00"/>
        <d v="2021-05-25T00:00:00"/>
        <d v="2023-12-06T00:00:00"/>
        <d v="2024-06-01T00:00:00"/>
        <d v="2022-08-14T00:00:00"/>
        <d v="2022-11-20T00:00:00"/>
        <d v="2020-02-06T00:00:00"/>
        <d v="2025-03-14T00:00:00"/>
        <d v="2023-07-10T00:00:00"/>
        <d v="2022-01-13T00:00:00"/>
        <d v="2022-11-06T00:00:00"/>
        <d v="2021-05-15T00:00:00"/>
        <d v="2022-11-03T00:00:00"/>
        <d v="2024-01-05T00:00:00"/>
        <d v="2022-09-24T00:00:00"/>
        <d v="2024-06-17T00:00:00"/>
        <d v="2020-06-08T00:00:00"/>
        <d v="2020-12-26T00:00:00"/>
        <d v="2023-07-01T00:00:00"/>
        <d v="2021-09-03T00:00:00"/>
        <d v="2024-08-23T00:00:00"/>
        <d v="2020-08-09T00:00:00"/>
        <d v="2024-06-22T00:00:00"/>
        <d v="2023-02-22T00:00:00"/>
        <d v="2024-07-19T00:00:00"/>
        <d v="2020-05-24T00:00:00"/>
        <d v="2019-10-20T00:00:00"/>
        <d v="2022-08-15T00:00:00"/>
        <d v="2022-11-10T00:00:00"/>
        <d v="2023-11-04T00:00:00"/>
        <d v="2024-03-26T00:00:00"/>
        <d v="2024-05-07T00:00:00"/>
        <d v="2023-07-02T00:00:00"/>
        <d v="2024-06-18T00:00:00"/>
        <d v="2023-05-26T00:00:00"/>
        <d v="2023-01-20T00:00:00"/>
        <d v="2019-11-15T00:00:00"/>
        <d v="2021-06-23T00:00:00"/>
        <d v="2023-01-28T00:00:00"/>
        <d v="2023-10-25T00:00:00"/>
        <d v="2023-05-24T00:00:00"/>
        <d v="2020-06-06T00:00:00"/>
        <d v="2024-06-08T00:00:00"/>
        <d v="2024-10-27T00:00:00"/>
        <d v="2020-06-19T00:00:00"/>
        <d v="2024-03-19T00:00:00"/>
        <d v="2023-07-25T00:00:00"/>
        <d v="2022-09-19T00:00:00"/>
        <d v="2020-09-19T00:00:00"/>
        <d v="2023-01-11T00:00:00"/>
        <d v="2021-01-10T00:00:00"/>
        <d v="2020-04-07T00:00:00"/>
        <d v="2021-11-03T00:00:00"/>
        <d v="2021-07-13T00:00:00"/>
        <d v="2020-05-23T00:00:00"/>
        <d v="2021-09-08T00:00:00"/>
        <d v="2022-05-27T00:00:00"/>
        <d v="2022-12-25T00:00:00"/>
        <d v="2020-07-17T00:00:00"/>
        <d v="2025-01-04T00:00:00"/>
        <d v="2020-06-13T00:00:00"/>
        <d v="2024-09-18T00:00:00"/>
        <d v="2021-03-28T00:00:00"/>
        <d v="2024-07-06T00:00:00"/>
        <d v="2020-06-10T00:00:00"/>
        <d v="2023-01-25T00:00:00"/>
        <d v="2023-08-10T00:00:00"/>
        <d v="2021-08-18T00:00:00"/>
        <d v="2021-09-01T00:00:00"/>
        <d v="2021-11-21T00:00:00"/>
        <d v="2020-05-15T00:00:00"/>
        <d v="2022-02-05T00:00:00"/>
        <d v="2025-03-03T00:00:00"/>
        <d v="2022-06-13T00:00:00"/>
        <d v="2022-09-12T00:00:00"/>
        <d v="2024-01-09T00:00:00"/>
        <d v="2022-01-06T00:00:00"/>
        <d v="2021-04-24T00:00:00"/>
        <d v="2024-07-05T00:00:00"/>
        <d v="2021-01-28T00:00:00"/>
        <d v="2023-05-23T00:00:00"/>
        <d v="2021-05-12T00:00:00"/>
        <d v="2021-10-17T00:00:00"/>
        <d v="2022-04-12T00:00:00"/>
        <d v="2023-02-12T00:00:00"/>
        <d v="2020-09-24T00:00:00"/>
        <d v="2019-12-12T00:00:00"/>
        <d v="2024-08-10T00:00:00"/>
        <d v="2023-10-01T00:00:00"/>
        <d v="2024-03-03T00:00:00"/>
        <d v="2021-03-18T00:00:00"/>
        <d v="2023-03-04T00:00:00"/>
        <d v="2021-06-20T00:00:00"/>
        <d v="2021-12-20T00:00:00"/>
        <d v="2020-12-09T00:00:00"/>
        <d v="2022-06-23T00:00:00"/>
        <d v="2022-05-26T00:00:00"/>
        <d v="2021-12-08T00:00:00"/>
        <d v="2025-02-28T00:00:00"/>
        <d v="2021-07-27T00:00:00"/>
        <d v="2020-09-03T00:00:00"/>
        <d v="2023-01-12T00:00:00"/>
        <d v="2021-09-22T00:00:00"/>
        <d v="2022-10-24T00:00:00"/>
        <d v="2021-08-28T00:00:00"/>
        <d v="2024-08-18T00:00:00"/>
        <d v="2023-02-08T00:00:00"/>
        <d v="2022-02-19T00:00:00"/>
        <d v="2020-07-13T00:00:00"/>
        <d v="2020-04-01T00:00:00"/>
        <d v="2024-06-23T00:00:00"/>
        <d v="2022-07-24T00:00:00"/>
        <d v="2020-04-06T00:00:00"/>
        <d v="2021-07-10T00:00:00"/>
        <d v="2022-01-24T00:00:00"/>
        <d v="2023-04-19T00:00:00"/>
        <d v="2024-06-25T00:00:00"/>
        <d v="2024-03-06T00:00:00"/>
        <d v="2024-10-14T00:00:00"/>
        <d v="2020-11-15T00:00:00"/>
        <d v="2021-04-03T00:00:00"/>
        <d v="2020-02-19T00:00:00"/>
        <d v="2021-06-27T00:00:00"/>
        <d v="2022-04-14T00:00:00"/>
        <d v="2024-02-15T00:00:00"/>
        <d v="2023-03-09T00:00:00"/>
        <d v="2024-10-19T00:00:00"/>
        <d v="2020-03-09T00:00:00"/>
        <d v="2024-02-19T00:00:00"/>
        <d v="2022-01-05T00:00:00"/>
        <d v="2024-05-23T00:00:00"/>
        <d v="2023-08-03T00:00:00"/>
        <d v="2025-02-19T00:00:00"/>
        <d v="2020-10-15T00:00:00"/>
        <d v="2021-04-27T00:00:00"/>
        <d v="2022-10-27T00:00:00"/>
        <d v="2022-04-09T00:00:00"/>
        <d v="2019-08-08T00:00:00"/>
        <d v="2021-07-19T00:00:00"/>
        <d v="2022-11-27T00:00:00"/>
        <d v="2020-10-02T00:00:00"/>
        <d v="2023-09-18T00:00:00"/>
        <d v="2022-03-07T00:00:00"/>
        <d v="2021-06-11T00:00:00"/>
        <d v="2023-03-15T00:00:00"/>
        <d v="2020-12-27T00:00:00"/>
        <d v="2022-09-28T00:00:00"/>
        <d v="2023-05-16T00:00:00"/>
        <d v="2024-06-14T00:00:00"/>
        <d v="2023-10-03T00:00:00"/>
        <d v="2024-12-14T00:00:00"/>
        <d v="2020-09-08T00:00:00"/>
        <d v="2023-06-23T00:00:00"/>
        <d v="2021-02-28T00:00:00"/>
        <d v="2023-12-24T00:00:00"/>
        <d v="2023-10-02T00:00:00"/>
        <d v="2024-02-20T00:00:00"/>
        <d v="2023-04-18T00:00:00"/>
        <d v="2020-10-16T00:00:00"/>
        <d v="2022-11-11T00:00:00"/>
        <d v="2021-05-21T00:00:00"/>
        <d v="2021-09-05T00:00:00"/>
        <d v="2023-11-21T00:00:00"/>
        <d v="2022-01-14T00:00:00"/>
        <d v="2021-01-22T00:00:00"/>
        <d v="2021-04-23T00:00:00"/>
        <d v="2025-01-22T00:00:00"/>
        <d v="2021-01-19T00:00:00"/>
        <d v="2023-05-10T00:00:00"/>
        <d v="2022-07-27T00:00:00"/>
        <d v="2025-02-05T00:00:00"/>
        <d v="2023-07-11T00:00:00"/>
        <d v="2020-12-23T00:00:00"/>
        <d v="2020-11-12T00:00:00"/>
        <d v="2023-11-03T00:00:00"/>
        <d v="2020-10-06T00:00:00"/>
        <d v="2022-10-22T00:00:00"/>
        <d v="2019-10-06T00:00:00"/>
        <d v="2020-04-22T00:00:00"/>
        <d v="2024-09-04T00:00:00"/>
        <d v="2021-07-08T00:00:00"/>
        <d v="2021-11-25T00:00:00"/>
        <d v="2024-08-11T00:00:00"/>
        <d v="2022-03-28T00:00:00"/>
        <d v="2021-10-22T00:00:00"/>
        <d v="2021-05-02T00:00:00"/>
        <d v="2020-12-22T00:00:00"/>
        <d v="2021-05-01T00:00:00"/>
        <d v="2022-03-03T00:00:00"/>
        <d v="2023-06-26T00:00:00"/>
        <d v="2021-12-21T00:00:00"/>
        <d v="2021-03-09T00:00:00"/>
        <d v="2021-10-28T00:00:00"/>
        <d v="2020-08-05T00:00:00"/>
        <d v="2021-01-17T00:00:00"/>
        <d v="2021-02-20T00:00:00"/>
        <d v="2019-09-28T00:00:00"/>
        <d v="2024-07-22T00:00:00"/>
        <d v="2022-10-20T00:00:00"/>
        <d v="2022-11-02T00:00:00"/>
        <d v="2023-04-06T00:00:00"/>
        <d v="2022-02-04T00:00:00"/>
        <d v="2019-11-11T00:00:00"/>
        <d v="2021-10-24T00:00:00"/>
        <d v="2020-10-03T00:00:00"/>
        <d v="2021-04-26T00:00:00"/>
        <d v="2021-06-07T00:00:00"/>
        <d v="2022-06-10T00:00:00"/>
        <d v="2022-12-10T00:00:00"/>
        <d v="2019-10-03T00:00:00"/>
        <d v="2021-06-21T00:00:00"/>
        <d v="2020-10-07T00:00:00"/>
        <d v="2020-11-09T00:00:00"/>
        <d v="2021-08-05T00:00:00"/>
        <d v="2019-09-19T00:00:00"/>
        <d v="2021-01-24T00:00:00"/>
        <d v="2023-03-18T00:00:00"/>
        <d v="2023-11-12T00:00:00"/>
        <d v="2024-03-22T00:00:00"/>
        <d v="2021-06-08T00:00:00"/>
        <d v="2024-08-03T00:00:00"/>
        <d v="2024-02-21T00:00:00"/>
        <d v="2021-03-26T00:00:00"/>
        <d v="2024-05-01T00:00:00"/>
        <d v="2022-08-08T00:00:00"/>
        <d v="2021-02-25T00:00:00"/>
        <d v="2023-08-24T00:00:00"/>
        <d v="2020-08-08T00:00:00"/>
        <d v="2024-04-19T00:00:00"/>
        <d v="2020-10-27T00:00:00"/>
        <d v="2020-07-22T00:00:00"/>
        <d v="2022-05-17T00:00:00"/>
        <d v="2019-07-07T00:00:00"/>
        <d v="2022-01-27T00:00:00"/>
        <d v="2023-03-01T00:00:00"/>
        <d v="2020-12-12T00:00:00"/>
        <d v="2024-10-26T00:00:00"/>
        <d v="2021-10-18T00:00:00"/>
        <d v="2022-07-18T00:00:00"/>
        <d v="2023-06-22T00:00:00"/>
        <d v="2020-04-13T00:00:00"/>
        <d v="2020-09-12T00:00:00"/>
        <d v="2023-03-02T00:00:00"/>
        <d v="2023-12-04T00:00:00"/>
        <d v="2022-06-06T00:00:00"/>
        <d v="2023-12-02T00:00:00"/>
        <d v="2024-10-23T00:00:00"/>
        <d v="2021-12-22T00:00:00"/>
        <d v="2022-03-17T00:00:00"/>
        <d v="2022-10-09T00:00:00"/>
        <d v="2025-02-26T00:00:00"/>
        <d v="2024-07-25T00:00:00"/>
        <d v="2021-06-15T00:00:00"/>
        <d v="2024-08-27T00:00:00"/>
        <d v="2022-10-17T00:00:00"/>
        <d v="2024-06-10T00:00:00"/>
        <d v="2023-01-16T00:00:00"/>
        <d v="2022-11-13T00:00:00"/>
        <d v="2021-02-24T00:00:00"/>
        <d v="2024-05-09T00:00:00"/>
        <d v="2023-11-27T00:00:00"/>
        <d v="2024-12-17T00:00:00"/>
        <d v="2024-05-11T00:00:00"/>
        <d v="2021-07-05T00:00:00"/>
        <d v="2019-12-09T00:00:00"/>
        <d v="2020-10-01T00:00:00"/>
        <d v="2022-03-01T00:00:00"/>
        <d v="2022-04-17T00:00:00"/>
        <d v="2023-11-16T00:00:00"/>
        <d v="2022-12-03T00:00:00"/>
        <d v="2022-12-20T00:00:00"/>
        <d v="2022-04-28T00:00:00"/>
        <d v="2025-01-14T00:00:00"/>
        <d v="2022-08-02T00:00:00"/>
        <d v="2021-03-14T00:00:00"/>
        <d v="2021-06-13T00:00:00"/>
        <d v="2020-05-07T00:00:00"/>
        <d v="2021-09-20T00:00:00"/>
        <d v="2024-11-11T00:00:00"/>
        <d v="2020-07-27T00:00:00"/>
        <d v="2021-08-17T00:00:00"/>
        <d v="2022-05-14T00:00:00"/>
        <d v="2022-05-06T00:00:00"/>
        <d v="2022-09-25T00:00:00"/>
        <d v="2024-09-21T00:00:00"/>
        <d v="2020-01-15T00:00:00"/>
        <d v="2022-10-15T00:00:00"/>
        <d v="2021-02-06T00:00:00"/>
        <d v="2024-02-27T00:00:00"/>
        <d v="2023-12-10T00:00:00"/>
        <d v="2022-05-07T00:00:00"/>
        <d v="2025-02-02T00:00:00"/>
        <d v="2021-04-17T00:00:00"/>
        <d v="2020-09-27T00:00:00"/>
        <d v="2025-03-22T00:00:00"/>
        <d v="2020-08-14T00:00:00"/>
        <d v="2024-01-10T00:00:00"/>
        <d v="2021-04-20T00:00:00"/>
        <d v="2020-06-05T00:00:00"/>
        <d v="2020-02-03T00:00:00"/>
        <d v="2020-07-05T00:00:00"/>
        <d v="2022-05-05T00:00:00"/>
        <d v="2021-07-26T00:00:00"/>
        <d v="2022-06-25T00:00:00"/>
        <d v="2024-11-07T00:00:00"/>
        <d v="2022-07-20T00:00:00"/>
        <d v="2021-12-23T00:00:00"/>
        <d v="2020-11-07T00:00:00"/>
        <d v="2024-08-02T00:00:00"/>
        <d v="2021-02-13T00:00:00"/>
        <d v="2019-12-08T00:00:00"/>
        <d v="2023-08-12T00:00:00"/>
        <d v="2023-07-06T00:00:00"/>
        <d v="2024-03-20T00:00:00"/>
        <d v="2022-05-21T00:00:00"/>
        <d v="2021-07-25T00:00:00"/>
        <d v="2020-10-08T00:00:00"/>
        <d v="2024-01-15T00:00:00"/>
        <d v="2019-10-10T00:00:00"/>
        <d v="2024-11-05T00:00:00"/>
        <d v="2022-06-08T00:00:00"/>
        <d v="2021-01-06T00:00:00"/>
        <d v="2022-03-06T00:00:00"/>
        <d v="2024-07-07T00:00:00"/>
        <d v="2024-02-06T00:00:00"/>
        <d v="2024-06-09T00:00:00"/>
        <d v="2024-11-13T00:00:00"/>
        <d v="2020-07-16T00:00:00"/>
        <d v="2025-01-21T00:00:00"/>
        <d v="2024-06-13T00:00:00"/>
        <d v="2020-11-08T00:00:00"/>
        <d v="2023-12-05T00:00:00"/>
        <d v="2022-09-09T00:00:00"/>
        <d v="2024-08-15T00:00:00"/>
        <d v="2021-05-26T00:00:00"/>
        <d v="2021-02-03T00:00:00"/>
        <d v="2023-01-15T00:00:00"/>
        <d v="2025-01-27T00:00:00"/>
        <d v="2022-06-12T00:00:00"/>
        <d v="2023-02-11T00:00:00"/>
        <d v="2020-04-08T00:00:00"/>
        <d v="2021-07-20T00:00:00"/>
        <d v="2020-09-09T00:00:00"/>
        <d v="2022-06-15T00:00:00"/>
        <d v="2024-03-23T00:00:00"/>
        <d v="2022-05-12T00:00:00"/>
        <d v="2022-03-11T00:00:00"/>
        <d v="2020-07-06T00:00:00"/>
        <d v="2024-12-06T00:00:00"/>
        <d v="2020-07-03T00:00:00"/>
        <d v="2021-09-11T00:00:00"/>
        <d v="2020-09-07T00:00:00"/>
        <d v="2022-01-25T00:00:00"/>
        <d v="2024-02-07T00:00:00"/>
        <d v="2020-10-13T00:00:00"/>
        <d v="2021-05-18T00:00:00"/>
        <d v="2024-07-04T00:00:00"/>
        <d v="2021-01-18T00:00:00"/>
        <d v="2022-07-16T00:00:00"/>
        <d v="2023-06-08T00:00:00"/>
        <d v="2020-01-06T00:00:00"/>
        <d v="2020-12-18T00:00:00"/>
        <d v="2024-09-28T00:00:00"/>
        <d v="2024-11-14T00:00:00"/>
        <d v="2023-09-10T00:00:00"/>
        <d v="2021-12-04T00:00:00"/>
        <d v="2021-06-04T00:00:00"/>
        <d v="2021-09-18T00:00:00"/>
        <d v="2022-06-18T00:00:00"/>
        <d v="2019-12-24T00:00:00"/>
        <d v="2022-03-04T00:00:00"/>
        <d v="2023-07-23T00:00:00"/>
        <d v="2022-10-11T00:00:00"/>
        <d v="2021-04-28T00:00:00"/>
        <d v="2021-10-16T00:00:00"/>
        <d v="2019-11-18T00:00:00"/>
        <d v="2020-10-12T00:00:00"/>
        <d v="2020-09-13T00:00:00"/>
        <d v="2023-05-20T00:00:00"/>
        <d v="2022-10-06T00:00:00"/>
        <d v="2023-01-27T00:00:00"/>
        <d v="2021-10-12T00:00:00"/>
        <d v="2023-08-19T00:00:00"/>
        <d v="2023-08-20T00:00:00"/>
        <d v="2023-07-13T00:00:00"/>
        <d v="2021-02-04T00:00:00"/>
        <d v="2022-05-09T00:00:00"/>
        <d v="2024-12-09T00:00:00"/>
        <d v="2025-02-20T00:00:00"/>
        <d v="2022-08-01T00:00:00"/>
        <d v="2023-12-08T00:00:00"/>
        <d v="2022-06-27T00:00:00"/>
        <d v="2020-02-23T00:00:00"/>
        <d v="2023-10-23T00:00:00"/>
        <d v="2023-04-28T00:00:00"/>
        <d v="2021-03-06T00:00:00"/>
        <d v="2021-05-17T00:00:00"/>
        <d v="2022-02-28T00:00:00"/>
        <d v="2021-09-15T00:00:00"/>
        <d v="2023-03-10T00:00:00"/>
        <d v="2024-08-05T00:00:00"/>
        <d v="2024-07-16T00:00:00"/>
      </sharedItems>
    </cacheField>
    <cacheField name="Dose" numFmtId="0">
      <sharedItems containsSemiMixedTypes="0" containsString="0" containsNumber="1" containsInteger="1" minValue="0" maxValue="200" count="4">
        <n v="200"/>
        <n v="100"/>
        <n v="150"/>
        <n v="50"/>
      </sharedItems>
    </cacheField>
    <cacheField name="Adverse_Events" numFmtId="0">
      <sharedItems count="5">
        <s v="Fatigue"/>
        <s v="None"/>
        <s v="Nausea"/>
        <s v="Dizziness"/>
        <s v="Headache"/>
      </sharedItems>
    </cacheField>
    <cacheField name="Treatment_ID" numFmtId="0">
      <sharedItems count="197">
        <s v="TR0085"/>
        <s v="TR0002"/>
        <s v="TR0158"/>
        <s v="TR0029"/>
        <s v="TR0107"/>
        <s v="TR0009"/>
        <s v="TR0077"/>
        <s v="TR0037"/>
        <s v="TR0039"/>
        <s v="TR0166"/>
        <s v="TR0049"/>
        <s v="TR0195"/>
        <s v="TR0168"/>
        <s v="TR0036"/>
        <s v="TR0185"/>
        <s v="TR0179"/>
        <s v="TR0178"/>
        <s v="TR0194"/>
        <s v="TR0142"/>
        <s v="TR0028"/>
        <s v="TR0004"/>
        <s v="TR0093"/>
        <s v="TR0123"/>
        <s v="TR0075"/>
        <s v="TR0138"/>
        <s v="TR0096"/>
        <s v="TR0025"/>
        <s v="TR0104"/>
        <s v="TR0084"/>
        <s v="TR0035"/>
        <s v="TR0145"/>
        <s v="TR0056"/>
        <s v="TR0016"/>
        <s v="TR0183"/>
        <s v="TR0171"/>
        <s v="TR0005"/>
        <s v="TR0161"/>
        <s v="TR0059"/>
        <s v="TR0163"/>
        <s v="TR0089"/>
        <s v="TR0015"/>
        <s v="TR0010"/>
        <s v="TR0120"/>
        <s v="TR0024"/>
        <s v="TR0180"/>
        <s v="TR0198"/>
        <s v="TR0174"/>
        <s v="TR0020"/>
        <s v="TR0055"/>
        <s v="TR0162"/>
        <s v="TR0136"/>
        <s v="TR0184"/>
        <s v="TR0082"/>
        <s v="TR0113"/>
        <s v="TR0067"/>
        <s v="TR0026"/>
        <s v="TR0052"/>
        <s v="TR0048"/>
        <s v="TR0061"/>
        <s v="TR0109"/>
        <s v="TR0071"/>
        <s v="TR0126"/>
        <s v="TR0200"/>
        <s v="TR0150"/>
        <s v="TR0169"/>
        <s v="TR0034"/>
        <s v="TR0177"/>
        <s v="TR0073"/>
        <s v="TR0011"/>
        <s v="TR0030"/>
        <s v="TR0098"/>
        <s v="TR0058"/>
        <s v="TR0143"/>
        <s v="TR0157"/>
        <s v="TR0076"/>
        <s v="TR0176"/>
        <s v="TR0189"/>
        <s v="TR0147"/>
        <s v="TR0007"/>
        <s v="TR0081"/>
        <s v="TR0102"/>
        <s v="TR0153"/>
        <s v="TR0172"/>
        <s v="TR0050"/>
        <s v="TR0129"/>
        <s v="TR0068"/>
        <s v="TR0106"/>
        <s v="TR0156"/>
        <s v="TR0197"/>
        <s v="TR0144"/>
        <s v="TR0100"/>
        <s v="TR0164"/>
        <s v="TR0151"/>
        <s v="TR0046"/>
        <s v="TR0031"/>
        <s v="TR0148"/>
        <s v="TR0032"/>
        <s v="TR0019"/>
        <s v="TR0006"/>
        <s v="TR0022"/>
        <s v="TR0003"/>
        <s v="TR0121"/>
        <s v="TR0175"/>
        <s v="TR0060"/>
        <s v="TR0094"/>
        <s v="TR0135"/>
        <s v="TR0133"/>
        <s v="TR0040"/>
        <s v="TR0124"/>
        <s v="TR0115"/>
        <s v="TR0038"/>
        <s v="TR0181"/>
        <s v="TR0018"/>
        <s v="TR0110"/>
        <s v="TR0191"/>
        <s v="TR0130"/>
        <s v="TR0080"/>
        <s v="TR0008"/>
        <s v="TR0017"/>
        <s v="TR0103"/>
        <s v="TR0152"/>
        <s v="TR0149"/>
        <s v="TR0160"/>
        <s v="TR0146"/>
        <s v="TR0014"/>
        <s v="TR0190"/>
        <s v="TR0186"/>
        <s v="TR0066"/>
        <s v="TR0065"/>
        <s v="TR0063"/>
        <s v="TR0062"/>
        <s v="TR0132"/>
        <s v="TR0021"/>
        <s v="TR0155"/>
        <s v="TR0196"/>
        <s v="TR0111"/>
        <s v="TR0173"/>
        <s v="TR0090"/>
        <s v="TR0044"/>
        <s v="TR0087"/>
        <s v="TR0119"/>
        <s v="TR0054"/>
        <s v="TR0117"/>
        <s v="TR0051"/>
        <s v="TR0074"/>
        <s v="TR0116"/>
        <s v="TR0118"/>
        <s v="TR0069"/>
        <s v="TR0170"/>
        <s v="TR0078"/>
        <s v="TR0023"/>
        <s v="TR0086"/>
        <s v="TR0108"/>
        <s v="TR0139"/>
        <s v="TR0042"/>
        <s v="TR0095"/>
        <s v="TR0154"/>
        <s v="TR0033"/>
        <s v="TR0134"/>
        <s v="TR0092"/>
        <s v="TR0072"/>
        <s v="TR0027"/>
        <s v="TR0053"/>
        <s v="TR0045"/>
        <s v="TR0187"/>
        <s v="TR0131"/>
        <s v="TR0193"/>
        <s v="TR0057"/>
        <s v="TR0188"/>
        <s v="TR0079"/>
        <s v="TR0182"/>
        <s v="TR0001"/>
        <s v="TR0101"/>
        <s v="TR0127"/>
        <s v="TR0199"/>
        <s v="TR0070"/>
        <s v="TR0112"/>
        <s v="TR0105"/>
        <s v="TR0091"/>
        <s v="TR0125"/>
        <s v="TR0064"/>
        <s v="TR0114"/>
        <s v="TR0099"/>
        <s v="TR0137"/>
        <s v="TR0122"/>
        <s v="TR0128"/>
        <s v="TR0083"/>
        <s v="TR0088"/>
        <s v="TR0159"/>
        <s v="TR0141"/>
        <s v="TR0013"/>
        <s v="TR0012"/>
        <s v="TR0192"/>
        <s v="TR0140"/>
        <s v="TR0043"/>
        <s v="TR0041"/>
        <s v="TR0167"/>
      </sharedItems>
    </cacheField>
    <cacheField name="Dose_Ad" numFmtId="0">
      <sharedItems containsSemiMixedTypes="0" containsString="0" containsNumber="1" containsInteger="1" minValue="0" maxValue="200" count="4">
        <n v="200"/>
        <n v="100"/>
        <n v="150"/>
        <n v="50"/>
      </sharedItems>
    </cacheField>
    <cacheField name="Treatment_Outcome" numFmtId="0">
      <sharedItems count="3">
        <s v="Improved"/>
        <s v="No Change"/>
        <s v="Deteriorated"/>
      </sharedItems>
    </cacheField>
    <cacheField name="Side_Effects" numFmtId="0">
      <sharedItems count="5">
        <s v="Headache"/>
        <s v="Fatigue"/>
        <s v="Dizziness"/>
        <s v="Nausea"/>
        <s v="None"/>
      </sharedItems>
    </cacheField>
    <cacheField name="Duration_of_Treatment" numFmtId="0">
      <sharedItems containsSemiMixedTypes="0" containsString="0" containsNumber="1" containsInteger="1" minValue="0" maxValue="180" count="151">
        <n v="95"/>
        <n v="90"/>
        <n v="64"/>
        <n v="159"/>
        <n v="44"/>
        <n v="76"/>
        <n v="138"/>
        <n v="42"/>
        <n v="86"/>
        <n v="77"/>
        <n v="124"/>
        <n v="152"/>
        <n v="47"/>
        <n v="103"/>
        <n v="50"/>
        <n v="99"/>
        <n v="108"/>
        <n v="129"/>
        <n v="156"/>
        <n v="131"/>
        <n v="134"/>
        <n v="57"/>
        <n v="180"/>
        <n v="111"/>
        <n v="59"/>
        <n v="91"/>
        <n v="145"/>
        <n v="104"/>
        <n v="93"/>
        <n v="166"/>
        <n v="130"/>
        <n v="46"/>
        <n v="142"/>
        <n v="139"/>
        <n v="56"/>
        <n v="135"/>
        <n v="102"/>
        <n v="63"/>
        <n v="136"/>
        <n v="109"/>
        <n v="96"/>
        <n v="72"/>
        <n v="87"/>
        <n v="113"/>
        <n v="89"/>
        <n v="163"/>
        <n v="74"/>
        <n v="80"/>
        <n v="101"/>
        <n v="127"/>
        <n v="174"/>
        <n v="45"/>
        <n v="121"/>
        <n v="117"/>
        <n v="78"/>
        <n v="82"/>
        <n v="97"/>
        <n v="81"/>
        <n v="132"/>
        <n v="112"/>
        <n v="37"/>
        <n v="75"/>
        <n v="151"/>
        <n v="160"/>
        <n v="65"/>
        <n v="105"/>
        <n v="148"/>
        <n v="143"/>
        <n v="157"/>
        <n v="58"/>
        <n v="110"/>
        <n v="146"/>
        <n v="68"/>
        <n v="133"/>
        <n v="53"/>
        <n v="30"/>
        <n v="60"/>
        <n v="153"/>
        <n v="168"/>
        <n v="43"/>
        <n v="126"/>
        <n v="48"/>
        <n v="161"/>
        <n v="170"/>
        <n v="178"/>
        <n v="40"/>
        <n v="94"/>
        <n v="176"/>
        <n v="179"/>
        <n v="32"/>
        <n v="120"/>
        <n v="31"/>
        <n v="38"/>
        <n v="55"/>
        <n v="85"/>
        <n v="70"/>
        <n v="118"/>
        <n v="149"/>
        <n v="175"/>
        <n v="125"/>
        <n v="141"/>
        <n v="144"/>
        <n v="154"/>
        <n v="119"/>
        <n v="155"/>
        <n v="167"/>
        <n v="158"/>
        <n v="51"/>
        <n v="137"/>
        <n v="106"/>
        <n v="83"/>
        <n v="115"/>
        <n v="52"/>
        <n v="54"/>
        <n v="67"/>
        <n v="122"/>
        <n v="36"/>
        <n v="49"/>
        <n v="39"/>
        <n v="33"/>
        <n v="100"/>
        <n v="147"/>
        <n v="177"/>
        <n v="173"/>
        <n v="150"/>
        <n v="34"/>
        <n v="69"/>
        <n v="116"/>
        <n v="92"/>
        <n v="35"/>
        <n v="114"/>
        <n v="88"/>
        <n v="62"/>
        <n v="61"/>
        <n v="79"/>
        <n v="164"/>
        <n v="123"/>
        <n v="107"/>
        <n v="66"/>
        <n v="98"/>
        <n v="128"/>
        <n v="165"/>
        <n v="171"/>
        <n v="140"/>
        <n v="71"/>
        <n v="169"/>
        <n v="73"/>
        <n v="162"/>
        <n v="172"/>
        <n v="41"/>
        <n v="84"/>
      </sharedItems>
    </cacheField>
    <cacheField name="Success_Indicator" numFmtId="0">
      <sharedItems containsSemiMixedTypes="0" containsString="0" containsNumber="1" containsInteger="1" minValue="0" maxValue="1" count="2">
        <n v="1"/>
        <n v="0"/>
      </sharedItems>
    </cacheField>
    <cacheField name="Gene_Name" numFmtId="0">
      <sharedItems count="5">
        <s v="BRCA2"/>
        <s v="HER2"/>
        <s v="EGFR"/>
        <s v="BRCA1"/>
        <s v="TP53"/>
      </sharedItems>
    </cacheField>
    <cacheField name="Mutation_Status" numFmtId="0">
      <sharedItems count="2">
        <s v="Positive"/>
        <s v="Negative"/>
      </sharedItems>
    </cacheField>
    <cacheField name="Expression_Level" numFmtId="0">
      <sharedItems containsSemiMixedTypes="0" containsString="0" containsNumber="1" minValue="0" maxValue="4.98" count="372">
        <n v="3.79"/>
        <n v="1.65"/>
        <n v="3.45"/>
        <n v="1.11"/>
        <n v="3.38"/>
        <n v="2.87"/>
        <n v="4.25"/>
        <n v="4.78"/>
        <n v="4.82"/>
        <n v="2.43"/>
        <n v="3.08"/>
        <n v="2.61"/>
        <n v="3.82"/>
        <n v="3.36"/>
        <n v="3.06"/>
        <n v="4.8"/>
        <n v="2.84"/>
        <n v="1.96"/>
        <n v="1.56"/>
        <n v="2.9"/>
        <n v="1.68"/>
        <n v="1.16"/>
        <n v="4.68"/>
        <n v="1.74"/>
        <n v="2.48"/>
        <n v="3.85"/>
        <n v="2.79"/>
        <n v="1.08"/>
        <n v="4.56"/>
        <n v="1.35"/>
        <n v="1.51"/>
        <n v="2.42"/>
        <n v="1.61"/>
        <n v="1.69"/>
        <n v="4.93"/>
        <n v="4.27"/>
        <n v="3.23"/>
        <n v="2.29"/>
        <n v="3.44"/>
        <n v="3.13"/>
        <n v="4.96"/>
        <n v="4.04"/>
        <n v="4.72"/>
        <n v="4.75"/>
        <n v="4.37"/>
        <n v="1.66"/>
        <n v="4.51"/>
        <n v="2.85"/>
        <n v="4.6"/>
        <n v="1.47"/>
        <n v="4.18"/>
        <n v="3.28"/>
        <n v="1.44"/>
        <n v="1.6"/>
        <n v="3.78"/>
        <n v="4.63"/>
        <n v="4.49"/>
        <n v="3.83"/>
        <n v="3.95"/>
        <n v="4.94"/>
        <n v="4.21"/>
        <n v="1.9"/>
        <n v="2.68"/>
        <n v="1.05"/>
        <n v="2.66"/>
        <n v="1.27"/>
        <n v="1.76"/>
        <n v="4.1"/>
        <n v="3.24"/>
        <n v="2.49"/>
        <n v="1.62"/>
        <n v="1.92"/>
        <n v="1.71"/>
        <n v="3.89"/>
        <n v="1.82"/>
        <n v="1.83"/>
        <n v="4.57"/>
        <n v="2.74"/>
        <n v="4.47"/>
        <n v="1.09"/>
        <n v="2.09"/>
        <n v="2.1"/>
        <n v="1.04"/>
        <n v="3.4"/>
        <n v="2.53"/>
        <n v="1.33"/>
        <n v="3.65"/>
        <n v="2.05"/>
        <n v="2.34"/>
        <n v="2.98"/>
        <n v="4.2"/>
        <n v="1.37"/>
        <n v="3.64"/>
        <n v="1.88"/>
        <n v="4.7"/>
        <n v="1.15"/>
        <n v="3.16"/>
        <n v="3.46"/>
        <n v="4.5"/>
        <n v="2.4"/>
        <n v="2.19"/>
        <n v="2.71"/>
        <n v="4.15"/>
        <n v="4.77"/>
        <n v="1.23"/>
        <n v="1.7"/>
        <n v="4.26"/>
        <n v="3.32"/>
        <n v="4.55"/>
        <n v="3.2"/>
        <n v="1.3"/>
        <n v="4.3"/>
        <n v="4.01"/>
        <n v="3.47"/>
        <n v="4.85"/>
        <n v="4.03"/>
        <n v="4.08"/>
        <n v="2.7"/>
        <n v="3.55"/>
        <n v="4.58"/>
        <n v="2.47"/>
        <n v="3.5"/>
        <n v="4.19"/>
        <n v="2.72"/>
        <n v="2.08"/>
        <n v="1.29"/>
        <n v="1.42"/>
        <n v="3.07"/>
        <n v="2.59"/>
        <n v="1.8"/>
        <n v="1.13"/>
        <n v="4.48"/>
        <n v="1.32"/>
        <n v="3.57"/>
        <n v="1.99"/>
        <n v="2.35"/>
        <n v="3.22"/>
        <n v="3.6"/>
        <n v="2.03"/>
        <n v="4.65"/>
        <n v="1.53"/>
        <n v="4.89"/>
        <n v="2.3"/>
        <n v="1.94"/>
        <n v="4.32"/>
        <n v="1.67"/>
        <n v="2.26"/>
        <n v="4.86"/>
        <n v="2.82"/>
        <n v="1.12"/>
        <n v="4.88"/>
        <n v="2.99"/>
        <n v="2.58"/>
        <n v="1.19"/>
        <n v="3.27"/>
        <n v="3.67"/>
        <n v="1.95"/>
        <n v="2.6"/>
        <n v="1.03"/>
        <n v="1.24"/>
        <n v="2.25"/>
        <n v="1.49"/>
        <n v="3.84"/>
        <n v="2.93"/>
        <n v="4.81"/>
        <n v="1.85"/>
        <n v="2.41"/>
        <n v="2.69"/>
        <n v="3.35"/>
        <n v="1.38"/>
        <n v="1.93"/>
        <n v="1.55"/>
        <n v="3.77"/>
        <n v="3.31"/>
        <n v="1.77"/>
        <n v="4.52"/>
        <n v="3.68"/>
        <n v="2.86"/>
        <n v="3.76"/>
        <n v="4.02"/>
        <n v="1.14"/>
        <n v="4.41"/>
        <n v="2.52"/>
        <n v="2.22"/>
        <n v="2.38"/>
        <n v="4.45"/>
        <n v="4.98"/>
        <n v="1.57"/>
        <n v="1.25"/>
        <n v="2.23"/>
        <n v="4.31"/>
        <n v="3.14"/>
        <n v="1.34"/>
        <n v="4.83"/>
        <n v="4.87"/>
        <n v="3.12"/>
        <n v="4.92"/>
        <n v="3.63"/>
        <n v="2.14"/>
        <n v="2.01"/>
        <n v="4.11"/>
        <n v="3.17"/>
        <n v="1.4"/>
        <n v="3.93"/>
        <n v="1.81"/>
        <n v="4.22"/>
        <n v="4.73"/>
        <n v="1.1"/>
        <n v="4.76"/>
        <n v="4.06"/>
        <n v="2.64"/>
        <n v="2.04"/>
        <n v="1.79"/>
        <n v="4.4"/>
        <n v="2.83"/>
        <n v="4.17"/>
        <n v="4.66"/>
        <n v="2.27"/>
        <n v="4.28"/>
        <n v="4.29"/>
        <n v="3.75"/>
        <n v="4.35"/>
        <n v="4.91"/>
        <n v="4.67"/>
        <n v="3.81"/>
        <n v="2.88"/>
        <n v="3.97"/>
        <n v="3.37"/>
        <n v="3.09"/>
        <n v="3.29"/>
        <n v="3.53"/>
        <n v="2.02"/>
        <n v="2.11"/>
        <n v="3.03"/>
        <n v="2.54"/>
        <n v="4"/>
        <n v="3.54"/>
        <n v="1.48"/>
        <n v="1.17"/>
        <n v="3.61"/>
        <n v="3.33"/>
        <n v="2.5"/>
        <n v="2.36"/>
        <n v="3.42"/>
        <n v="1.64"/>
        <n v="3.41"/>
        <n v="2.56"/>
        <n v="3.21"/>
        <n v="2.21"/>
        <n v="1.91"/>
        <n v="2.97"/>
        <n v="4.71"/>
        <n v="2.12"/>
        <n v="3.71"/>
        <n v="4.34"/>
        <n v="2.95"/>
        <n v="2.18"/>
        <n v="2.62"/>
        <n v="3.56"/>
        <n v="3.52"/>
        <n v="3.04"/>
        <n v="4.36"/>
        <n v="1.41"/>
        <n v="4.16"/>
        <n v="2.44"/>
        <n v="1.84"/>
        <n v="2.67"/>
        <n v="2.89"/>
        <n v="3.58"/>
        <n v="2.15"/>
        <n v="2.07"/>
        <n v="4.23"/>
        <n v="4.09"/>
        <n v="2.2"/>
        <n v="4.59"/>
        <n v="3.99"/>
        <n v="4.14"/>
        <n v="2.46"/>
        <n v="4.13"/>
        <n v="2.55"/>
        <n v="2.16"/>
        <n v="1.59"/>
        <n v="2.73"/>
        <n v="1.2"/>
        <n v="1.97"/>
        <n v="4.39"/>
        <n v="2.92"/>
        <n v="2.57"/>
        <n v="3.02"/>
        <n v="2.91"/>
        <n v="2.33"/>
        <n v="1.22"/>
        <n v="4.61"/>
        <n v="2.06"/>
        <n v="1.78"/>
        <n v="3.8"/>
        <n v="2.75"/>
        <n v="1.72"/>
        <n v="4.46"/>
        <n v="3.69"/>
        <n v="4.33"/>
        <n v="3.72"/>
        <n v="2.8"/>
        <n v="3.43"/>
        <n v="2.78"/>
        <n v="2.96"/>
        <n v="3.62"/>
        <n v="1.28"/>
        <n v="2.81"/>
        <n v="3.19"/>
        <n v="3.48"/>
        <n v="3.87"/>
        <n v="1.86"/>
        <n v="1.31"/>
        <n v="1.87"/>
        <n v="3.26"/>
        <n v="2.37"/>
        <n v="3.49"/>
        <n v="1.52"/>
        <n v="3.9"/>
        <n v="2.31"/>
        <n v="1.73"/>
        <n v="2.94"/>
        <n v="4.54"/>
        <n v="4.62"/>
        <n v="3.01"/>
        <n v="4.74"/>
        <n v="4.79"/>
        <n v="1.07"/>
        <n v="3.3"/>
        <n v="4.9"/>
        <n v="2.77"/>
        <n v="2.65"/>
        <n v="4.95"/>
        <n v="1.06"/>
        <n v="3.94"/>
        <n v="3.66"/>
        <n v="2.17"/>
        <n v="1.75"/>
        <n v="3.92"/>
        <n v="3.7"/>
        <n v="2.51"/>
        <n v="1.46"/>
        <n v="3.74"/>
        <n v="1.39"/>
        <n v="2.63"/>
        <n v="3.88"/>
        <n v="3"/>
        <n v="4.43"/>
        <n v="3.73"/>
        <n v="1.21"/>
        <n v="2.45"/>
        <n v="2"/>
        <n v="2.28"/>
        <n v="1"/>
        <n v="4.97"/>
        <n v="1.43"/>
        <n v="1.5"/>
        <n v="3.18"/>
        <n v="4.53"/>
        <n v="1.02"/>
        <n v="3.11"/>
        <n v="4.05"/>
        <n v="2.24"/>
        <n v="3.05"/>
        <n v="2.13"/>
        <n v="1.54"/>
        <n v="4.24"/>
        <n v="3.15"/>
        <n v="1.98"/>
        <n v="3.96"/>
        <n v="1.63"/>
      </sharedItems>
    </cacheField>
    <cacheField name="Biomarker_Level" numFmtId="0">
      <sharedItems containsSemiMixedTypes="0" containsString="0" containsNumber="1" minValue="0" maxValue="5" count="365">
        <n v="3.14"/>
        <n v="4.64"/>
        <n v="2.67"/>
        <n v="2.51"/>
        <n v="2.52"/>
        <n v="2.66"/>
        <n v="5"/>
        <n v="4.4"/>
        <n v="3.42"/>
        <n v="1.45"/>
        <n v="4.41"/>
        <n v="1.54"/>
        <n v="1.85"/>
        <n v="2.57"/>
        <n v="4.13"/>
        <n v="1.59"/>
        <n v="4.92"/>
        <n v="1.3"/>
        <n v="3.56"/>
        <n v="3.67"/>
        <n v="2.11"/>
        <n v="1.83"/>
        <n v="4.2"/>
        <n v="1.24"/>
        <n v="1.84"/>
        <n v="2.85"/>
        <n v="4.58"/>
        <n v="3.13"/>
        <n v="2.29"/>
        <n v="3.37"/>
        <n v="3.15"/>
        <n v="2.14"/>
        <n v="4.95"/>
        <n v="1.98"/>
        <n v="4.59"/>
        <n v="2.03"/>
        <n v="3.29"/>
        <n v="2.7"/>
        <n v="2.15"/>
        <n v="1.21"/>
        <n v="3.38"/>
        <n v="4.32"/>
        <n v="1.72"/>
        <n v="1.56"/>
        <n v="4.26"/>
        <n v="2.21"/>
        <n v="2.54"/>
        <n v="4.76"/>
        <n v="3.48"/>
        <n v="2.25"/>
        <n v="4.05"/>
        <n v="4.39"/>
        <n v="1.92"/>
        <n v="3.17"/>
        <n v="3.33"/>
        <n v="3.34"/>
        <n v="4.73"/>
        <n v="1.61"/>
        <n v="4.74"/>
        <n v="4.36"/>
        <n v="1.02"/>
        <n v="2.39"/>
        <n v="2.81"/>
        <n v="4.66"/>
        <n v="3.65"/>
        <n v="1.34"/>
        <n v="4"/>
        <n v="1.15"/>
        <n v="1.62"/>
        <n v="2.08"/>
        <n v="3.86"/>
        <n v="3.69"/>
        <n v="3.61"/>
        <n v="4.42"/>
        <n v="2.17"/>
        <n v="1.11"/>
        <n v="4.27"/>
        <n v="2.07"/>
        <n v="2.18"/>
        <n v="2.95"/>
        <n v="4.34"/>
        <n v="1.07"/>
        <n v="3.22"/>
        <n v="1.55"/>
        <n v="3.66"/>
        <n v="3.08"/>
        <n v="3.41"/>
        <n v="3.88"/>
        <n v="4.75"/>
        <n v="4.08"/>
        <n v="3.75"/>
        <n v="3.78"/>
        <n v="4.67"/>
        <n v="3.77"/>
        <n v="2.19"/>
        <n v="4.45"/>
        <n v="3.39"/>
        <n v="2.36"/>
        <n v="4.16"/>
        <n v="1.93"/>
        <n v="3.12"/>
        <n v="4.07"/>
        <n v="4.94"/>
        <n v="1.96"/>
        <n v="1.36"/>
        <n v="3.45"/>
        <n v="3.6"/>
        <n v="1.88"/>
        <n v="4.88"/>
        <n v="2.58"/>
        <n v="1.9"/>
        <n v="1.37"/>
        <n v="4.82"/>
        <n v="1.35"/>
        <n v="2.98"/>
        <n v="4.19"/>
        <n v="4.35"/>
        <n v="1.63"/>
        <n v="1.52"/>
        <n v="4.33"/>
        <n v="4.12"/>
        <n v="2.37"/>
        <n v="4.89"/>
        <n v="1.1"/>
        <n v="3.73"/>
        <n v="1.33"/>
        <n v="1.6"/>
        <n v="2.59"/>
        <n v="4.46"/>
        <n v="4.11"/>
        <n v="2.93"/>
        <n v="1.8"/>
        <n v="4.44"/>
        <n v="1.97"/>
        <n v="3.81"/>
        <n v="1.53"/>
        <n v="1.67"/>
        <n v="3.11"/>
        <n v="1.64"/>
        <n v="1.73"/>
        <n v="2.38"/>
        <n v="3.31"/>
        <n v="4.6"/>
        <n v="2.78"/>
        <n v="2.56"/>
        <n v="4.09"/>
        <n v="1.29"/>
        <n v="2.72"/>
        <n v="4.38"/>
        <n v="1.16"/>
        <n v="3.03"/>
        <n v="3.06"/>
        <n v="2.23"/>
        <n v="1.38"/>
        <n v="3.47"/>
        <n v="3.76"/>
        <n v="4.91"/>
        <n v="3.95"/>
        <n v="4.23"/>
        <n v="1.48"/>
        <n v="2.49"/>
        <n v="2.92"/>
        <n v="3.32"/>
        <n v="3.87"/>
        <n v="3.59"/>
        <n v="3.44"/>
        <n v="1.43"/>
        <n v="4.22"/>
        <n v="1.95"/>
        <n v="1.09"/>
        <n v="4.97"/>
        <n v="2.1"/>
        <n v="1.27"/>
        <n v="4.98"/>
        <n v="2.6"/>
        <n v="4.37"/>
        <n v="1.51"/>
        <n v="4.51"/>
        <n v="1.32"/>
        <n v="4.9"/>
        <n v="4.69"/>
        <n v="3.01"/>
        <n v="2.73"/>
        <n v="1.25"/>
        <n v="1.23"/>
        <n v="1.49"/>
        <n v="3.04"/>
        <n v="3.5"/>
        <n v="2.8"/>
        <n v="3.93"/>
        <n v="1.08"/>
        <n v="1.86"/>
        <n v="4.84"/>
        <n v="4.14"/>
        <n v="4.61"/>
        <n v="3.55"/>
        <n v="4.06"/>
        <n v="1.17"/>
        <n v="4.02"/>
        <n v="3.62"/>
        <n v="3.36"/>
        <n v="4.49"/>
        <n v="1.04"/>
        <n v="2.61"/>
        <n v="3.46"/>
        <n v="4.83"/>
        <n v="4.54"/>
        <n v="1.01"/>
        <n v="3.35"/>
        <n v="3.25"/>
        <n v="2.34"/>
        <n v="2.76"/>
        <n v="3.57"/>
        <n v="2.64"/>
        <n v="1.74"/>
        <n v="2.04"/>
        <n v="4.21"/>
        <n v="3.91"/>
        <n v="1.99"/>
        <n v="3.24"/>
        <n v="3.92"/>
        <n v="3.26"/>
        <n v="1.46"/>
        <n v="2.94"/>
        <n v="3.05"/>
        <n v="1.81"/>
        <n v="1.26"/>
        <n v="1.42"/>
        <n v="4.86"/>
        <n v="4.43"/>
        <n v="3.02"/>
        <n v="3.54"/>
        <n v="1.05"/>
        <n v="3.16"/>
        <n v="2.84"/>
        <n v="1.7"/>
        <n v="1.57"/>
        <n v="1.28"/>
        <n v="2.12"/>
        <n v="4.48"/>
        <n v="4.63"/>
        <n v="1.44"/>
        <n v="1.19"/>
        <n v="4.57"/>
        <n v="1.14"/>
        <n v="3.07"/>
        <n v="3.97"/>
        <n v="2.45"/>
        <n v="4.5"/>
        <n v="4.28"/>
        <n v="2.82"/>
        <n v="3.71"/>
        <n v="4.65"/>
        <n v="2.69"/>
        <n v="2.48"/>
        <n v="2.46"/>
        <n v="4.31"/>
        <n v="4.87"/>
        <n v="4.52"/>
        <n v="4.53"/>
        <n v="3.96"/>
        <n v="1.31"/>
        <n v="3.09"/>
        <n v="3.83"/>
        <n v="4.62"/>
        <n v="4.55"/>
        <n v="2.09"/>
        <n v="1.22"/>
        <n v="2.44"/>
        <n v="3.82"/>
        <n v="2.47"/>
        <n v="4.29"/>
        <n v="1.5"/>
        <n v="2.9"/>
        <n v="3.7"/>
        <n v="2.88"/>
        <n v="1.03"/>
        <n v="1.18"/>
        <n v="4.03"/>
        <n v="3"/>
        <n v="1.91"/>
        <n v="4.15"/>
        <n v="2.13"/>
        <n v="4.79"/>
        <n v="2.99"/>
        <n v="3.85"/>
        <n v="3.64"/>
        <n v="3.79"/>
        <n v="1.65"/>
        <n v="1.94"/>
        <n v="4.78"/>
        <n v="1.06"/>
        <n v="2.63"/>
        <n v="3.99"/>
        <n v="3.89"/>
        <n v="4.68"/>
        <n v="4.71"/>
        <n v="2.16"/>
        <n v="2.43"/>
        <n v="1.66"/>
        <n v="3.43"/>
        <n v="2.55"/>
        <n v="4.99"/>
        <n v="3.63"/>
        <n v="2.3"/>
        <n v="4.04"/>
        <n v="4.3"/>
        <n v="3.49"/>
        <n v="4.96"/>
        <n v="2.42"/>
        <n v="4.24"/>
        <n v="3.3"/>
        <n v="1.78"/>
        <n v="3.28"/>
        <n v="3.23"/>
        <n v="1"/>
        <n v="1.2"/>
        <n v="1.69"/>
        <n v="4.72"/>
        <n v="3.1"/>
        <n v="4.85"/>
        <n v="3.94"/>
        <n v="2.31"/>
        <n v="2.83"/>
        <n v="2.87"/>
        <n v="1.13"/>
        <n v="1.47"/>
        <n v="2.65"/>
        <n v="3.18"/>
        <n v="2.5"/>
        <n v="2.32"/>
        <n v="2.71"/>
        <n v="3.72"/>
        <n v="1.87"/>
        <n v="1.41"/>
        <n v="2"/>
        <n v="2.91"/>
        <n v="3.4"/>
        <n v="2.53"/>
        <n v="4.8"/>
        <n v="3.19"/>
        <n v="2.4"/>
        <n v="2.89"/>
        <n v="1.79"/>
        <n v="2.02"/>
        <n v="3.98"/>
        <n v="2.33"/>
        <n v="1.76"/>
        <n v="1.75"/>
        <n v="4.81"/>
        <n v="1.58"/>
        <n v="2.86"/>
        <n v="1.82"/>
        <n v="2.74"/>
        <n v="2.96"/>
        <n v="2.75"/>
        <n v="4.7"/>
        <n v="3.8"/>
        <n v="4.93"/>
        <n v="2.68"/>
        <n v="2.27"/>
        <n v="1.68"/>
        <n v="2.41"/>
        <n v="2.24"/>
        <n v="4.01"/>
      </sharedItems>
    </cacheField>
    <cacheField name="Efficacy_Score" numFmtId="0">
      <sharedItems containsSemiMixedTypes="0" containsString="0" containsNumber="1" minValue="0" maxValue="10" count="91">
        <n v="3.8"/>
        <n v="8.4"/>
        <n v="9.4"/>
        <n v="8.3"/>
        <n v="9.7"/>
        <n v="3.5"/>
        <n v="10"/>
        <n v="3.2"/>
        <n v="3.1"/>
        <n v="7"/>
        <n v="6"/>
        <n v="1.3"/>
        <n v="2.2"/>
        <n v="4.9"/>
        <n v="4.6"/>
        <n v="9.3"/>
        <n v="5.4"/>
        <n v="2.6"/>
        <n v="4.3"/>
        <n v="6.7"/>
        <n v="7.7"/>
        <n v="5.6"/>
        <n v="2.9"/>
        <n v="7.1"/>
        <n v="6.3"/>
        <n v="6.5"/>
        <n v="2.4"/>
        <n v="1.7"/>
        <n v="2.5"/>
        <n v="6.2"/>
        <n v="4"/>
        <n v="5.2"/>
        <n v="1.6"/>
        <n v="8.2"/>
        <n v="5.9"/>
        <n v="6.6"/>
        <n v="5.8"/>
        <n v="8.9"/>
        <n v="2.1"/>
        <n v="7.5"/>
        <n v="3.3"/>
        <n v="6.1"/>
        <n v="4.1"/>
        <n v="2.3"/>
        <n v="5.7"/>
        <n v="6.8"/>
        <n v="6.9"/>
        <n v="1.2"/>
        <n v="8.5"/>
        <n v="9.1"/>
        <n v="9.5"/>
        <n v="9.9"/>
        <n v="9.2"/>
        <n v="1.4"/>
        <n v="3.7"/>
        <n v="7.6"/>
        <n v="1.5"/>
        <n v="2"/>
        <n v="3.4"/>
        <n v="8.6"/>
        <n v="3.9"/>
        <n v="7.9"/>
        <n v="4.8"/>
        <n v="2.7"/>
        <n v="9"/>
        <n v="7.8"/>
        <n v="3"/>
        <n v="8.8"/>
        <n v="4.7"/>
        <n v="5.5"/>
        <n v="7.3"/>
        <n v="5"/>
        <n v="5.3"/>
        <n v="8"/>
        <n v="4.2"/>
        <n v="1.9"/>
        <n v="8.1"/>
        <n v="8.7"/>
        <n v="9.6"/>
        <n v="7.4"/>
        <n v="6.4"/>
        <n v="2.8"/>
        <n v="1.1"/>
        <n v="5.1"/>
        <n v="9.8"/>
        <n v="1"/>
        <n v="7.2"/>
        <n v="1.8"/>
        <n v="4.5"/>
        <n v="4.4"/>
        <n v="3.6"/>
      </sharedItems>
    </cacheField>
    <cacheField name="Survival_Rate" numFmtId="0">
      <sharedItems containsSemiMixedTypes="0" containsString="0" containsNumber="1" minValue="0" maxValue="24" count="180">
        <n v="20.6"/>
        <n v="23.1"/>
        <n v="21.6"/>
        <n v="23.8"/>
        <n v="21.2"/>
        <n v="7"/>
        <n v="16"/>
        <n v="14.1"/>
        <n v="18.1"/>
        <n v="15.4"/>
        <n v="16.1"/>
        <n v="19.6"/>
        <n v="6.3"/>
        <n v="22.3"/>
        <n v="17.2"/>
        <n v="14.9"/>
        <n v="11.9"/>
        <n v="8.3"/>
        <n v="12.2"/>
        <n v="9.5"/>
        <n v="7.6"/>
        <n v="15.1"/>
        <n v="7.5"/>
        <n v="20.5"/>
        <n v="14.7"/>
        <n v="6.7"/>
        <n v="15.6"/>
        <n v="10.8"/>
        <n v="20.2"/>
        <n v="19.4"/>
        <n v="17.6"/>
        <n v="10.3"/>
        <n v="9.4"/>
        <n v="23.5"/>
        <n v="18"/>
        <n v="19.9"/>
        <n v="10.4"/>
        <n v="8.8"/>
        <n v="8.4"/>
        <n v="10.6"/>
        <n v="13.4"/>
        <n v="8.2"/>
        <n v="19.3"/>
        <n v="9.6"/>
        <n v="13.9"/>
        <n v="15"/>
        <n v="12"/>
        <n v="22.1"/>
        <n v="13.2"/>
        <n v="19"/>
        <n v="14.3"/>
        <n v="17"/>
        <n v="18.5"/>
        <n v="16.9"/>
        <n v="22.6"/>
        <n v="9.2"/>
        <n v="16.5"/>
        <n v="23.3"/>
        <n v="22.2"/>
        <n v="16.2"/>
        <n v="21.5"/>
        <n v="6.5"/>
        <n v="7.9"/>
        <n v="7.8"/>
        <n v="13.1"/>
        <n v="6.2"/>
        <n v="10.7"/>
        <n v="19.7"/>
        <n v="20.4"/>
        <n v="17.4"/>
        <n v="15.5"/>
        <n v="8.1"/>
        <n v="20.9"/>
        <n v="21.7"/>
        <n v="22.5"/>
        <n v="9"/>
        <n v="13"/>
        <n v="9.9"/>
        <n v="7.4"/>
        <n v="16.6"/>
        <n v="19.2"/>
        <n v="10.5"/>
        <n v="11.7"/>
        <n v="7.2"/>
        <n v="17.3"/>
        <n v="14.6"/>
        <n v="13.5"/>
        <n v="12.4"/>
        <n v="21.8"/>
        <n v="15.2"/>
        <n v="20"/>
        <n v="22.7"/>
        <n v="15.7"/>
        <n v="12.7"/>
        <n v="10"/>
        <n v="21.3"/>
        <n v="18.2"/>
        <n v="6.1"/>
        <n v="22.8"/>
        <n v="11.4"/>
        <n v="19.5"/>
        <n v="11.8"/>
        <n v="10.9"/>
        <n v="20.3"/>
        <n v="17.8"/>
        <n v="23"/>
        <n v="23.7"/>
        <n v="6.6"/>
        <n v="23.4"/>
        <n v="14.2"/>
        <n v="16.8"/>
        <n v="8.6"/>
        <n v="18.4"/>
        <n v="17.5"/>
        <n v="12.1"/>
        <n v="20.7"/>
        <n v="17.9"/>
        <n v="23.9"/>
        <n v="7.3"/>
        <n v="19.1"/>
        <n v="11"/>
        <n v="12.5"/>
        <n v="17.1"/>
        <n v="8.7"/>
        <n v="14"/>
        <n v="16.3"/>
        <n v="13.3"/>
        <n v="12.8"/>
        <n v="9.3"/>
        <n v="6.8"/>
        <n v="21.9"/>
        <n v="21.1"/>
        <n v="13.7"/>
        <n v="10.2"/>
        <n v="23.2"/>
        <n v="7.7"/>
        <n v="20.1"/>
        <n v="9.1"/>
        <n v="20.8"/>
        <n v="12.6"/>
        <n v="8"/>
        <n v="14.8"/>
        <n v="11.3"/>
        <n v="6.4"/>
        <n v="22"/>
        <n v="15.8"/>
        <n v="9.7"/>
        <n v="18.7"/>
        <n v="12.9"/>
        <n v="15.3"/>
        <n v="8.5"/>
        <n v="6.9"/>
        <n v="10.1"/>
        <n v="17.7"/>
        <n v="22.4"/>
        <n v="21.4"/>
        <n v="11.5"/>
        <n v="18.6"/>
        <n v="13.6"/>
        <n v="11.6"/>
        <n v="16.7"/>
        <n v="13.8"/>
        <n v="11.2"/>
        <n v="21"/>
        <n v="12.3"/>
        <n v="11.1"/>
        <n v="9.8"/>
        <n v="14.4"/>
        <n v="8.9"/>
        <n v="18.9"/>
        <n v="23.6"/>
        <n v="19.8"/>
        <n v="16.4"/>
        <n v="22.9"/>
        <n v="18.8"/>
        <n v="7.1"/>
        <n v="6"/>
        <n v="18.3"/>
        <n v="14.5"/>
        <n v="24"/>
      </sharedItems>
    </cacheField>
    <cacheField name="Progression_Free_Survival" numFmtId="0">
      <sharedItems containsSemiMixedTypes="0" containsString="0" containsNumber="1" minValue="0" maxValue="20" count="170">
        <n v="14.6"/>
        <n v="15.3"/>
        <n v="3.8"/>
        <n v="5.6"/>
        <n v="17.3"/>
        <n v="17.7"/>
        <n v="16.1"/>
        <n v="5.2"/>
        <n v="13.5"/>
        <n v="17.9"/>
        <n v="9"/>
        <n v="8.9"/>
        <n v="7.4"/>
        <n v="13.8"/>
        <n v="18.2"/>
        <n v="3.7"/>
        <n v="5.1"/>
        <n v="14.7"/>
        <n v="15.7"/>
        <n v="7.3"/>
        <n v="4.8"/>
        <n v="9.4"/>
        <n v="5"/>
        <n v="11.5"/>
        <n v="10.3"/>
        <n v="12.7"/>
        <n v="4.7"/>
        <n v="7.8"/>
        <n v="10"/>
        <n v="18.8"/>
        <n v="6.2"/>
        <n v="11.2"/>
        <n v="4.1"/>
        <n v="15.4"/>
        <n v="12.8"/>
        <n v="5.8"/>
        <n v="9.1"/>
        <n v="6.9"/>
        <n v="13.6"/>
        <n v="5.4"/>
        <n v="16.4"/>
        <n v="3.6"/>
        <n v="17"/>
        <n v="16.6"/>
        <n v="13.9"/>
        <n v="6.1"/>
        <n v="19.1"/>
        <n v="3.3"/>
        <n v="18.7"/>
        <n v="10.2"/>
        <n v="4.9"/>
        <n v="17.8"/>
        <n v="8.7"/>
        <n v="12.1"/>
        <n v="10.7"/>
        <n v="13.7"/>
        <n v="5.5"/>
        <n v="13.1"/>
        <n v="6.5"/>
        <n v="9.8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9"/>
        <n v="10.6"/>
        <n v="16.7"/>
        <n v="11.3"/>
        <n v="15"/>
        <n v="17.1"/>
        <n v="4.3"/>
        <n v="8.4"/>
        <n v="18.1"/>
        <n v="20"/>
        <n v="19.8"/>
        <n v="19.9"/>
        <n v="14.1"/>
        <n v="7.5"/>
        <n v="5.7"/>
        <n v="12.2"/>
        <n v="14.8"/>
        <n v="7.6"/>
        <n v="15.9"/>
        <n v="12.9"/>
        <n v="3.2"/>
        <n v="8"/>
        <n v="8.5"/>
        <n v="15.1"/>
        <n v="4"/>
        <n v="19.6"/>
        <n v="15.6"/>
        <n v="7"/>
        <n v="7.2"/>
        <n v="14.2"/>
        <n v="14.3"/>
        <n v="12"/>
        <n v="18.9"/>
        <n v="16.3"/>
        <n v="8.6"/>
        <n v="10.4"/>
        <n v="13.3"/>
        <n v="16"/>
        <n v="6.3"/>
        <n v="11.9"/>
        <n v="19.4"/>
        <n v="18.3"/>
        <n v="6.7"/>
        <n v="12.3"/>
        <n v="15.2"/>
        <n v="4.2"/>
        <n v="6"/>
        <n v="5.3"/>
        <n v="9.2"/>
        <n v="10.5"/>
        <n v="9.7"/>
        <n v="11.8"/>
        <n v="4.4"/>
        <n v="16.8"/>
        <n v="19"/>
        <n v="14"/>
        <n v="18.6"/>
        <n v="19.7"/>
        <n v="12.6"/>
        <n v="16.5"/>
        <n v="14.5"/>
        <n v="8.1"/>
        <n v="15.8"/>
        <n v="17.6"/>
        <n v="17.4"/>
        <n v="3.9"/>
        <n v="18"/>
        <n v="11"/>
        <n v="11.7"/>
        <n v="18.5"/>
        <n v="17.5"/>
        <n v="19.2"/>
        <n v="3.1"/>
        <n v="8.8"/>
        <n v="11.6"/>
        <n v="9.6"/>
        <n v="19.3"/>
        <n v="10.9"/>
        <n v="9.9"/>
        <n v="6.4"/>
        <n v="13"/>
        <n v="3"/>
        <n v="8.3"/>
        <n v="14.9"/>
        <n v="10.8"/>
        <n v="6.6"/>
        <n v="9.3"/>
        <n v="17.2"/>
        <n v="8.2"/>
        <n v="11.4"/>
        <n v="19.5"/>
        <n v="7.7"/>
        <n v="13.4"/>
        <n v="12.5"/>
        <n v="4.6"/>
        <n v="16.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x v="2"/>
    <x v="2"/>
    <x v="1"/>
    <x v="1"/>
    <x v="0"/>
    <x v="2"/>
    <x v="2"/>
    <x v="1"/>
    <x v="1"/>
    <x v="2"/>
    <x v="2"/>
    <x v="2"/>
    <x v="2"/>
    <x v="2"/>
    <x v="2"/>
    <x v="0"/>
    <x v="1"/>
    <x v="2"/>
    <x v="0"/>
    <x v="1"/>
    <x v="0"/>
    <x v="2"/>
    <x v="2"/>
    <x v="2"/>
    <x v="2"/>
    <x v="2"/>
  </r>
  <r>
    <x v="3"/>
    <x v="3"/>
    <x v="2"/>
    <x v="1"/>
    <x v="2"/>
    <x v="3"/>
    <x v="3"/>
    <x v="2"/>
    <x v="2"/>
    <x v="3"/>
    <x v="3"/>
    <x v="2"/>
    <x v="3"/>
    <x v="3"/>
    <x v="2"/>
    <x v="0"/>
    <x v="2"/>
    <x v="3"/>
    <x v="0"/>
    <x v="0"/>
    <x v="0"/>
    <x v="3"/>
    <x v="3"/>
    <x v="3"/>
    <x v="3"/>
    <x v="3"/>
  </r>
  <r>
    <x v="4"/>
    <x v="4"/>
    <x v="1"/>
    <x v="1"/>
    <x v="3"/>
    <x v="4"/>
    <x v="4"/>
    <x v="3"/>
    <x v="1"/>
    <x v="4"/>
    <x v="4"/>
    <x v="0"/>
    <x v="3"/>
    <x v="4"/>
    <x v="0"/>
    <x v="1"/>
    <x v="2"/>
    <x v="4"/>
    <x v="1"/>
    <x v="2"/>
    <x v="1"/>
    <x v="4"/>
    <x v="4"/>
    <x v="4"/>
    <x v="4"/>
    <x v="4"/>
  </r>
  <r>
    <x v="5"/>
    <x v="5"/>
    <x v="2"/>
    <x v="2"/>
    <x v="3"/>
    <x v="5"/>
    <x v="5"/>
    <x v="1"/>
    <x v="1"/>
    <x v="5"/>
    <x v="5"/>
    <x v="3"/>
    <x v="4"/>
    <x v="5"/>
    <x v="3"/>
    <x v="1"/>
    <x v="0"/>
    <x v="5"/>
    <x v="1"/>
    <x v="0"/>
    <x v="1"/>
    <x v="5"/>
    <x v="5"/>
    <x v="5"/>
    <x v="5"/>
    <x v="5"/>
  </r>
  <r>
    <x v="6"/>
    <x v="6"/>
    <x v="1"/>
    <x v="3"/>
    <x v="3"/>
    <x v="3"/>
    <x v="6"/>
    <x v="0"/>
    <x v="1"/>
    <x v="6"/>
    <x v="6"/>
    <x v="1"/>
    <x v="5"/>
    <x v="6"/>
    <x v="1"/>
    <x v="1"/>
    <x v="2"/>
    <x v="6"/>
    <x v="1"/>
    <x v="2"/>
    <x v="1"/>
    <x v="6"/>
    <x v="6"/>
    <x v="6"/>
    <x v="6"/>
    <x v="6"/>
  </r>
  <r>
    <x v="7"/>
    <x v="7"/>
    <x v="0"/>
    <x v="3"/>
    <x v="2"/>
    <x v="4"/>
    <x v="7"/>
    <x v="1"/>
    <x v="0"/>
    <x v="7"/>
    <x v="7"/>
    <x v="3"/>
    <x v="3"/>
    <x v="5"/>
    <x v="3"/>
    <x v="1"/>
    <x v="2"/>
    <x v="7"/>
    <x v="1"/>
    <x v="0"/>
    <x v="0"/>
    <x v="7"/>
    <x v="7"/>
    <x v="7"/>
    <x v="7"/>
    <x v="7"/>
  </r>
  <r>
    <x v="8"/>
    <x v="8"/>
    <x v="1"/>
    <x v="4"/>
    <x v="0"/>
    <x v="5"/>
    <x v="6"/>
    <x v="0"/>
    <x v="2"/>
    <x v="8"/>
    <x v="8"/>
    <x v="2"/>
    <x v="6"/>
    <x v="7"/>
    <x v="2"/>
    <x v="2"/>
    <x v="2"/>
    <x v="8"/>
    <x v="1"/>
    <x v="1"/>
    <x v="1"/>
    <x v="8"/>
    <x v="8"/>
    <x v="8"/>
    <x v="8"/>
    <x v="8"/>
  </r>
  <r>
    <x v="9"/>
    <x v="9"/>
    <x v="0"/>
    <x v="1"/>
    <x v="0"/>
    <x v="0"/>
    <x v="8"/>
    <x v="3"/>
    <x v="0"/>
    <x v="9"/>
    <x v="9"/>
    <x v="0"/>
    <x v="7"/>
    <x v="8"/>
    <x v="0"/>
    <x v="1"/>
    <x v="0"/>
    <x v="9"/>
    <x v="1"/>
    <x v="2"/>
    <x v="1"/>
    <x v="9"/>
    <x v="9"/>
    <x v="9"/>
    <x v="9"/>
    <x v="6"/>
  </r>
  <r>
    <x v="10"/>
    <x v="10"/>
    <x v="0"/>
    <x v="0"/>
    <x v="1"/>
    <x v="0"/>
    <x v="9"/>
    <x v="3"/>
    <x v="0"/>
    <x v="10"/>
    <x v="10"/>
    <x v="1"/>
    <x v="8"/>
    <x v="9"/>
    <x v="1"/>
    <x v="0"/>
    <x v="0"/>
    <x v="10"/>
    <x v="0"/>
    <x v="3"/>
    <x v="0"/>
    <x v="10"/>
    <x v="10"/>
    <x v="10"/>
    <x v="10"/>
    <x v="9"/>
  </r>
  <r>
    <x v="11"/>
    <x v="11"/>
    <x v="1"/>
    <x v="3"/>
    <x v="0"/>
    <x v="0"/>
    <x v="10"/>
    <x v="2"/>
    <x v="2"/>
    <x v="11"/>
    <x v="11"/>
    <x v="2"/>
    <x v="9"/>
    <x v="10"/>
    <x v="2"/>
    <x v="2"/>
    <x v="3"/>
    <x v="11"/>
    <x v="1"/>
    <x v="0"/>
    <x v="0"/>
    <x v="11"/>
    <x v="11"/>
    <x v="11"/>
    <x v="11"/>
    <x v="8"/>
  </r>
  <r>
    <x v="12"/>
    <x v="12"/>
    <x v="0"/>
    <x v="1"/>
    <x v="2"/>
    <x v="0"/>
    <x v="11"/>
    <x v="3"/>
    <x v="3"/>
    <x v="12"/>
    <x v="12"/>
    <x v="0"/>
    <x v="10"/>
    <x v="11"/>
    <x v="0"/>
    <x v="1"/>
    <x v="1"/>
    <x v="10"/>
    <x v="1"/>
    <x v="4"/>
    <x v="1"/>
    <x v="12"/>
    <x v="12"/>
    <x v="12"/>
    <x v="12"/>
    <x v="10"/>
  </r>
  <r>
    <x v="13"/>
    <x v="13"/>
    <x v="2"/>
    <x v="4"/>
    <x v="1"/>
    <x v="3"/>
    <x v="4"/>
    <x v="3"/>
    <x v="3"/>
    <x v="13"/>
    <x v="13"/>
    <x v="0"/>
    <x v="11"/>
    <x v="12"/>
    <x v="0"/>
    <x v="2"/>
    <x v="4"/>
    <x v="0"/>
    <x v="1"/>
    <x v="1"/>
    <x v="1"/>
    <x v="13"/>
    <x v="13"/>
    <x v="13"/>
    <x v="13"/>
    <x v="11"/>
  </r>
  <r>
    <x v="14"/>
    <x v="3"/>
    <x v="0"/>
    <x v="0"/>
    <x v="1"/>
    <x v="3"/>
    <x v="3"/>
    <x v="2"/>
    <x v="1"/>
    <x v="14"/>
    <x v="14"/>
    <x v="3"/>
    <x v="4"/>
    <x v="13"/>
    <x v="3"/>
    <x v="2"/>
    <x v="1"/>
    <x v="12"/>
    <x v="1"/>
    <x v="0"/>
    <x v="0"/>
    <x v="14"/>
    <x v="14"/>
    <x v="14"/>
    <x v="14"/>
    <x v="5"/>
  </r>
  <r>
    <x v="15"/>
    <x v="14"/>
    <x v="2"/>
    <x v="3"/>
    <x v="2"/>
    <x v="3"/>
    <x v="3"/>
    <x v="3"/>
    <x v="1"/>
    <x v="15"/>
    <x v="15"/>
    <x v="3"/>
    <x v="3"/>
    <x v="14"/>
    <x v="3"/>
    <x v="1"/>
    <x v="2"/>
    <x v="13"/>
    <x v="1"/>
    <x v="3"/>
    <x v="1"/>
    <x v="15"/>
    <x v="15"/>
    <x v="15"/>
    <x v="15"/>
    <x v="12"/>
  </r>
  <r>
    <x v="16"/>
    <x v="15"/>
    <x v="0"/>
    <x v="2"/>
    <x v="0"/>
    <x v="4"/>
    <x v="12"/>
    <x v="0"/>
    <x v="3"/>
    <x v="16"/>
    <x v="16"/>
    <x v="0"/>
    <x v="12"/>
    <x v="15"/>
    <x v="0"/>
    <x v="0"/>
    <x v="4"/>
    <x v="14"/>
    <x v="0"/>
    <x v="3"/>
    <x v="0"/>
    <x v="16"/>
    <x v="16"/>
    <x v="16"/>
    <x v="16"/>
    <x v="13"/>
  </r>
  <r>
    <x v="17"/>
    <x v="8"/>
    <x v="1"/>
    <x v="3"/>
    <x v="0"/>
    <x v="5"/>
    <x v="8"/>
    <x v="1"/>
    <x v="0"/>
    <x v="17"/>
    <x v="17"/>
    <x v="3"/>
    <x v="13"/>
    <x v="16"/>
    <x v="3"/>
    <x v="2"/>
    <x v="0"/>
    <x v="15"/>
    <x v="1"/>
    <x v="3"/>
    <x v="0"/>
    <x v="17"/>
    <x v="17"/>
    <x v="12"/>
    <x v="17"/>
    <x v="3"/>
  </r>
  <r>
    <x v="18"/>
    <x v="9"/>
    <x v="2"/>
    <x v="1"/>
    <x v="4"/>
    <x v="2"/>
    <x v="13"/>
    <x v="2"/>
    <x v="2"/>
    <x v="18"/>
    <x v="18"/>
    <x v="1"/>
    <x v="14"/>
    <x v="17"/>
    <x v="1"/>
    <x v="2"/>
    <x v="1"/>
    <x v="14"/>
    <x v="1"/>
    <x v="2"/>
    <x v="1"/>
    <x v="18"/>
    <x v="18"/>
    <x v="17"/>
    <x v="18"/>
    <x v="14"/>
  </r>
  <r>
    <x v="19"/>
    <x v="11"/>
    <x v="0"/>
    <x v="3"/>
    <x v="1"/>
    <x v="0"/>
    <x v="0"/>
    <x v="3"/>
    <x v="3"/>
    <x v="19"/>
    <x v="19"/>
    <x v="0"/>
    <x v="8"/>
    <x v="18"/>
    <x v="0"/>
    <x v="1"/>
    <x v="0"/>
    <x v="9"/>
    <x v="1"/>
    <x v="2"/>
    <x v="1"/>
    <x v="19"/>
    <x v="19"/>
    <x v="17"/>
    <x v="19"/>
    <x v="15"/>
  </r>
  <r>
    <x v="20"/>
    <x v="16"/>
    <x v="2"/>
    <x v="0"/>
    <x v="1"/>
    <x v="0"/>
    <x v="10"/>
    <x v="0"/>
    <x v="2"/>
    <x v="20"/>
    <x v="20"/>
    <x v="1"/>
    <x v="14"/>
    <x v="19"/>
    <x v="1"/>
    <x v="0"/>
    <x v="3"/>
    <x v="16"/>
    <x v="0"/>
    <x v="1"/>
    <x v="1"/>
    <x v="20"/>
    <x v="20"/>
    <x v="17"/>
    <x v="20"/>
    <x v="16"/>
  </r>
  <r>
    <x v="21"/>
    <x v="17"/>
    <x v="0"/>
    <x v="4"/>
    <x v="4"/>
    <x v="1"/>
    <x v="14"/>
    <x v="3"/>
    <x v="1"/>
    <x v="21"/>
    <x v="21"/>
    <x v="3"/>
    <x v="15"/>
    <x v="20"/>
    <x v="3"/>
    <x v="1"/>
    <x v="0"/>
    <x v="17"/>
    <x v="1"/>
    <x v="3"/>
    <x v="0"/>
    <x v="16"/>
    <x v="21"/>
    <x v="18"/>
    <x v="21"/>
    <x v="17"/>
  </r>
  <r>
    <x v="22"/>
    <x v="18"/>
    <x v="0"/>
    <x v="3"/>
    <x v="1"/>
    <x v="2"/>
    <x v="15"/>
    <x v="3"/>
    <x v="2"/>
    <x v="22"/>
    <x v="22"/>
    <x v="0"/>
    <x v="16"/>
    <x v="21"/>
    <x v="0"/>
    <x v="1"/>
    <x v="1"/>
    <x v="18"/>
    <x v="1"/>
    <x v="2"/>
    <x v="0"/>
    <x v="21"/>
    <x v="22"/>
    <x v="19"/>
    <x v="22"/>
    <x v="9"/>
  </r>
  <r>
    <x v="23"/>
    <x v="3"/>
    <x v="0"/>
    <x v="4"/>
    <x v="2"/>
    <x v="1"/>
    <x v="0"/>
    <x v="3"/>
    <x v="3"/>
    <x v="23"/>
    <x v="23"/>
    <x v="1"/>
    <x v="1"/>
    <x v="22"/>
    <x v="1"/>
    <x v="1"/>
    <x v="1"/>
    <x v="19"/>
    <x v="1"/>
    <x v="4"/>
    <x v="1"/>
    <x v="22"/>
    <x v="23"/>
    <x v="5"/>
    <x v="23"/>
    <x v="18"/>
  </r>
  <r>
    <x v="24"/>
    <x v="19"/>
    <x v="2"/>
    <x v="4"/>
    <x v="2"/>
    <x v="1"/>
    <x v="16"/>
    <x v="1"/>
    <x v="2"/>
    <x v="24"/>
    <x v="24"/>
    <x v="3"/>
    <x v="17"/>
    <x v="23"/>
    <x v="3"/>
    <x v="2"/>
    <x v="3"/>
    <x v="20"/>
    <x v="1"/>
    <x v="1"/>
    <x v="0"/>
    <x v="23"/>
    <x v="24"/>
    <x v="18"/>
    <x v="24"/>
    <x v="8"/>
  </r>
  <r>
    <x v="25"/>
    <x v="20"/>
    <x v="0"/>
    <x v="0"/>
    <x v="1"/>
    <x v="0"/>
    <x v="11"/>
    <x v="1"/>
    <x v="0"/>
    <x v="25"/>
    <x v="25"/>
    <x v="0"/>
    <x v="18"/>
    <x v="24"/>
    <x v="0"/>
    <x v="2"/>
    <x v="3"/>
    <x v="21"/>
    <x v="1"/>
    <x v="0"/>
    <x v="1"/>
    <x v="24"/>
    <x v="25"/>
    <x v="20"/>
    <x v="25"/>
    <x v="19"/>
  </r>
  <r>
    <x v="26"/>
    <x v="4"/>
    <x v="2"/>
    <x v="1"/>
    <x v="4"/>
    <x v="0"/>
    <x v="11"/>
    <x v="0"/>
    <x v="0"/>
    <x v="26"/>
    <x v="26"/>
    <x v="1"/>
    <x v="19"/>
    <x v="25"/>
    <x v="1"/>
    <x v="1"/>
    <x v="0"/>
    <x v="22"/>
    <x v="1"/>
    <x v="2"/>
    <x v="0"/>
    <x v="25"/>
    <x v="26"/>
    <x v="21"/>
    <x v="26"/>
    <x v="20"/>
  </r>
  <r>
    <x v="27"/>
    <x v="21"/>
    <x v="0"/>
    <x v="3"/>
    <x v="4"/>
    <x v="5"/>
    <x v="7"/>
    <x v="2"/>
    <x v="3"/>
    <x v="27"/>
    <x v="27"/>
    <x v="1"/>
    <x v="14"/>
    <x v="26"/>
    <x v="1"/>
    <x v="1"/>
    <x v="0"/>
    <x v="23"/>
    <x v="1"/>
    <x v="3"/>
    <x v="1"/>
    <x v="26"/>
    <x v="27"/>
    <x v="7"/>
    <x v="27"/>
    <x v="21"/>
  </r>
  <r>
    <x v="28"/>
    <x v="13"/>
    <x v="2"/>
    <x v="2"/>
    <x v="4"/>
    <x v="0"/>
    <x v="7"/>
    <x v="2"/>
    <x v="2"/>
    <x v="28"/>
    <x v="28"/>
    <x v="2"/>
    <x v="20"/>
    <x v="27"/>
    <x v="2"/>
    <x v="2"/>
    <x v="1"/>
    <x v="9"/>
    <x v="1"/>
    <x v="1"/>
    <x v="1"/>
    <x v="27"/>
    <x v="28"/>
    <x v="22"/>
    <x v="16"/>
    <x v="22"/>
  </r>
  <r>
    <x v="29"/>
    <x v="22"/>
    <x v="2"/>
    <x v="1"/>
    <x v="1"/>
    <x v="1"/>
    <x v="11"/>
    <x v="1"/>
    <x v="2"/>
    <x v="29"/>
    <x v="29"/>
    <x v="3"/>
    <x v="21"/>
    <x v="28"/>
    <x v="3"/>
    <x v="0"/>
    <x v="0"/>
    <x v="24"/>
    <x v="0"/>
    <x v="4"/>
    <x v="1"/>
    <x v="28"/>
    <x v="29"/>
    <x v="23"/>
    <x v="28"/>
    <x v="23"/>
  </r>
  <r>
    <x v="30"/>
    <x v="23"/>
    <x v="2"/>
    <x v="0"/>
    <x v="0"/>
    <x v="1"/>
    <x v="4"/>
    <x v="1"/>
    <x v="3"/>
    <x v="30"/>
    <x v="30"/>
    <x v="2"/>
    <x v="22"/>
    <x v="29"/>
    <x v="2"/>
    <x v="1"/>
    <x v="3"/>
    <x v="25"/>
    <x v="1"/>
    <x v="4"/>
    <x v="0"/>
    <x v="29"/>
    <x v="30"/>
    <x v="24"/>
    <x v="29"/>
    <x v="24"/>
  </r>
  <r>
    <x v="31"/>
    <x v="24"/>
    <x v="1"/>
    <x v="4"/>
    <x v="0"/>
    <x v="3"/>
    <x v="6"/>
    <x v="3"/>
    <x v="0"/>
    <x v="31"/>
    <x v="31"/>
    <x v="1"/>
    <x v="23"/>
    <x v="13"/>
    <x v="1"/>
    <x v="0"/>
    <x v="4"/>
    <x v="26"/>
    <x v="0"/>
    <x v="2"/>
    <x v="0"/>
    <x v="30"/>
    <x v="31"/>
    <x v="18"/>
    <x v="30"/>
    <x v="25"/>
  </r>
  <r>
    <x v="32"/>
    <x v="25"/>
    <x v="0"/>
    <x v="3"/>
    <x v="1"/>
    <x v="1"/>
    <x v="14"/>
    <x v="3"/>
    <x v="0"/>
    <x v="32"/>
    <x v="32"/>
    <x v="0"/>
    <x v="24"/>
    <x v="30"/>
    <x v="0"/>
    <x v="0"/>
    <x v="1"/>
    <x v="27"/>
    <x v="0"/>
    <x v="3"/>
    <x v="1"/>
    <x v="31"/>
    <x v="32"/>
    <x v="25"/>
    <x v="31"/>
    <x v="26"/>
  </r>
  <r>
    <x v="33"/>
    <x v="26"/>
    <x v="2"/>
    <x v="0"/>
    <x v="1"/>
    <x v="0"/>
    <x v="4"/>
    <x v="3"/>
    <x v="1"/>
    <x v="33"/>
    <x v="33"/>
    <x v="2"/>
    <x v="25"/>
    <x v="31"/>
    <x v="2"/>
    <x v="1"/>
    <x v="3"/>
    <x v="28"/>
    <x v="1"/>
    <x v="4"/>
    <x v="0"/>
    <x v="32"/>
    <x v="33"/>
    <x v="26"/>
    <x v="32"/>
    <x v="27"/>
  </r>
  <r>
    <x v="34"/>
    <x v="27"/>
    <x v="1"/>
    <x v="0"/>
    <x v="4"/>
    <x v="5"/>
    <x v="2"/>
    <x v="2"/>
    <x v="3"/>
    <x v="34"/>
    <x v="34"/>
    <x v="1"/>
    <x v="9"/>
    <x v="32"/>
    <x v="1"/>
    <x v="2"/>
    <x v="4"/>
    <x v="29"/>
    <x v="1"/>
    <x v="4"/>
    <x v="0"/>
    <x v="33"/>
    <x v="34"/>
    <x v="27"/>
    <x v="9"/>
    <x v="28"/>
  </r>
  <r>
    <x v="35"/>
    <x v="28"/>
    <x v="2"/>
    <x v="0"/>
    <x v="2"/>
    <x v="0"/>
    <x v="17"/>
    <x v="1"/>
    <x v="2"/>
    <x v="35"/>
    <x v="35"/>
    <x v="1"/>
    <x v="26"/>
    <x v="33"/>
    <x v="1"/>
    <x v="1"/>
    <x v="1"/>
    <x v="30"/>
    <x v="1"/>
    <x v="1"/>
    <x v="0"/>
    <x v="34"/>
    <x v="9"/>
    <x v="14"/>
    <x v="33"/>
    <x v="5"/>
  </r>
  <r>
    <x v="36"/>
    <x v="17"/>
    <x v="2"/>
    <x v="3"/>
    <x v="3"/>
    <x v="5"/>
    <x v="11"/>
    <x v="0"/>
    <x v="3"/>
    <x v="36"/>
    <x v="36"/>
    <x v="3"/>
    <x v="25"/>
    <x v="34"/>
    <x v="3"/>
    <x v="2"/>
    <x v="4"/>
    <x v="31"/>
    <x v="1"/>
    <x v="2"/>
    <x v="1"/>
    <x v="35"/>
    <x v="35"/>
    <x v="28"/>
    <x v="34"/>
    <x v="29"/>
  </r>
  <r>
    <x v="37"/>
    <x v="14"/>
    <x v="1"/>
    <x v="4"/>
    <x v="3"/>
    <x v="2"/>
    <x v="0"/>
    <x v="2"/>
    <x v="0"/>
    <x v="37"/>
    <x v="37"/>
    <x v="3"/>
    <x v="4"/>
    <x v="35"/>
    <x v="3"/>
    <x v="0"/>
    <x v="1"/>
    <x v="32"/>
    <x v="0"/>
    <x v="1"/>
    <x v="0"/>
    <x v="36"/>
    <x v="36"/>
    <x v="5"/>
    <x v="35"/>
    <x v="30"/>
  </r>
  <r>
    <x v="38"/>
    <x v="29"/>
    <x v="0"/>
    <x v="4"/>
    <x v="2"/>
    <x v="2"/>
    <x v="10"/>
    <x v="0"/>
    <x v="3"/>
    <x v="38"/>
    <x v="38"/>
    <x v="1"/>
    <x v="4"/>
    <x v="36"/>
    <x v="1"/>
    <x v="1"/>
    <x v="1"/>
    <x v="33"/>
    <x v="1"/>
    <x v="3"/>
    <x v="0"/>
    <x v="37"/>
    <x v="37"/>
    <x v="21"/>
    <x v="36"/>
    <x v="22"/>
  </r>
  <r>
    <x v="39"/>
    <x v="30"/>
    <x v="0"/>
    <x v="3"/>
    <x v="4"/>
    <x v="4"/>
    <x v="17"/>
    <x v="3"/>
    <x v="1"/>
    <x v="39"/>
    <x v="39"/>
    <x v="0"/>
    <x v="27"/>
    <x v="37"/>
    <x v="0"/>
    <x v="1"/>
    <x v="3"/>
    <x v="34"/>
    <x v="1"/>
    <x v="3"/>
    <x v="1"/>
    <x v="38"/>
    <x v="38"/>
    <x v="29"/>
    <x v="37"/>
    <x v="31"/>
  </r>
  <r>
    <x v="40"/>
    <x v="6"/>
    <x v="1"/>
    <x v="4"/>
    <x v="3"/>
    <x v="0"/>
    <x v="6"/>
    <x v="2"/>
    <x v="1"/>
    <x v="40"/>
    <x v="40"/>
    <x v="1"/>
    <x v="1"/>
    <x v="36"/>
    <x v="1"/>
    <x v="2"/>
    <x v="1"/>
    <x v="35"/>
    <x v="1"/>
    <x v="2"/>
    <x v="1"/>
    <x v="39"/>
    <x v="39"/>
    <x v="30"/>
    <x v="38"/>
    <x v="32"/>
  </r>
  <r>
    <x v="41"/>
    <x v="14"/>
    <x v="0"/>
    <x v="2"/>
    <x v="1"/>
    <x v="0"/>
    <x v="4"/>
    <x v="3"/>
    <x v="3"/>
    <x v="41"/>
    <x v="41"/>
    <x v="1"/>
    <x v="28"/>
    <x v="18"/>
    <x v="1"/>
    <x v="2"/>
    <x v="2"/>
    <x v="36"/>
    <x v="1"/>
    <x v="3"/>
    <x v="1"/>
    <x v="40"/>
    <x v="28"/>
    <x v="3"/>
    <x v="39"/>
    <x v="0"/>
  </r>
  <r>
    <x v="42"/>
    <x v="31"/>
    <x v="2"/>
    <x v="1"/>
    <x v="0"/>
    <x v="1"/>
    <x v="18"/>
    <x v="1"/>
    <x v="2"/>
    <x v="42"/>
    <x v="42"/>
    <x v="0"/>
    <x v="22"/>
    <x v="20"/>
    <x v="0"/>
    <x v="1"/>
    <x v="4"/>
    <x v="37"/>
    <x v="1"/>
    <x v="1"/>
    <x v="1"/>
    <x v="41"/>
    <x v="40"/>
    <x v="31"/>
    <x v="40"/>
    <x v="11"/>
  </r>
  <r>
    <x v="43"/>
    <x v="32"/>
    <x v="2"/>
    <x v="4"/>
    <x v="3"/>
    <x v="0"/>
    <x v="10"/>
    <x v="1"/>
    <x v="1"/>
    <x v="43"/>
    <x v="43"/>
    <x v="3"/>
    <x v="29"/>
    <x v="36"/>
    <x v="3"/>
    <x v="2"/>
    <x v="2"/>
    <x v="38"/>
    <x v="1"/>
    <x v="1"/>
    <x v="1"/>
    <x v="42"/>
    <x v="41"/>
    <x v="4"/>
    <x v="41"/>
    <x v="33"/>
  </r>
  <r>
    <x v="44"/>
    <x v="16"/>
    <x v="2"/>
    <x v="1"/>
    <x v="0"/>
    <x v="0"/>
    <x v="15"/>
    <x v="1"/>
    <x v="3"/>
    <x v="44"/>
    <x v="44"/>
    <x v="1"/>
    <x v="30"/>
    <x v="38"/>
    <x v="1"/>
    <x v="2"/>
    <x v="3"/>
    <x v="39"/>
    <x v="1"/>
    <x v="1"/>
    <x v="0"/>
    <x v="43"/>
    <x v="42"/>
    <x v="32"/>
    <x v="42"/>
    <x v="34"/>
  </r>
  <r>
    <x v="45"/>
    <x v="33"/>
    <x v="0"/>
    <x v="2"/>
    <x v="3"/>
    <x v="3"/>
    <x v="12"/>
    <x v="1"/>
    <x v="3"/>
    <x v="45"/>
    <x v="45"/>
    <x v="1"/>
    <x v="21"/>
    <x v="39"/>
    <x v="1"/>
    <x v="2"/>
    <x v="2"/>
    <x v="40"/>
    <x v="1"/>
    <x v="0"/>
    <x v="1"/>
    <x v="44"/>
    <x v="43"/>
    <x v="33"/>
    <x v="43"/>
    <x v="35"/>
  </r>
  <r>
    <x v="46"/>
    <x v="34"/>
    <x v="2"/>
    <x v="0"/>
    <x v="4"/>
    <x v="0"/>
    <x v="13"/>
    <x v="0"/>
    <x v="0"/>
    <x v="46"/>
    <x v="46"/>
    <x v="3"/>
    <x v="31"/>
    <x v="40"/>
    <x v="3"/>
    <x v="1"/>
    <x v="2"/>
    <x v="41"/>
    <x v="1"/>
    <x v="4"/>
    <x v="0"/>
    <x v="45"/>
    <x v="44"/>
    <x v="9"/>
    <x v="9"/>
    <x v="36"/>
  </r>
  <r>
    <x v="47"/>
    <x v="35"/>
    <x v="0"/>
    <x v="1"/>
    <x v="4"/>
    <x v="3"/>
    <x v="13"/>
    <x v="1"/>
    <x v="1"/>
    <x v="47"/>
    <x v="47"/>
    <x v="0"/>
    <x v="9"/>
    <x v="41"/>
    <x v="0"/>
    <x v="2"/>
    <x v="0"/>
    <x v="42"/>
    <x v="1"/>
    <x v="4"/>
    <x v="0"/>
    <x v="46"/>
    <x v="13"/>
    <x v="3"/>
    <x v="44"/>
    <x v="21"/>
  </r>
  <r>
    <x v="48"/>
    <x v="36"/>
    <x v="2"/>
    <x v="0"/>
    <x v="2"/>
    <x v="0"/>
    <x v="4"/>
    <x v="0"/>
    <x v="1"/>
    <x v="48"/>
    <x v="48"/>
    <x v="1"/>
    <x v="32"/>
    <x v="42"/>
    <x v="1"/>
    <x v="1"/>
    <x v="4"/>
    <x v="43"/>
    <x v="1"/>
    <x v="3"/>
    <x v="1"/>
    <x v="47"/>
    <x v="45"/>
    <x v="20"/>
    <x v="45"/>
    <x v="37"/>
  </r>
  <r>
    <x v="49"/>
    <x v="37"/>
    <x v="1"/>
    <x v="4"/>
    <x v="2"/>
    <x v="0"/>
    <x v="18"/>
    <x v="2"/>
    <x v="0"/>
    <x v="49"/>
    <x v="49"/>
    <x v="1"/>
    <x v="33"/>
    <x v="1"/>
    <x v="1"/>
    <x v="1"/>
    <x v="3"/>
    <x v="44"/>
    <x v="1"/>
    <x v="2"/>
    <x v="1"/>
    <x v="48"/>
    <x v="46"/>
    <x v="34"/>
    <x v="13"/>
    <x v="38"/>
  </r>
  <r>
    <x v="50"/>
    <x v="37"/>
    <x v="1"/>
    <x v="2"/>
    <x v="3"/>
    <x v="0"/>
    <x v="18"/>
    <x v="1"/>
    <x v="2"/>
    <x v="50"/>
    <x v="50"/>
    <x v="3"/>
    <x v="6"/>
    <x v="43"/>
    <x v="3"/>
    <x v="0"/>
    <x v="1"/>
    <x v="45"/>
    <x v="0"/>
    <x v="1"/>
    <x v="1"/>
    <x v="49"/>
    <x v="47"/>
    <x v="35"/>
    <x v="46"/>
    <x v="39"/>
  </r>
  <r>
    <x v="51"/>
    <x v="3"/>
    <x v="2"/>
    <x v="2"/>
    <x v="0"/>
    <x v="4"/>
    <x v="11"/>
    <x v="1"/>
    <x v="1"/>
    <x v="51"/>
    <x v="51"/>
    <x v="2"/>
    <x v="34"/>
    <x v="44"/>
    <x v="2"/>
    <x v="2"/>
    <x v="4"/>
    <x v="23"/>
    <x v="1"/>
    <x v="1"/>
    <x v="1"/>
    <x v="50"/>
    <x v="48"/>
    <x v="36"/>
    <x v="47"/>
    <x v="40"/>
  </r>
  <r>
    <x v="52"/>
    <x v="7"/>
    <x v="0"/>
    <x v="4"/>
    <x v="1"/>
    <x v="0"/>
    <x v="4"/>
    <x v="1"/>
    <x v="2"/>
    <x v="52"/>
    <x v="52"/>
    <x v="2"/>
    <x v="35"/>
    <x v="45"/>
    <x v="2"/>
    <x v="0"/>
    <x v="0"/>
    <x v="16"/>
    <x v="0"/>
    <x v="1"/>
    <x v="1"/>
    <x v="32"/>
    <x v="49"/>
    <x v="7"/>
    <x v="29"/>
    <x v="41"/>
  </r>
  <r>
    <x v="53"/>
    <x v="38"/>
    <x v="0"/>
    <x v="4"/>
    <x v="2"/>
    <x v="0"/>
    <x v="12"/>
    <x v="1"/>
    <x v="2"/>
    <x v="53"/>
    <x v="53"/>
    <x v="1"/>
    <x v="16"/>
    <x v="46"/>
    <x v="1"/>
    <x v="1"/>
    <x v="4"/>
    <x v="46"/>
    <x v="1"/>
    <x v="3"/>
    <x v="1"/>
    <x v="51"/>
    <x v="50"/>
    <x v="37"/>
    <x v="18"/>
    <x v="42"/>
  </r>
  <r>
    <x v="54"/>
    <x v="27"/>
    <x v="2"/>
    <x v="1"/>
    <x v="1"/>
    <x v="5"/>
    <x v="6"/>
    <x v="1"/>
    <x v="1"/>
    <x v="54"/>
    <x v="54"/>
    <x v="0"/>
    <x v="35"/>
    <x v="47"/>
    <x v="0"/>
    <x v="0"/>
    <x v="3"/>
    <x v="47"/>
    <x v="0"/>
    <x v="1"/>
    <x v="0"/>
    <x v="52"/>
    <x v="51"/>
    <x v="38"/>
    <x v="48"/>
    <x v="43"/>
  </r>
  <r>
    <x v="55"/>
    <x v="39"/>
    <x v="1"/>
    <x v="2"/>
    <x v="4"/>
    <x v="0"/>
    <x v="9"/>
    <x v="2"/>
    <x v="0"/>
    <x v="55"/>
    <x v="55"/>
    <x v="0"/>
    <x v="6"/>
    <x v="48"/>
    <x v="0"/>
    <x v="0"/>
    <x v="4"/>
    <x v="48"/>
    <x v="0"/>
    <x v="1"/>
    <x v="0"/>
    <x v="53"/>
    <x v="52"/>
    <x v="39"/>
    <x v="49"/>
    <x v="44"/>
  </r>
  <r>
    <x v="56"/>
    <x v="0"/>
    <x v="2"/>
    <x v="1"/>
    <x v="0"/>
    <x v="2"/>
    <x v="3"/>
    <x v="3"/>
    <x v="0"/>
    <x v="56"/>
    <x v="56"/>
    <x v="1"/>
    <x v="36"/>
    <x v="49"/>
    <x v="1"/>
    <x v="2"/>
    <x v="3"/>
    <x v="49"/>
    <x v="1"/>
    <x v="4"/>
    <x v="1"/>
    <x v="54"/>
    <x v="53"/>
    <x v="40"/>
    <x v="18"/>
    <x v="45"/>
  </r>
  <r>
    <x v="57"/>
    <x v="19"/>
    <x v="1"/>
    <x v="1"/>
    <x v="0"/>
    <x v="2"/>
    <x v="8"/>
    <x v="1"/>
    <x v="3"/>
    <x v="57"/>
    <x v="57"/>
    <x v="2"/>
    <x v="4"/>
    <x v="50"/>
    <x v="2"/>
    <x v="1"/>
    <x v="2"/>
    <x v="44"/>
    <x v="1"/>
    <x v="0"/>
    <x v="0"/>
    <x v="55"/>
    <x v="54"/>
    <x v="14"/>
    <x v="50"/>
    <x v="46"/>
  </r>
  <r>
    <x v="58"/>
    <x v="40"/>
    <x v="2"/>
    <x v="4"/>
    <x v="2"/>
    <x v="0"/>
    <x v="9"/>
    <x v="2"/>
    <x v="0"/>
    <x v="58"/>
    <x v="58"/>
    <x v="2"/>
    <x v="37"/>
    <x v="44"/>
    <x v="2"/>
    <x v="1"/>
    <x v="2"/>
    <x v="50"/>
    <x v="1"/>
    <x v="0"/>
    <x v="0"/>
    <x v="32"/>
    <x v="55"/>
    <x v="21"/>
    <x v="51"/>
    <x v="47"/>
  </r>
  <r>
    <x v="59"/>
    <x v="41"/>
    <x v="2"/>
    <x v="0"/>
    <x v="1"/>
    <x v="5"/>
    <x v="9"/>
    <x v="2"/>
    <x v="2"/>
    <x v="59"/>
    <x v="59"/>
    <x v="2"/>
    <x v="38"/>
    <x v="51"/>
    <x v="2"/>
    <x v="0"/>
    <x v="4"/>
    <x v="51"/>
    <x v="0"/>
    <x v="3"/>
    <x v="0"/>
    <x v="56"/>
    <x v="56"/>
    <x v="41"/>
    <x v="52"/>
    <x v="48"/>
  </r>
  <r>
    <x v="60"/>
    <x v="42"/>
    <x v="0"/>
    <x v="1"/>
    <x v="2"/>
    <x v="0"/>
    <x v="16"/>
    <x v="3"/>
    <x v="1"/>
    <x v="60"/>
    <x v="60"/>
    <x v="1"/>
    <x v="39"/>
    <x v="52"/>
    <x v="1"/>
    <x v="0"/>
    <x v="2"/>
    <x v="52"/>
    <x v="0"/>
    <x v="0"/>
    <x v="0"/>
    <x v="57"/>
    <x v="57"/>
    <x v="29"/>
    <x v="53"/>
    <x v="49"/>
  </r>
  <r>
    <x v="61"/>
    <x v="43"/>
    <x v="1"/>
    <x v="0"/>
    <x v="1"/>
    <x v="5"/>
    <x v="4"/>
    <x v="3"/>
    <x v="1"/>
    <x v="61"/>
    <x v="61"/>
    <x v="1"/>
    <x v="40"/>
    <x v="7"/>
    <x v="1"/>
    <x v="1"/>
    <x v="3"/>
    <x v="1"/>
    <x v="1"/>
    <x v="4"/>
    <x v="1"/>
    <x v="58"/>
    <x v="58"/>
    <x v="15"/>
    <x v="7"/>
    <x v="50"/>
  </r>
  <r>
    <x v="62"/>
    <x v="4"/>
    <x v="2"/>
    <x v="2"/>
    <x v="2"/>
    <x v="2"/>
    <x v="5"/>
    <x v="2"/>
    <x v="1"/>
    <x v="62"/>
    <x v="62"/>
    <x v="3"/>
    <x v="4"/>
    <x v="53"/>
    <x v="3"/>
    <x v="2"/>
    <x v="0"/>
    <x v="41"/>
    <x v="1"/>
    <x v="1"/>
    <x v="1"/>
    <x v="59"/>
    <x v="59"/>
    <x v="38"/>
    <x v="54"/>
    <x v="51"/>
  </r>
  <r>
    <x v="63"/>
    <x v="43"/>
    <x v="1"/>
    <x v="1"/>
    <x v="3"/>
    <x v="1"/>
    <x v="4"/>
    <x v="2"/>
    <x v="2"/>
    <x v="63"/>
    <x v="63"/>
    <x v="2"/>
    <x v="6"/>
    <x v="54"/>
    <x v="2"/>
    <x v="0"/>
    <x v="3"/>
    <x v="53"/>
    <x v="0"/>
    <x v="0"/>
    <x v="1"/>
    <x v="10"/>
    <x v="29"/>
    <x v="14"/>
    <x v="5"/>
    <x v="52"/>
  </r>
  <r>
    <x v="64"/>
    <x v="44"/>
    <x v="2"/>
    <x v="2"/>
    <x v="0"/>
    <x v="0"/>
    <x v="10"/>
    <x v="0"/>
    <x v="0"/>
    <x v="64"/>
    <x v="64"/>
    <x v="0"/>
    <x v="24"/>
    <x v="55"/>
    <x v="0"/>
    <x v="1"/>
    <x v="1"/>
    <x v="54"/>
    <x v="1"/>
    <x v="1"/>
    <x v="1"/>
    <x v="60"/>
    <x v="60"/>
    <x v="30"/>
    <x v="48"/>
    <x v="53"/>
  </r>
  <r>
    <x v="65"/>
    <x v="45"/>
    <x v="1"/>
    <x v="4"/>
    <x v="4"/>
    <x v="3"/>
    <x v="14"/>
    <x v="3"/>
    <x v="2"/>
    <x v="65"/>
    <x v="65"/>
    <x v="3"/>
    <x v="41"/>
    <x v="56"/>
    <x v="3"/>
    <x v="0"/>
    <x v="3"/>
    <x v="55"/>
    <x v="0"/>
    <x v="0"/>
    <x v="1"/>
    <x v="22"/>
    <x v="61"/>
    <x v="42"/>
    <x v="42"/>
    <x v="54"/>
  </r>
  <r>
    <x v="66"/>
    <x v="16"/>
    <x v="1"/>
    <x v="2"/>
    <x v="2"/>
    <x v="0"/>
    <x v="3"/>
    <x v="3"/>
    <x v="3"/>
    <x v="66"/>
    <x v="66"/>
    <x v="1"/>
    <x v="31"/>
    <x v="57"/>
    <x v="1"/>
    <x v="1"/>
    <x v="3"/>
    <x v="56"/>
    <x v="1"/>
    <x v="1"/>
    <x v="1"/>
    <x v="61"/>
    <x v="62"/>
    <x v="43"/>
    <x v="55"/>
    <x v="23"/>
  </r>
  <r>
    <x v="67"/>
    <x v="46"/>
    <x v="0"/>
    <x v="0"/>
    <x v="0"/>
    <x v="5"/>
    <x v="10"/>
    <x v="0"/>
    <x v="0"/>
    <x v="67"/>
    <x v="67"/>
    <x v="0"/>
    <x v="39"/>
    <x v="58"/>
    <x v="0"/>
    <x v="1"/>
    <x v="4"/>
    <x v="14"/>
    <x v="1"/>
    <x v="1"/>
    <x v="0"/>
    <x v="62"/>
    <x v="63"/>
    <x v="18"/>
    <x v="56"/>
    <x v="55"/>
  </r>
  <r>
    <x v="68"/>
    <x v="47"/>
    <x v="2"/>
    <x v="1"/>
    <x v="0"/>
    <x v="0"/>
    <x v="12"/>
    <x v="2"/>
    <x v="1"/>
    <x v="68"/>
    <x v="68"/>
    <x v="1"/>
    <x v="24"/>
    <x v="59"/>
    <x v="1"/>
    <x v="0"/>
    <x v="0"/>
    <x v="57"/>
    <x v="0"/>
    <x v="0"/>
    <x v="1"/>
    <x v="63"/>
    <x v="64"/>
    <x v="17"/>
    <x v="57"/>
    <x v="56"/>
  </r>
  <r>
    <x v="69"/>
    <x v="48"/>
    <x v="2"/>
    <x v="2"/>
    <x v="4"/>
    <x v="1"/>
    <x v="14"/>
    <x v="0"/>
    <x v="3"/>
    <x v="69"/>
    <x v="69"/>
    <x v="0"/>
    <x v="4"/>
    <x v="8"/>
    <x v="0"/>
    <x v="0"/>
    <x v="2"/>
    <x v="22"/>
    <x v="0"/>
    <x v="2"/>
    <x v="0"/>
    <x v="64"/>
    <x v="65"/>
    <x v="6"/>
    <x v="45"/>
    <x v="57"/>
  </r>
  <r>
    <x v="70"/>
    <x v="49"/>
    <x v="2"/>
    <x v="2"/>
    <x v="2"/>
    <x v="0"/>
    <x v="16"/>
    <x v="3"/>
    <x v="3"/>
    <x v="70"/>
    <x v="70"/>
    <x v="0"/>
    <x v="9"/>
    <x v="60"/>
    <x v="0"/>
    <x v="1"/>
    <x v="1"/>
    <x v="58"/>
    <x v="1"/>
    <x v="3"/>
    <x v="1"/>
    <x v="65"/>
    <x v="66"/>
    <x v="22"/>
    <x v="58"/>
    <x v="58"/>
  </r>
  <r>
    <x v="71"/>
    <x v="2"/>
    <x v="2"/>
    <x v="4"/>
    <x v="4"/>
    <x v="0"/>
    <x v="15"/>
    <x v="0"/>
    <x v="1"/>
    <x v="71"/>
    <x v="71"/>
    <x v="0"/>
    <x v="13"/>
    <x v="6"/>
    <x v="0"/>
    <x v="2"/>
    <x v="0"/>
    <x v="59"/>
    <x v="1"/>
    <x v="4"/>
    <x v="1"/>
    <x v="66"/>
    <x v="67"/>
    <x v="31"/>
    <x v="59"/>
    <x v="32"/>
  </r>
  <r>
    <x v="72"/>
    <x v="39"/>
    <x v="0"/>
    <x v="3"/>
    <x v="1"/>
    <x v="0"/>
    <x v="1"/>
    <x v="3"/>
    <x v="3"/>
    <x v="72"/>
    <x v="72"/>
    <x v="3"/>
    <x v="41"/>
    <x v="29"/>
    <x v="3"/>
    <x v="2"/>
    <x v="2"/>
    <x v="60"/>
    <x v="1"/>
    <x v="0"/>
    <x v="0"/>
    <x v="67"/>
    <x v="62"/>
    <x v="44"/>
    <x v="44"/>
    <x v="59"/>
  </r>
  <r>
    <x v="73"/>
    <x v="50"/>
    <x v="0"/>
    <x v="4"/>
    <x v="4"/>
    <x v="2"/>
    <x v="5"/>
    <x v="0"/>
    <x v="3"/>
    <x v="73"/>
    <x v="73"/>
    <x v="3"/>
    <x v="21"/>
    <x v="61"/>
    <x v="3"/>
    <x v="2"/>
    <x v="0"/>
    <x v="61"/>
    <x v="1"/>
    <x v="1"/>
    <x v="1"/>
    <x v="68"/>
    <x v="68"/>
    <x v="17"/>
    <x v="60"/>
    <x v="46"/>
  </r>
  <r>
    <x v="74"/>
    <x v="21"/>
    <x v="0"/>
    <x v="0"/>
    <x v="4"/>
    <x v="1"/>
    <x v="9"/>
    <x v="2"/>
    <x v="2"/>
    <x v="74"/>
    <x v="74"/>
    <x v="1"/>
    <x v="16"/>
    <x v="62"/>
    <x v="1"/>
    <x v="2"/>
    <x v="3"/>
    <x v="62"/>
    <x v="1"/>
    <x v="0"/>
    <x v="0"/>
    <x v="69"/>
    <x v="69"/>
    <x v="45"/>
    <x v="40"/>
    <x v="60"/>
  </r>
  <r>
    <x v="75"/>
    <x v="37"/>
    <x v="0"/>
    <x v="0"/>
    <x v="0"/>
    <x v="0"/>
    <x v="18"/>
    <x v="0"/>
    <x v="0"/>
    <x v="75"/>
    <x v="75"/>
    <x v="1"/>
    <x v="34"/>
    <x v="63"/>
    <x v="1"/>
    <x v="0"/>
    <x v="3"/>
    <x v="63"/>
    <x v="0"/>
    <x v="4"/>
    <x v="1"/>
    <x v="70"/>
    <x v="70"/>
    <x v="46"/>
    <x v="61"/>
    <x v="61"/>
  </r>
  <r>
    <x v="76"/>
    <x v="20"/>
    <x v="2"/>
    <x v="2"/>
    <x v="3"/>
    <x v="2"/>
    <x v="0"/>
    <x v="0"/>
    <x v="3"/>
    <x v="76"/>
    <x v="76"/>
    <x v="1"/>
    <x v="3"/>
    <x v="27"/>
    <x v="1"/>
    <x v="2"/>
    <x v="4"/>
    <x v="64"/>
    <x v="1"/>
    <x v="3"/>
    <x v="1"/>
    <x v="71"/>
    <x v="71"/>
    <x v="47"/>
    <x v="62"/>
    <x v="43"/>
  </r>
  <r>
    <x v="77"/>
    <x v="51"/>
    <x v="1"/>
    <x v="3"/>
    <x v="3"/>
    <x v="5"/>
    <x v="4"/>
    <x v="2"/>
    <x v="3"/>
    <x v="77"/>
    <x v="77"/>
    <x v="0"/>
    <x v="42"/>
    <x v="64"/>
    <x v="0"/>
    <x v="2"/>
    <x v="1"/>
    <x v="65"/>
    <x v="1"/>
    <x v="3"/>
    <x v="1"/>
    <x v="72"/>
    <x v="72"/>
    <x v="8"/>
    <x v="63"/>
    <x v="62"/>
  </r>
  <r>
    <x v="78"/>
    <x v="34"/>
    <x v="2"/>
    <x v="0"/>
    <x v="0"/>
    <x v="0"/>
    <x v="8"/>
    <x v="0"/>
    <x v="1"/>
    <x v="78"/>
    <x v="78"/>
    <x v="2"/>
    <x v="43"/>
    <x v="54"/>
    <x v="2"/>
    <x v="2"/>
    <x v="4"/>
    <x v="66"/>
    <x v="1"/>
    <x v="3"/>
    <x v="1"/>
    <x v="73"/>
    <x v="73"/>
    <x v="48"/>
    <x v="64"/>
    <x v="63"/>
  </r>
  <r>
    <x v="79"/>
    <x v="11"/>
    <x v="2"/>
    <x v="1"/>
    <x v="0"/>
    <x v="0"/>
    <x v="10"/>
    <x v="3"/>
    <x v="2"/>
    <x v="79"/>
    <x v="79"/>
    <x v="0"/>
    <x v="44"/>
    <x v="8"/>
    <x v="0"/>
    <x v="0"/>
    <x v="1"/>
    <x v="53"/>
    <x v="0"/>
    <x v="1"/>
    <x v="1"/>
    <x v="74"/>
    <x v="74"/>
    <x v="49"/>
    <x v="65"/>
    <x v="64"/>
  </r>
  <r>
    <x v="80"/>
    <x v="42"/>
    <x v="1"/>
    <x v="4"/>
    <x v="4"/>
    <x v="4"/>
    <x v="0"/>
    <x v="1"/>
    <x v="1"/>
    <x v="80"/>
    <x v="80"/>
    <x v="1"/>
    <x v="27"/>
    <x v="65"/>
    <x v="1"/>
    <x v="2"/>
    <x v="0"/>
    <x v="33"/>
    <x v="1"/>
    <x v="1"/>
    <x v="1"/>
    <x v="75"/>
    <x v="75"/>
    <x v="17"/>
    <x v="56"/>
    <x v="49"/>
  </r>
  <r>
    <x v="81"/>
    <x v="52"/>
    <x v="1"/>
    <x v="2"/>
    <x v="4"/>
    <x v="0"/>
    <x v="16"/>
    <x v="1"/>
    <x v="3"/>
    <x v="57"/>
    <x v="81"/>
    <x v="3"/>
    <x v="45"/>
    <x v="39"/>
    <x v="3"/>
    <x v="1"/>
    <x v="1"/>
    <x v="34"/>
    <x v="1"/>
    <x v="1"/>
    <x v="1"/>
    <x v="76"/>
    <x v="76"/>
    <x v="42"/>
    <x v="66"/>
    <x v="65"/>
  </r>
  <r>
    <x v="82"/>
    <x v="4"/>
    <x v="0"/>
    <x v="2"/>
    <x v="2"/>
    <x v="0"/>
    <x v="19"/>
    <x v="0"/>
    <x v="0"/>
    <x v="81"/>
    <x v="82"/>
    <x v="1"/>
    <x v="4"/>
    <x v="35"/>
    <x v="1"/>
    <x v="0"/>
    <x v="1"/>
    <x v="37"/>
    <x v="0"/>
    <x v="0"/>
    <x v="0"/>
    <x v="13"/>
    <x v="77"/>
    <x v="35"/>
    <x v="40"/>
    <x v="66"/>
  </r>
  <r>
    <x v="83"/>
    <x v="47"/>
    <x v="0"/>
    <x v="2"/>
    <x v="2"/>
    <x v="0"/>
    <x v="9"/>
    <x v="3"/>
    <x v="3"/>
    <x v="82"/>
    <x v="83"/>
    <x v="3"/>
    <x v="46"/>
    <x v="66"/>
    <x v="3"/>
    <x v="0"/>
    <x v="0"/>
    <x v="67"/>
    <x v="0"/>
    <x v="1"/>
    <x v="0"/>
    <x v="77"/>
    <x v="78"/>
    <x v="50"/>
    <x v="67"/>
    <x v="39"/>
  </r>
  <r>
    <x v="84"/>
    <x v="35"/>
    <x v="1"/>
    <x v="4"/>
    <x v="1"/>
    <x v="0"/>
    <x v="13"/>
    <x v="0"/>
    <x v="0"/>
    <x v="83"/>
    <x v="84"/>
    <x v="1"/>
    <x v="47"/>
    <x v="67"/>
    <x v="1"/>
    <x v="0"/>
    <x v="3"/>
    <x v="68"/>
    <x v="0"/>
    <x v="0"/>
    <x v="0"/>
    <x v="78"/>
    <x v="79"/>
    <x v="49"/>
    <x v="68"/>
    <x v="49"/>
  </r>
  <r>
    <x v="85"/>
    <x v="46"/>
    <x v="2"/>
    <x v="4"/>
    <x v="2"/>
    <x v="0"/>
    <x v="18"/>
    <x v="2"/>
    <x v="1"/>
    <x v="84"/>
    <x v="85"/>
    <x v="0"/>
    <x v="0"/>
    <x v="20"/>
    <x v="0"/>
    <x v="2"/>
    <x v="3"/>
    <x v="69"/>
    <x v="1"/>
    <x v="2"/>
    <x v="1"/>
    <x v="79"/>
    <x v="77"/>
    <x v="34"/>
    <x v="69"/>
    <x v="12"/>
  </r>
  <r>
    <x v="86"/>
    <x v="53"/>
    <x v="0"/>
    <x v="1"/>
    <x v="4"/>
    <x v="0"/>
    <x v="7"/>
    <x v="0"/>
    <x v="2"/>
    <x v="85"/>
    <x v="86"/>
    <x v="3"/>
    <x v="9"/>
    <x v="68"/>
    <x v="3"/>
    <x v="1"/>
    <x v="4"/>
    <x v="70"/>
    <x v="1"/>
    <x v="1"/>
    <x v="0"/>
    <x v="18"/>
    <x v="80"/>
    <x v="51"/>
    <x v="70"/>
    <x v="67"/>
  </r>
  <r>
    <x v="87"/>
    <x v="54"/>
    <x v="0"/>
    <x v="2"/>
    <x v="1"/>
    <x v="0"/>
    <x v="8"/>
    <x v="0"/>
    <x v="3"/>
    <x v="86"/>
    <x v="87"/>
    <x v="3"/>
    <x v="1"/>
    <x v="69"/>
    <x v="3"/>
    <x v="1"/>
    <x v="0"/>
    <x v="71"/>
    <x v="1"/>
    <x v="4"/>
    <x v="1"/>
    <x v="80"/>
    <x v="81"/>
    <x v="52"/>
    <x v="71"/>
    <x v="34"/>
  </r>
  <r>
    <x v="88"/>
    <x v="52"/>
    <x v="1"/>
    <x v="4"/>
    <x v="4"/>
    <x v="5"/>
    <x v="8"/>
    <x v="1"/>
    <x v="0"/>
    <x v="4"/>
    <x v="88"/>
    <x v="0"/>
    <x v="3"/>
    <x v="70"/>
    <x v="0"/>
    <x v="1"/>
    <x v="2"/>
    <x v="60"/>
    <x v="1"/>
    <x v="0"/>
    <x v="1"/>
    <x v="81"/>
    <x v="82"/>
    <x v="46"/>
    <x v="72"/>
    <x v="58"/>
  </r>
  <r>
    <x v="89"/>
    <x v="19"/>
    <x v="0"/>
    <x v="3"/>
    <x v="3"/>
    <x v="2"/>
    <x v="0"/>
    <x v="1"/>
    <x v="2"/>
    <x v="87"/>
    <x v="89"/>
    <x v="3"/>
    <x v="48"/>
    <x v="39"/>
    <x v="3"/>
    <x v="2"/>
    <x v="0"/>
    <x v="72"/>
    <x v="1"/>
    <x v="2"/>
    <x v="0"/>
    <x v="82"/>
    <x v="83"/>
    <x v="49"/>
    <x v="73"/>
    <x v="68"/>
  </r>
  <r>
    <x v="90"/>
    <x v="37"/>
    <x v="2"/>
    <x v="4"/>
    <x v="0"/>
    <x v="0"/>
    <x v="3"/>
    <x v="2"/>
    <x v="1"/>
    <x v="88"/>
    <x v="90"/>
    <x v="2"/>
    <x v="3"/>
    <x v="71"/>
    <x v="2"/>
    <x v="2"/>
    <x v="0"/>
    <x v="73"/>
    <x v="1"/>
    <x v="0"/>
    <x v="0"/>
    <x v="83"/>
    <x v="84"/>
    <x v="17"/>
    <x v="74"/>
    <x v="69"/>
  </r>
  <r>
    <x v="91"/>
    <x v="3"/>
    <x v="1"/>
    <x v="1"/>
    <x v="3"/>
    <x v="1"/>
    <x v="19"/>
    <x v="0"/>
    <x v="1"/>
    <x v="89"/>
    <x v="91"/>
    <x v="3"/>
    <x v="16"/>
    <x v="72"/>
    <x v="3"/>
    <x v="2"/>
    <x v="3"/>
    <x v="74"/>
    <x v="1"/>
    <x v="2"/>
    <x v="1"/>
    <x v="84"/>
    <x v="85"/>
    <x v="53"/>
    <x v="75"/>
    <x v="70"/>
  </r>
  <r>
    <x v="92"/>
    <x v="55"/>
    <x v="2"/>
    <x v="4"/>
    <x v="3"/>
    <x v="0"/>
    <x v="16"/>
    <x v="1"/>
    <x v="2"/>
    <x v="90"/>
    <x v="92"/>
    <x v="0"/>
    <x v="44"/>
    <x v="26"/>
    <x v="0"/>
    <x v="2"/>
    <x v="1"/>
    <x v="75"/>
    <x v="1"/>
    <x v="4"/>
    <x v="1"/>
    <x v="85"/>
    <x v="86"/>
    <x v="7"/>
    <x v="76"/>
    <x v="71"/>
  </r>
  <r>
    <x v="93"/>
    <x v="51"/>
    <x v="2"/>
    <x v="1"/>
    <x v="2"/>
    <x v="0"/>
    <x v="9"/>
    <x v="2"/>
    <x v="0"/>
    <x v="91"/>
    <x v="93"/>
    <x v="0"/>
    <x v="6"/>
    <x v="73"/>
    <x v="0"/>
    <x v="0"/>
    <x v="1"/>
    <x v="76"/>
    <x v="0"/>
    <x v="1"/>
    <x v="0"/>
    <x v="31"/>
    <x v="87"/>
    <x v="54"/>
    <x v="59"/>
    <x v="72"/>
  </r>
  <r>
    <x v="94"/>
    <x v="3"/>
    <x v="0"/>
    <x v="0"/>
    <x v="4"/>
    <x v="0"/>
    <x v="9"/>
    <x v="1"/>
    <x v="0"/>
    <x v="92"/>
    <x v="94"/>
    <x v="1"/>
    <x v="47"/>
    <x v="18"/>
    <x v="1"/>
    <x v="1"/>
    <x v="2"/>
    <x v="77"/>
    <x v="1"/>
    <x v="2"/>
    <x v="0"/>
    <x v="86"/>
    <x v="88"/>
    <x v="55"/>
    <x v="77"/>
    <x v="73"/>
  </r>
  <r>
    <x v="95"/>
    <x v="15"/>
    <x v="2"/>
    <x v="4"/>
    <x v="4"/>
    <x v="3"/>
    <x v="12"/>
    <x v="0"/>
    <x v="0"/>
    <x v="93"/>
    <x v="95"/>
    <x v="1"/>
    <x v="31"/>
    <x v="74"/>
    <x v="1"/>
    <x v="1"/>
    <x v="1"/>
    <x v="64"/>
    <x v="1"/>
    <x v="1"/>
    <x v="1"/>
    <x v="87"/>
    <x v="40"/>
    <x v="56"/>
    <x v="15"/>
    <x v="57"/>
  </r>
  <r>
    <x v="96"/>
    <x v="48"/>
    <x v="2"/>
    <x v="1"/>
    <x v="1"/>
    <x v="3"/>
    <x v="18"/>
    <x v="0"/>
    <x v="2"/>
    <x v="94"/>
    <x v="96"/>
    <x v="2"/>
    <x v="18"/>
    <x v="22"/>
    <x v="2"/>
    <x v="2"/>
    <x v="2"/>
    <x v="38"/>
    <x v="1"/>
    <x v="2"/>
    <x v="1"/>
    <x v="88"/>
    <x v="89"/>
    <x v="57"/>
    <x v="78"/>
    <x v="33"/>
  </r>
  <r>
    <x v="97"/>
    <x v="29"/>
    <x v="0"/>
    <x v="1"/>
    <x v="4"/>
    <x v="4"/>
    <x v="9"/>
    <x v="1"/>
    <x v="2"/>
    <x v="95"/>
    <x v="97"/>
    <x v="2"/>
    <x v="24"/>
    <x v="66"/>
    <x v="2"/>
    <x v="1"/>
    <x v="1"/>
    <x v="78"/>
    <x v="1"/>
    <x v="3"/>
    <x v="1"/>
    <x v="89"/>
    <x v="90"/>
    <x v="13"/>
    <x v="36"/>
    <x v="74"/>
  </r>
  <r>
    <x v="98"/>
    <x v="27"/>
    <x v="0"/>
    <x v="1"/>
    <x v="0"/>
    <x v="0"/>
    <x v="14"/>
    <x v="3"/>
    <x v="2"/>
    <x v="96"/>
    <x v="98"/>
    <x v="3"/>
    <x v="49"/>
    <x v="75"/>
    <x v="3"/>
    <x v="1"/>
    <x v="2"/>
    <x v="79"/>
    <x v="1"/>
    <x v="3"/>
    <x v="1"/>
    <x v="90"/>
    <x v="91"/>
    <x v="58"/>
    <x v="79"/>
    <x v="36"/>
  </r>
  <r>
    <x v="99"/>
    <x v="50"/>
    <x v="2"/>
    <x v="3"/>
    <x v="1"/>
    <x v="0"/>
    <x v="16"/>
    <x v="2"/>
    <x v="2"/>
    <x v="97"/>
    <x v="68"/>
    <x v="3"/>
    <x v="9"/>
    <x v="76"/>
    <x v="3"/>
    <x v="2"/>
    <x v="3"/>
    <x v="80"/>
    <x v="1"/>
    <x v="3"/>
    <x v="1"/>
    <x v="91"/>
    <x v="92"/>
    <x v="12"/>
    <x v="1"/>
    <x v="75"/>
  </r>
  <r>
    <x v="100"/>
    <x v="9"/>
    <x v="2"/>
    <x v="0"/>
    <x v="1"/>
    <x v="2"/>
    <x v="13"/>
    <x v="0"/>
    <x v="0"/>
    <x v="98"/>
    <x v="99"/>
    <x v="3"/>
    <x v="15"/>
    <x v="77"/>
    <x v="3"/>
    <x v="2"/>
    <x v="4"/>
    <x v="81"/>
    <x v="1"/>
    <x v="4"/>
    <x v="0"/>
    <x v="23"/>
    <x v="53"/>
    <x v="37"/>
    <x v="80"/>
    <x v="76"/>
  </r>
  <r>
    <x v="101"/>
    <x v="24"/>
    <x v="2"/>
    <x v="2"/>
    <x v="0"/>
    <x v="3"/>
    <x v="14"/>
    <x v="3"/>
    <x v="1"/>
    <x v="99"/>
    <x v="100"/>
    <x v="2"/>
    <x v="43"/>
    <x v="31"/>
    <x v="2"/>
    <x v="2"/>
    <x v="2"/>
    <x v="62"/>
    <x v="1"/>
    <x v="2"/>
    <x v="0"/>
    <x v="92"/>
    <x v="93"/>
    <x v="59"/>
    <x v="81"/>
    <x v="77"/>
  </r>
  <r>
    <x v="102"/>
    <x v="56"/>
    <x v="2"/>
    <x v="0"/>
    <x v="3"/>
    <x v="3"/>
    <x v="12"/>
    <x v="2"/>
    <x v="1"/>
    <x v="100"/>
    <x v="101"/>
    <x v="0"/>
    <x v="29"/>
    <x v="78"/>
    <x v="0"/>
    <x v="2"/>
    <x v="4"/>
    <x v="82"/>
    <x v="1"/>
    <x v="2"/>
    <x v="1"/>
    <x v="93"/>
    <x v="32"/>
    <x v="50"/>
    <x v="25"/>
    <x v="78"/>
  </r>
  <r>
    <x v="103"/>
    <x v="19"/>
    <x v="0"/>
    <x v="0"/>
    <x v="1"/>
    <x v="5"/>
    <x v="7"/>
    <x v="2"/>
    <x v="1"/>
    <x v="101"/>
    <x v="102"/>
    <x v="1"/>
    <x v="50"/>
    <x v="24"/>
    <x v="1"/>
    <x v="2"/>
    <x v="0"/>
    <x v="81"/>
    <x v="1"/>
    <x v="0"/>
    <x v="0"/>
    <x v="94"/>
    <x v="42"/>
    <x v="41"/>
    <x v="74"/>
    <x v="41"/>
  </r>
  <r>
    <x v="104"/>
    <x v="3"/>
    <x v="2"/>
    <x v="0"/>
    <x v="4"/>
    <x v="5"/>
    <x v="8"/>
    <x v="0"/>
    <x v="1"/>
    <x v="102"/>
    <x v="103"/>
    <x v="0"/>
    <x v="49"/>
    <x v="79"/>
    <x v="0"/>
    <x v="0"/>
    <x v="0"/>
    <x v="76"/>
    <x v="0"/>
    <x v="2"/>
    <x v="0"/>
    <x v="0"/>
    <x v="94"/>
    <x v="15"/>
    <x v="33"/>
    <x v="46"/>
  </r>
  <r>
    <x v="105"/>
    <x v="57"/>
    <x v="2"/>
    <x v="1"/>
    <x v="4"/>
    <x v="0"/>
    <x v="10"/>
    <x v="0"/>
    <x v="1"/>
    <x v="103"/>
    <x v="104"/>
    <x v="3"/>
    <x v="49"/>
    <x v="80"/>
    <x v="3"/>
    <x v="2"/>
    <x v="3"/>
    <x v="62"/>
    <x v="1"/>
    <x v="0"/>
    <x v="0"/>
    <x v="19"/>
    <x v="95"/>
    <x v="59"/>
    <x v="82"/>
    <x v="79"/>
  </r>
  <r>
    <x v="106"/>
    <x v="58"/>
    <x v="2"/>
    <x v="3"/>
    <x v="0"/>
    <x v="4"/>
    <x v="18"/>
    <x v="0"/>
    <x v="1"/>
    <x v="10"/>
    <x v="105"/>
    <x v="3"/>
    <x v="3"/>
    <x v="81"/>
    <x v="3"/>
    <x v="1"/>
    <x v="2"/>
    <x v="83"/>
    <x v="1"/>
    <x v="3"/>
    <x v="1"/>
    <x v="95"/>
    <x v="96"/>
    <x v="8"/>
    <x v="41"/>
    <x v="80"/>
  </r>
  <r>
    <x v="107"/>
    <x v="31"/>
    <x v="2"/>
    <x v="0"/>
    <x v="1"/>
    <x v="3"/>
    <x v="6"/>
    <x v="2"/>
    <x v="2"/>
    <x v="104"/>
    <x v="106"/>
    <x v="1"/>
    <x v="9"/>
    <x v="82"/>
    <x v="1"/>
    <x v="2"/>
    <x v="3"/>
    <x v="83"/>
    <x v="1"/>
    <x v="1"/>
    <x v="0"/>
    <x v="0"/>
    <x v="97"/>
    <x v="39"/>
    <x v="83"/>
    <x v="81"/>
  </r>
  <r>
    <x v="108"/>
    <x v="51"/>
    <x v="2"/>
    <x v="2"/>
    <x v="2"/>
    <x v="3"/>
    <x v="3"/>
    <x v="0"/>
    <x v="3"/>
    <x v="105"/>
    <x v="107"/>
    <x v="3"/>
    <x v="51"/>
    <x v="83"/>
    <x v="3"/>
    <x v="1"/>
    <x v="0"/>
    <x v="26"/>
    <x v="1"/>
    <x v="4"/>
    <x v="1"/>
    <x v="96"/>
    <x v="98"/>
    <x v="60"/>
    <x v="84"/>
    <x v="82"/>
  </r>
  <r>
    <x v="109"/>
    <x v="53"/>
    <x v="2"/>
    <x v="1"/>
    <x v="2"/>
    <x v="0"/>
    <x v="1"/>
    <x v="2"/>
    <x v="1"/>
    <x v="106"/>
    <x v="108"/>
    <x v="0"/>
    <x v="1"/>
    <x v="46"/>
    <x v="0"/>
    <x v="2"/>
    <x v="4"/>
    <x v="11"/>
    <x v="1"/>
    <x v="1"/>
    <x v="1"/>
    <x v="97"/>
    <x v="99"/>
    <x v="47"/>
    <x v="73"/>
    <x v="60"/>
  </r>
  <r>
    <x v="110"/>
    <x v="25"/>
    <x v="1"/>
    <x v="3"/>
    <x v="0"/>
    <x v="3"/>
    <x v="10"/>
    <x v="0"/>
    <x v="2"/>
    <x v="102"/>
    <x v="109"/>
    <x v="3"/>
    <x v="52"/>
    <x v="49"/>
    <x v="3"/>
    <x v="0"/>
    <x v="2"/>
    <x v="84"/>
    <x v="0"/>
    <x v="1"/>
    <x v="0"/>
    <x v="98"/>
    <x v="100"/>
    <x v="50"/>
    <x v="68"/>
    <x v="83"/>
  </r>
  <r>
    <x v="111"/>
    <x v="0"/>
    <x v="2"/>
    <x v="0"/>
    <x v="0"/>
    <x v="0"/>
    <x v="14"/>
    <x v="3"/>
    <x v="2"/>
    <x v="107"/>
    <x v="110"/>
    <x v="2"/>
    <x v="4"/>
    <x v="84"/>
    <x v="2"/>
    <x v="2"/>
    <x v="3"/>
    <x v="19"/>
    <x v="1"/>
    <x v="4"/>
    <x v="0"/>
    <x v="99"/>
    <x v="101"/>
    <x v="14"/>
    <x v="85"/>
    <x v="55"/>
  </r>
  <r>
    <x v="112"/>
    <x v="10"/>
    <x v="2"/>
    <x v="4"/>
    <x v="0"/>
    <x v="4"/>
    <x v="8"/>
    <x v="2"/>
    <x v="0"/>
    <x v="108"/>
    <x v="111"/>
    <x v="0"/>
    <x v="24"/>
    <x v="85"/>
    <x v="0"/>
    <x v="1"/>
    <x v="1"/>
    <x v="85"/>
    <x v="1"/>
    <x v="0"/>
    <x v="1"/>
    <x v="56"/>
    <x v="102"/>
    <x v="61"/>
    <x v="86"/>
    <x v="49"/>
  </r>
  <r>
    <x v="113"/>
    <x v="59"/>
    <x v="1"/>
    <x v="3"/>
    <x v="4"/>
    <x v="2"/>
    <x v="7"/>
    <x v="0"/>
    <x v="3"/>
    <x v="109"/>
    <x v="112"/>
    <x v="0"/>
    <x v="53"/>
    <x v="12"/>
    <x v="0"/>
    <x v="0"/>
    <x v="2"/>
    <x v="86"/>
    <x v="0"/>
    <x v="1"/>
    <x v="0"/>
    <x v="58"/>
    <x v="103"/>
    <x v="57"/>
    <x v="87"/>
    <x v="71"/>
  </r>
  <r>
    <x v="114"/>
    <x v="18"/>
    <x v="1"/>
    <x v="0"/>
    <x v="2"/>
    <x v="1"/>
    <x v="12"/>
    <x v="1"/>
    <x v="2"/>
    <x v="110"/>
    <x v="113"/>
    <x v="2"/>
    <x v="9"/>
    <x v="57"/>
    <x v="2"/>
    <x v="0"/>
    <x v="4"/>
    <x v="76"/>
    <x v="0"/>
    <x v="0"/>
    <x v="1"/>
    <x v="100"/>
    <x v="99"/>
    <x v="53"/>
    <x v="12"/>
    <x v="84"/>
  </r>
  <r>
    <x v="115"/>
    <x v="2"/>
    <x v="2"/>
    <x v="2"/>
    <x v="3"/>
    <x v="0"/>
    <x v="3"/>
    <x v="2"/>
    <x v="2"/>
    <x v="111"/>
    <x v="111"/>
    <x v="1"/>
    <x v="33"/>
    <x v="49"/>
    <x v="1"/>
    <x v="2"/>
    <x v="3"/>
    <x v="87"/>
    <x v="1"/>
    <x v="0"/>
    <x v="0"/>
    <x v="101"/>
    <x v="46"/>
    <x v="23"/>
    <x v="77"/>
    <x v="46"/>
  </r>
  <r>
    <x v="116"/>
    <x v="4"/>
    <x v="1"/>
    <x v="4"/>
    <x v="0"/>
    <x v="0"/>
    <x v="12"/>
    <x v="1"/>
    <x v="3"/>
    <x v="112"/>
    <x v="114"/>
    <x v="0"/>
    <x v="36"/>
    <x v="86"/>
    <x v="0"/>
    <x v="2"/>
    <x v="1"/>
    <x v="88"/>
    <x v="1"/>
    <x v="0"/>
    <x v="1"/>
    <x v="102"/>
    <x v="104"/>
    <x v="62"/>
    <x v="88"/>
    <x v="46"/>
  </r>
  <r>
    <x v="117"/>
    <x v="4"/>
    <x v="2"/>
    <x v="0"/>
    <x v="3"/>
    <x v="0"/>
    <x v="10"/>
    <x v="2"/>
    <x v="0"/>
    <x v="113"/>
    <x v="115"/>
    <x v="1"/>
    <x v="54"/>
    <x v="87"/>
    <x v="1"/>
    <x v="0"/>
    <x v="1"/>
    <x v="62"/>
    <x v="0"/>
    <x v="2"/>
    <x v="0"/>
    <x v="5"/>
    <x v="105"/>
    <x v="28"/>
    <x v="3"/>
    <x v="37"/>
  </r>
  <r>
    <x v="118"/>
    <x v="47"/>
    <x v="0"/>
    <x v="2"/>
    <x v="3"/>
    <x v="0"/>
    <x v="12"/>
    <x v="1"/>
    <x v="0"/>
    <x v="114"/>
    <x v="116"/>
    <x v="0"/>
    <x v="4"/>
    <x v="88"/>
    <x v="0"/>
    <x v="1"/>
    <x v="4"/>
    <x v="22"/>
    <x v="1"/>
    <x v="2"/>
    <x v="0"/>
    <x v="103"/>
    <x v="106"/>
    <x v="25"/>
    <x v="89"/>
    <x v="37"/>
  </r>
  <r>
    <x v="119"/>
    <x v="29"/>
    <x v="0"/>
    <x v="0"/>
    <x v="3"/>
    <x v="0"/>
    <x v="10"/>
    <x v="0"/>
    <x v="0"/>
    <x v="115"/>
    <x v="117"/>
    <x v="3"/>
    <x v="22"/>
    <x v="1"/>
    <x v="3"/>
    <x v="1"/>
    <x v="1"/>
    <x v="70"/>
    <x v="1"/>
    <x v="1"/>
    <x v="1"/>
    <x v="72"/>
    <x v="107"/>
    <x v="63"/>
    <x v="90"/>
    <x v="10"/>
  </r>
  <r>
    <x v="120"/>
    <x v="49"/>
    <x v="0"/>
    <x v="3"/>
    <x v="0"/>
    <x v="3"/>
    <x v="1"/>
    <x v="0"/>
    <x v="3"/>
    <x v="116"/>
    <x v="118"/>
    <x v="0"/>
    <x v="6"/>
    <x v="89"/>
    <x v="0"/>
    <x v="2"/>
    <x v="0"/>
    <x v="86"/>
    <x v="1"/>
    <x v="4"/>
    <x v="1"/>
    <x v="104"/>
    <x v="108"/>
    <x v="64"/>
    <x v="91"/>
    <x v="85"/>
  </r>
  <r>
    <x v="121"/>
    <x v="12"/>
    <x v="2"/>
    <x v="4"/>
    <x v="4"/>
    <x v="0"/>
    <x v="19"/>
    <x v="2"/>
    <x v="1"/>
    <x v="6"/>
    <x v="119"/>
    <x v="2"/>
    <x v="55"/>
    <x v="90"/>
    <x v="2"/>
    <x v="2"/>
    <x v="3"/>
    <x v="74"/>
    <x v="1"/>
    <x v="0"/>
    <x v="1"/>
    <x v="105"/>
    <x v="109"/>
    <x v="65"/>
    <x v="52"/>
    <x v="3"/>
  </r>
  <r>
    <x v="122"/>
    <x v="60"/>
    <x v="0"/>
    <x v="2"/>
    <x v="2"/>
    <x v="5"/>
    <x v="12"/>
    <x v="1"/>
    <x v="0"/>
    <x v="117"/>
    <x v="120"/>
    <x v="2"/>
    <x v="55"/>
    <x v="91"/>
    <x v="2"/>
    <x v="1"/>
    <x v="0"/>
    <x v="89"/>
    <x v="1"/>
    <x v="0"/>
    <x v="1"/>
    <x v="106"/>
    <x v="110"/>
    <x v="66"/>
    <x v="92"/>
    <x v="57"/>
  </r>
  <r>
    <x v="123"/>
    <x v="61"/>
    <x v="0"/>
    <x v="1"/>
    <x v="0"/>
    <x v="0"/>
    <x v="2"/>
    <x v="2"/>
    <x v="1"/>
    <x v="118"/>
    <x v="31"/>
    <x v="1"/>
    <x v="6"/>
    <x v="62"/>
    <x v="1"/>
    <x v="1"/>
    <x v="4"/>
    <x v="19"/>
    <x v="1"/>
    <x v="1"/>
    <x v="0"/>
    <x v="107"/>
    <x v="111"/>
    <x v="37"/>
    <x v="27"/>
    <x v="7"/>
  </r>
  <r>
    <x v="124"/>
    <x v="18"/>
    <x v="0"/>
    <x v="2"/>
    <x v="4"/>
    <x v="0"/>
    <x v="14"/>
    <x v="0"/>
    <x v="3"/>
    <x v="119"/>
    <x v="121"/>
    <x v="0"/>
    <x v="51"/>
    <x v="54"/>
    <x v="0"/>
    <x v="0"/>
    <x v="0"/>
    <x v="3"/>
    <x v="0"/>
    <x v="3"/>
    <x v="0"/>
    <x v="108"/>
    <x v="112"/>
    <x v="67"/>
    <x v="0"/>
    <x v="86"/>
  </r>
  <r>
    <x v="125"/>
    <x v="47"/>
    <x v="1"/>
    <x v="0"/>
    <x v="4"/>
    <x v="0"/>
    <x v="15"/>
    <x v="0"/>
    <x v="0"/>
    <x v="120"/>
    <x v="122"/>
    <x v="1"/>
    <x v="49"/>
    <x v="92"/>
    <x v="1"/>
    <x v="0"/>
    <x v="0"/>
    <x v="24"/>
    <x v="0"/>
    <x v="4"/>
    <x v="0"/>
    <x v="109"/>
    <x v="113"/>
    <x v="68"/>
    <x v="93"/>
    <x v="12"/>
  </r>
  <r>
    <x v="126"/>
    <x v="43"/>
    <x v="2"/>
    <x v="4"/>
    <x v="1"/>
    <x v="0"/>
    <x v="1"/>
    <x v="0"/>
    <x v="1"/>
    <x v="121"/>
    <x v="123"/>
    <x v="0"/>
    <x v="37"/>
    <x v="93"/>
    <x v="0"/>
    <x v="1"/>
    <x v="4"/>
    <x v="90"/>
    <x v="1"/>
    <x v="0"/>
    <x v="1"/>
    <x v="73"/>
    <x v="114"/>
    <x v="27"/>
    <x v="94"/>
    <x v="0"/>
  </r>
  <r>
    <x v="127"/>
    <x v="24"/>
    <x v="2"/>
    <x v="4"/>
    <x v="3"/>
    <x v="0"/>
    <x v="2"/>
    <x v="2"/>
    <x v="3"/>
    <x v="122"/>
    <x v="124"/>
    <x v="2"/>
    <x v="24"/>
    <x v="94"/>
    <x v="2"/>
    <x v="0"/>
    <x v="0"/>
    <x v="91"/>
    <x v="0"/>
    <x v="2"/>
    <x v="0"/>
    <x v="110"/>
    <x v="7"/>
    <x v="69"/>
    <x v="24"/>
    <x v="57"/>
  </r>
  <r>
    <x v="128"/>
    <x v="52"/>
    <x v="1"/>
    <x v="1"/>
    <x v="2"/>
    <x v="3"/>
    <x v="15"/>
    <x v="3"/>
    <x v="2"/>
    <x v="123"/>
    <x v="125"/>
    <x v="1"/>
    <x v="3"/>
    <x v="59"/>
    <x v="1"/>
    <x v="1"/>
    <x v="2"/>
    <x v="92"/>
    <x v="1"/>
    <x v="2"/>
    <x v="1"/>
    <x v="111"/>
    <x v="61"/>
    <x v="23"/>
    <x v="59"/>
    <x v="87"/>
  </r>
  <r>
    <x v="129"/>
    <x v="12"/>
    <x v="2"/>
    <x v="4"/>
    <x v="3"/>
    <x v="0"/>
    <x v="17"/>
    <x v="3"/>
    <x v="3"/>
    <x v="124"/>
    <x v="126"/>
    <x v="0"/>
    <x v="2"/>
    <x v="73"/>
    <x v="0"/>
    <x v="1"/>
    <x v="1"/>
    <x v="83"/>
    <x v="1"/>
    <x v="4"/>
    <x v="0"/>
    <x v="46"/>
    <x v="115"/>
    <x v="46"/>
    <x v="95"/>
    <x v="5"/>
  </r>
  <r>
    <x v="130"/>
    <x v="17"/>
    <x v="1"/>
    <x v="1"/>
    <x v="2"/>
    <x v="1"/>
    <x v="1"/>
    <x v="2"/>
    <x v="0"/>
    <x v="125"/>
    <x v="127"/>
    <x v="2"/>
    <x v="36"/>
    <x v="95"/>
    <x v="2"/>
    <x v="2"/>
    <x v="1"/>
    <x v="93"/>
    <x v="1"/>
    <x v="4"/>
    <x v="0"/>
    <x v="57"/>
    <x v="116"/>
    <x v="70"/>
    <x v="96"/>
    <x v="8"/>
  </r>
  <r>
    <x v="131"/>
    <x v="60"/>
    <x v="1"/>
    <x v="4"/>
    <x v="1"/>
    <x v="0"/>
    <x v="6"/>
    <x v="3"/>
    <x v="1"/>
    <x v="126"/>
    <x v="128"/>
    <x v="2"/>
    <x v="43"/>
    <x v="89"/>
    <x v="2"/>
    <x v="2"/>
    <x v="3"/>
    <x v="19"/>
    <x v="1"/>
    <x v="3"/>
    <x v="0"/>
    <x v="112"/>
    <x v="117"/>
    <x v="37"/>
    <x v="73"/>
    <x v="73"/>
  </r>
  <r>
    <x v="132"/>
    <x v="33"/>
    <x v="0"/>
    <x v="0"/>
    <x v="3"/>
    <x v="0"/>
    <x v="7"/>
    <x v="3"/>
    <x v="3"/>
    <x v="127"/>
    <x v="129"/>
    <x v="2"/>
    <x v="10"/>
    <x v="96"/>
    <x v="2"/>
    <x v="1"/>
    <x v="2"/>
    <x v="47"/>
    <x v="1"/>
    <x v="2"/>
    <x v="0"/>
    <x v="111"/>
    <x v="118"/>
    <x v="30"/>
    <x v="29"/>
    <x v="88"/>
  </r>
  <r>
    <x v="133"/>
    <x v="45"/>
    <x v="1"/>
    <x v="0"/>
    <x v="0"/>
    <x v="1"/>
    <x v="10"/>
    <x v="3"/>
    <x v="3"/>
    <x v="51"/>
    <x v="130"/>
    <x v="2"/>
    <x v="41"/>
    <x v="97"/>
    <x v="2"/>
    <x v="0"/>
    <x v="1"/>
    <x v="53"/>
    <x v="0"/>
    <x v="0"/>
    <x v="1"/>
    <x v="35"/>
    <x v="119"/>
    <x v="21"/>
    <x v="97"/>
    <x v="71"/>
  </r>
  <r>
    <x v="134"/>
    <x v="48"/>
    <x v="2"/>
    <x v="0"/>
    <x v="2"/>
    <x v="0"/>
    <x v="11"/>
    <x v="0"/>
    <x v="0"/>
    <x v="128"/>
    <x v="131"/>
    <x v="0"/>
    <x v="36"/>
    <x v="98"/>
    <x v="0"/>
    <x v="0"/>
    <x v="1"/>
    <x v="86"/>
    <x v="0"/>
    <x v="3"/>
    <x v="0"/>
    <x v="113"/>
    <x v="16"/>
    <x v="19"/>
    <x v="66"/>
    <x v="13"/>
  </r>
  <r>
    <x v="135"/>
    <x v="4"/>
    <x v="1"/>
    <x v="2"/>
    <x v="4"/>
    <x v="1"/>
    <x v="14"/>
    <x v="1"/>
    <x v="1"/>
    <x v="129"/>
    <x v="132"/>
    <x v="3"/>
    <x v="12"/>
    <x v="99"/>
    <x v="3"/>
    <x v="2"/>
    <x v="0"/>
    <x v="39"/>
    <x v="1"/>
    <x v="0"/>
    <x v="0"/>
    <x v="96"/>
    <x v="120"/>
    <x v="57"/>
    <x v="67"/>
    <x v="89"/>
  </r>
  <r>
    <x v="136"/>
    <x v="45"/>
    <x v="1"/>
    <x v="4"/>
    <x v="1"/>
    <x v="0"/>
    <x v="8"/>
    <x v="1"/>
    <x v="1"/>
    <x v="125"/>
    <x v="133"/>
    <x v="0"/>
    <x v="44"/>
    <x v="15"/>
    <x v="0"/>
    <x v="2"/>
    <x v="1"/>
    <x v="71"/>
    <x v="1"/>
    <x v="2"/>
    <x v="1"/>
    <x v="114"/>
    <x v="121"/>
    <x v="19"/>
    <x v="98"/>
    <x v="26"/>
  </r>
  <r>
    <x v="137"/>
    <x v="23"/>
    <x v="2"/>
    <x v="1"/>
    <x v="2"/>
    <x v="0"/>
    <x v="3"/>
    <x v="2"/>
    <x v="1"/>
    <x v="130"/>
    <x v="134"/>
    <x v="2"/>
    <x v="6"/>
    <x v="100"/>
    <x v="2"/>
    <x v="0"/>
    <x v="2"/>
    <x v="2"/>
    <x v="0"/>
    <x v="4"/>
    <x v="1"/>
    <x v="43"/>
    <x v="90"/>
    <x v="32"/>
    <x v="99"/>
    <x v="78"/>
  </r>
  <r>
    <x v="138"/>
    <x v="62"/>
    <x v="2"/>
    <x v="2"/>
    <x v="3"/>
    <x v="0"/>
    <x v="3"/>
    <x v="0"/>
    <x v="1"/>
    <x v="131"/>
    <x v="135"/>
    <x v="3"/>
    <x v="56"/>
    <x v="89"/>
    <x v="3"/>
    <x v="1"/>
    <x v="0"/>
    <x v="28"/>
    <x v="1"/>
    <x v="0"/>
    <x v="1"/>
    <x v="65"/>
    <x v="54"/>
    <x v="42"/>
    <x v="14"/>
    <x v="2"/>
  </r>
  <r>
    <x v="139"/>
    <x v="43"/>
    <x v="0"/>
    <x v="0"/>
    <x v="4"/>
    <x v="4"/>
    <x v="17"/>
    <x v="0"/>
    <x v="3"/>
    <x v="132"/>
    <x v="136"/>
    <x v="3"/>
    <x v="9"/>
    <x v="23"/>
    <x v="3"/>
    <x v="0"/>
    <x v="0"/>
    <x v="26"/>
    <x v="0"/>
    <x v="4"/>
    <x v="1"/>
    <x v="56"/>
    <x v="122"/>
    <x v="4"/>
    <x v="100"/>
    <x v="7"/>
  </r>
  <r>
    <x v="140"/>
    <x v="61"/>
    <x v="1"/>
    <x v="2"/>
    <x v="1"/>
    <x v="3"/>
    <x v="13"/>
    <x v="2"/>
    <x v="1"/>
    <x v="133"/>
    <x v="137"/>
    <x v="0"/>
    <x v="13"/>
    <x v="8"/>
    <x v="0"/>
    <x v="0"/>
    <x v="0"/>
    <x v="94"/>
    <x v="0"/>
    <x v="4"/>
    <x v="1"/>
    <x v="115"/>
    <x v="123"/>
    <x v="47"/>
    <x v="101"/>
    <x v="77"/>
  </r>
  <r>
    <x v="141"/>
    <x v="5"/>
    <x v="1"/>
    <x v="0"/>
    <x v="3"/>
    <x v="0"/>
    <x v="9"/>
    <x v="0"/>
    <x v="1"/>
    <x v="134"/>
    <x v="138"/>
    <x v="0"/>
    <x v="3"/>
    <x v="101"/>
    <x v="0"/>
    <x v="0"/>
    <x v="1"/>
    <x v="86"/>
    <x v="0"/>
    <x v="1"/>
    <x v="0"/>
    <x v="116"/>
    <x v="124"/>
    <x v="71"/>
    <x v="102"/>
    <x v="83"/>
  </r>
  <r>
    <x v="142"/>
    <x v="38"/>
    <x v="2"/>
    <x v="4"/>
    <x v="3"/>
    <x v="0"/>
    <x v="19"/>
    <x v="2"/>
    <x v="1"/>
    <x v="135"/>
    <x v="139"/>
    <x v="3"/>
    <x v="23"/>
    <x v="102"/>
    <x v="3"/>
    <x v="1"/>
    <x v="4"/>
    <x v="95"/>
    <x v="1"/>
    <x v="3"/>
    <x v="0"/>
    <x v="117"/>
    <x v="62"/>
    <x v="28"/>
    <x v="103"/>
    <x v="90"/>
  </r>
  <r>
    <x v="143"/>
    <x v="35"/>
    <x v="1"/>
    <x v="0"/>
    <x v="1"/>
    <x v="5"/>
    <x v="5"/>
    <x v="1"/>
    <x v="2"/>
    <x v="136"/>
    <x v="140"/>
    <x v="2"/>
    <x v="32"/>
    <x v="100"/>
    <x v="2"/>
    <x v="0"/>
    <x v="2"/>
    <x v="62"/>
    <x v="0"/>
    <x v="2"/>
    <x v="0"/>
    <x v="93"/>
    <x v="125"/>
    <x v="23"/>
    <x v="104"/>
    <x v="91"/>
  </r>
  <r>
    <x v="144"/>
    <x v="6"/>
    <x v="0"/>
    <x v="4"/>
    <x v="1"/>
    <x v="3"/>
    <x v="0"/>
    <x v="1"/>
    <x v="1"/>
    <x v="137"/>
    <x v="141"/>
    <x v="3"/>
    <x v="4"/>
    <x v="103"/>
    <x v="3"/>
    <x v="1"/>
    <x v="2"/>
    <x v="96"/>
    <x v="1"/>
    <x v="1"/>
    <x v="0"/>
    <x v="15"/>
    <x v="126"/>
    <x v="13"/>
    <x v="105"/>
    <x v="69"/>
  </r>
  <r>
    <x v="145"/>
    <x v="63"/>
    <x v="2"/>
    <x v="3"/>
    <x v="2"/>
    <x v="0"/>
    <x v="15"/>
    <x v="1"/>
    <x v="0"/>
    <x v="138"/>
    <x v="142"/>
    <x v="0"/>
    <x v="3"/>
    <x v="57"/>
    <x v="0"/>
    <x v="2"/>
    <x v="4"/>
    <x v="59"/>
    <x v="1"/>
    <x v="1"/>
    <x v="1"/>
    <x v="118"/>
    <x v="127"/>
    <x v="5"/>
    <x v="106"/>
    <x v="28"/>
  </r>
  <r>
    <x v="146"/>
    <x v="44"/>
    <x v="0"/>
    <x v="1"/>
    <x v="1"/>
    <x v="2"/>
    <x v="14"/>
    <x v="0"/>
    <x v="0"/>
    <x v="83"/>
    <x v="143"/>
    <x v="1"/>
    <x v="3"/>
    <x v="104"/>
    <x v="1"/>
    <x v="2"/>
    <x v="1"/>
    <x v="59"/>
    <x v="1"/>
    <x v="3"/>
    <x v="1"/>
    <x v="119"/>
    <x v="52"/>
    <x v="22"/>
    <x v="107"/>
    <x v="86"/>
  </r>
  <r>
    <x v="147"/>
    <x v="61"/>
    <x v="2"/>
    <x v="3"/>
    <x v="0"/>
    <x v="2"/>
    <x v="0"/>
    <x v="3"/>
    <x v="3"/>
    <x v="139"/>
    <x v="144"/>
    <x v="3"/>
    <x v="9"/>
    <x v="93"/>
    <x v="3"/>
    <x v="0"/>
    <x v="1"/>
    <x v="21"/>
    <x v="0"/>
    <x v="1"/>
    <x v="0"/>
    <x v="120"/>
    <x v="128"/>
    <x v="72"/>
    <x v="108"/>
    <x v="30"/>
  </r>
  <r>
    <x v="148"/>
    <x v="54"/>
    <x v="0"/>
    <x v="1"/>
    <x v="3"/>
    <x v="0"/>
    <x v="17"/>
    <x v="0"/>
    <x v="1"/>
    <x v="119"/>
    <x v="145"/>
    <x v="3"/>
    <x v="9"/>
    <x v="12"/>
    <x v="3"/>
    <x v="1"/>
    <x v="3"/>
    <x v="97"/>
    <x v="1"/>
    <x v="3"/>
    <x v="1"/>
    <x v="78"/>
    <x v="129"/>
    <x v="61"/>
    <x v="4"/>
    <x v="92"/>
  </r>
  <r>
    <x v="149"/>
    <x v="36"/>
    <x v="1"/>
    <x v="2"/>
    <x v="0"/>
    <x v="5"/>
    <x v="10"/>
    <x v="0"/>
    <x v="1"/>
    <x v="140"/>
    <x v="146"/>
    <x v="1"/>
    <x v="57"/>
    <x v="105"/>
    <x v="1"/>
    <x v="2"/>
    <x v="1"/>
    <x v="98"/>
    <x v="1"/>
    <x v="0"/>
    <x v="1"/>
    <x v="121"/>
    <x v="118"/>
    <x v="11"/>
    <x v="54"/>
    <x v="8"/>
  </r>
  <r>
    <x v="150"/>
    <x v="49"/>
    <x v="2"/>
    <x v="1"/>
    <x v="2"/>
    <x v="0"/>
    <x v="1"/>
    <x v="1"/>
    <x v="2"/>
    <x v="6"/>
    <x v="6"/>
    <x v="2"/>
    <x v="23"/>
    <x v="79"/>
    <x v="2"/>
    <x v="2"/>
    <x v="4"/>
    <x v="99"/>
    <x v="1"/>
    <x v="1"/>
    <x v="1"/>
    <x v="122"/>
    <x v="130"/>
    <x v="38"/>
    <x v="17"/>
    <x v="17"/>
  </r>
  <r>
    <x v="151"/>
    <x v="28"/>
    <x v="2"/>
    <x v="4"/>
    <x v="0"/>
    <x v="0"/>
    <x v="11"/>
    <x v="0"/>
    <x v="3"/>
    <x v="141"/>
    <x v="147"/>
    <x v="3"/>
    <x v="51"/>
    <x v="106"/>
    <x v="3"/>
    <x v="0"/>
    <x v="4"/>
    <x v="91"/>
    <x v="0"/>
    <x v="4"/>
    <x v="0"/>
    <x v="123"/>
    <x v="131"/>
    <x v="16"/>
    <x v="83"/>
    <x v="93"/>
  </r>
  <r>
    <x v="152"/>
    <x v="14"/>
    <x v="1"/>
    <x v="2"/>
    <x v="2"/>
    <x v="0"/>
    <x v="17"/>
    <x v="2"/>
    <x v="1"/>
    <x v="142"/>
    <x v="21"/>
    <x v="1"/>
    <x v="1"/>
    <x v="103"/>
    <x v="1"/>
    <x v="1"/>
    <x v="4"/>
    <x v="74"/>
    <x v="1"/>
    <x v="2"/>
    <x v="1"/>
    <x v="124"/>
    <x v="115"/>
    <x v="0"/>
    <x v="109"/>
    <x v="94"/>
  </r>
  <r>
    <x v="153"/>
    <x v="14"/>
    <x v="2"/>
    <x v="2"/>
    <x v="2"/>
    <x v="0"/>
    <x v="8"/>
    <x v="3"/>
    <x v="1"/>
    <x v="143"/>
    <x v="148"/>
    <x v="0"/>
    <x v="24"/>
    <x v="45"/>
    <x v="0"/>
    <x v="1"/>
    <x v="4"/>
    <x v="100"/>
    <x v="1"/>
    <x v="1"/>
    <x v="0"/>
    <x v="125"/>
    <x v="13"/>
    <x v="72"/>
    <x v="110"/>
    <x v="95"/>
  </r>
  <r>
    <x v="154"/>
    <x v="7"/>
    <x v="2"/>
    <x v="1"/>
    <x v="4"/>
    <x v="0"/>
    <x v="11"/>
    <x v="1"/>
    <x v="3"/>
    <x v="144"/>
    <x v="149"/>
    <x v="1"/>
    <x v="12"/>
    <x v="107"/>
    <x v="1"/>
    <x v="0"/>
    <x v="0"/>
    <x v="101"/>
    <x v="0"/>
    <x v="2"/>
    <x v="0"/>
    <x v="54"/>
    <x v="132"/>
    <x v="73"/>
    <x v="25"/>
    <x v="31"/>
  </r>
  <r>
    <x v="155"/>
    <x v="26"/>
    <x v="1"/>
    <x v="0"/>
    <x v="3"/>
    <x v="2"/>
    <x v="10"/>
    <x v="3"/>
    <x v="1"/>
    <x v="145"/>
    <x v="150"/>
    <x v="0"/>
    <x v="57"/>
    <x v="108"/>
    <x v="0"/>
    <x v="2"/>
    <x v="1"/>
    <x v="102"/>
    <x v="1"/>
    <x v="1"/>
    <x v="0"/>
    <x v="126"/>
    <x v="133"/>
    <x v="51"/>
    <x v="111"/>
    <x v="23"/>
  </r>
  <r>
    <x v="156"/>
    <x v="23"/>
    <x v="0"/>
    <x v="4"/>
    <x v="4"/>
    <x v="1"/>
    <x v="0"/>
    <x v="1"/>
    <x v="1"/>
    <x v="146"/>
    <x v="151"/>
    <x v="1"/>
    <x v="58"/>
    <x v="45"/>
    <x v="1"/>
    <x v="1"/>
    <x v="1"/>
    <x v="103"/>
    <x v="1"/>
    <x v="2"/>
    <x v="1"/>
    <x v="113"/>
    <x v="134"/>
    <x v="10"/>
    <x v="65"/>
    <x v="96"/>
  </r>
  <r>
    <x v="157"/>
    <x v="42"/>
    <x v="1"/>
    <x v="2"/>
    <x v="1"/>
    <x v="2"/>
    <x v="6"/>
    <x v="1"/>
    <x v="1"/>
    <x v="147"/>
    <x v="152"/>
    <x v="2"/>
    <x v="6"/>
    <x v="16"/>
    <x v="2"/>
    <x v="0"/>
    <x v="4"/>
    <x v="26"/>
    <x v="0"/>
    <x v="1"/>
    <x v="0"/>
    <x v="127"/>
    <x v="113"/>
    <x v="74"/>
    <x v="107"/>
    <x v="80"/>
  </r>
  <r>
    <x v="158"/>
    <x v="2"/>
    <x v="0"/>
    <x v="1"/>
    <x v="1"/>
    <x v="3"/>
    <x v="15"/>
    <x v="3"/>
    <x v="2"/>
    <x v="148"/>
    <x v="153"/>
    <x v="3"/>
    <x v="0"/>
    <x v="67"/>
    <x v="3"/>
    <x v="0"/>
    <x v="2"/>
    <x v="15"/>
    <x v="0"/>
    <x v="3"/>
    <x v="1"/>
    <x v="128"/>
    <x v="135"/>
    <x v="41"/>
    <x v="112"/>
    <x v="43"/>
  </r>
  <r>
    <x v="159"/>
    <x v="37"/>
    <x v="0"/>
    <x v="3"/>
    <x v="2"/>
    <x v="0"/>
    <x v="16"/>
    <x v="1"/>
    <x v="1"/>
    <x v="149"/>
    <x v="154"/>
    <x v="0"/>
    <x v="2"/>
    <x v="81"/>
    <x v="0"/>
    <x v="2"/>
    <x v="3"/>
    <x v="9"/>
    <x v="1"/>
    <x v="0"/>
    <x v="1"/>
    <x v="129"/>
    <x v="136"/>
    <x v="75"/>
    <x v="113"/>
    <x v="78"/>
  </r>
  <r>
    <x v="160"/>
    <x v="63"/>
    <x v="0"/>
    <x v="4"/>
    <x v="0"/>
    <x v="1"/>
    <x v="11"/>
    <x v="2"/>
    <x v="1"/>
    <x v="150"/>
    <x v="155"/>
    <x v="2"/>
    <x v="3"/>
    <x v="60"/>
    <x v="2"/>
    <x v="0"/>
    <x v="4"/>
    <x v="17"/>
    <x v="0"/>
    <x v="3"/>
    <x v="1"/>
    <x v="130"/>
    <x v="58"/>
    <x v="56"/>
    <x v="92"/>
    <x v="97"/>
  </r>
  <r>
    <x v="161"/>
    <x v="26"/>
    <x v="0"/>
    <x v="0"/>
    <x v="3"/>
    <x v="0"/>
    <x v="10"/>
    <x v="3"/>
    <x v="2"/>
    <x v="151"/>
    <x v="156"/>
    <x v="0"/>
    <x v="29"/>
    <x v="109"/>
    <x v="0"/>
    <x v="2"/>
    <x v="1"/>
    <x v="55"/>
    <x v="1"/>
    <x v="0"/>
    <x v="0"/>
    <x v="131"/>
    <x v="70"/>
    <x v="33"/>
    <x v="114"/>
    <x v="74"/>
  </r>
  <r>
    <x v="162"/>
    <x v="58"/>
    <x v="1"/>
    <x v="1"/>
    <x v="1"/>
    <x v="4"/>
    <x v="4"/>
    <x v="2"/>
    <x v="3"/>
    <x v="15"/>
    <x v="157"/>
    <x v="3"/>
    <x v="6"/>
    <x v="110"/>
    <x v="3"/>
    <x v="2"/>
    <x v="3"/>
    <x v="23"/>
    <x v="1"/>
    <x v="1"/>
    <x v="1"/>
    <x v="132"/>
    <x v="26"/>
    <x v="34"/>
    <x v="115"/>
    <x v="54"/>
  </r>
  <r>
    <x v="163"/>
    <x v="20"/>
    <x v="1"/>
    <x v="0"/>
    <x v="1"/>
    <x v="0"/>
    <x v="7"/>
    <x v="2"/>
    <x v="2"/>
    <x v="152"/>
    <x v="158"/>
    <x v="1"/>
    <x v="45"/>
    <x v="78"/>
    <x v="1"/>
    <x v="1"/>
    <x v="3"/>
    <x v="11"/>
    <x v="1"/>
    <x v="0"/>
    <x v="1"/>
    <x v="133"/>
    <x v="137"/>
    <x v="55"/>
    <x v="22"/>
    <x v="98"/>
  </r>
  <r>
    <x v="164"/>
    <x v="6"/>
    <x v="0"/>
    <x v="3"/>
    <x v="3"/>
    <x v="4"/>
    <x v="5"/>
    <x v="2"/>
    <x v="1"/>
    <x v="35"/>
    <x v="159"/>
    <x v="1"/>
    <x v="26"/>
    <x v="93"/>
    <x v="1"/>
    <x v="1"/>
    <x v="2"/>
    <x v="104"/>
    <x v="1"/>
    <x v="4"/>
    <x v="1"/>
    <x v="134"/>
    <x v="138"/>
    <x v="67"/>
    <x v="77"/>
    <x v="99"/>
  </r>
  <r>
    <x v="165"/>
    <x v="40"/>
    <x v="1"/>
    <x v="3"/>
    <x v="4"/>
    <x v="0"/>
    <x v="11"/>
    <x v="0"/>
    <x v="0"/>
    <x v="153"/>
    <x v="160"/>
    <x v="3"/>
    <x v="59"/>
    <x v="68"/>
    <x v="3"/>
    <x v="0"/>
    <x v="2"/>
    <x v="105"/>
    <x v="0"/>
    <x v="1"/>
    <x v="0"/>
    <x v="135"/>
    <x v="139"/>
    <x v="76"/>
    <x v="116"/>
    <x v="23"/>
  </r>
  <r>
    <x v="166"/>
    <x v="59"/>
    <x v="2"/>
    <x v="2"/>
    <x v="1"/>
    <x v="1"/>
    <x v="18"/>
    <x v="0"/>
    <x v="0"/>
    <x v="154"/>
    <x v="161"/>
    <x v="3"/>
    <x v="19"/>
    <x v="9"/>
    <x v="3"/>
    <x v="1"/>
    <x v="3"/>
    <x v="106"/>
    <x v="1"/>
    <x v="3"/>
    <x v="0"/>
    <x v="136"/>
    <x v="87"/>
    <x v="8"/>
    <x v="117"/>
    <x v="99"/>
  </r>
  <r>
    <x v="167"/>
    <x v="58"/>
    <x v="1"/>
    <x v="3"/>
    <x v="2"/>
    <x v="4"/>
    <x v="19"/>
    <x v="2"/>
    <x v="0"/>
    <x v="155"/>
    <x v="162"/>
    <x v="1"/>
    <x v="46"/>
    <x v="111"/>
    <x v="1"/>
    <x v="1"/>
    <x v="4"/>
    <x v="107"/>
    <x v="1"/>
    <x v="2"/>
    <x v="1"/>
    <x v="137"/>
    <x v="131"/>
    <x v="23"/>
    <x v="118"/>
    <x v="73"/>
  </r>
  <r>
    <x v="168"/>
    <x v="55"/>
    <x v="2"/>
    <x v="4"/>
    <x v="3"/>
    <x v="0"/>
    <x v="9"/>
    <x v="2"/>
    <x v="3"/>
    <x v="156"/>
    <x v="163"/>
    <x v="1"/>
    <x v="9"/>
    <x v="88"/>
    <x v="1"/>
    <x v="2"/>
    <x v="3"/>
    <x v="108"/>
    <x v="1"/>
    <x v="4"/>
    <x v="1"/>
    <x v="138"/>
    <x v="25"/>
    <x v="67"/>
    <x v="119"/>
    <x v="100"/>
  </r>
  <r>
    <x v="169"/>
    <x v="27"/>
    <x v="1"/>
    <x v="4"/>
    <x v="4"/>
    <x v="0"/>
    <x v="5"/>
    <x v="1"/>
    <x v="3"/>
    <x v="157"/>
    <x v="164"/>
    <x v="3"/>
    <x v="57"/>
    <x v="92"/>
    <x v="3"/>
    <x v="2"/>
    <x v="0"/>
    <x v="71"/>
    <x v="1"/>
    <x v="1"/>
    <x v="1"/>
    <x v="117"/>
    <x v="140"/>
    <x v="18"/>
    <x v="3"/>
    <x v="15"/>
  </r>
  <r>
    <x v="170"/>
    <x v="16"/>
    <x v="2"/>
    <x v="1"/>
    <x v="4"/>
    <x v="3"/>
    <x v="15"/>
    <x v="2"/>
    <x v="1"/>
    <x v="158"/>
    <x v="165"/>
    <x v="2"/>
    <x v="9"/>
    <x v="5"/>
    <x v="2"/>
    <x v="2"/>
    <x v="2"/>
    <x v="109"/>
    <x v="1"/>
    <x v="4"/>
    <x v="0"/>
    <x v="78"/>
    <x v="141"/>
    <x v="13"/>
    <x v="119"/>
    <x v="77"/>
  </r>
  <r>
    <x v="171"/>
    <x v="11"/>
    <x v="0"/>
    <x v="3"/>
    <x v="1"/>
    <x v="2"/>
    <x v="12"/>
    <x v="2"/>
    <x v="0"/>
    <x v="159"/>
    <x v="166"/>
    <x v="2"/>
    <x v="34"/>
    <x v="112"/>
    <x v="2"/>
    <x v="1"/>
    <x v="2"/>
    <x v="31"/>
    <x v="1"/>
    <x v="4"/>
    <x v="1"/>
    <x v="56"/>
    <x v="142"/>
    <x v="62"/>
    <x v="120"/>
    <x v="57"/>
  </r>
  <r>
    <x v="172"/>
    <x v="58"/>
    <x v="0"/>
    <x v="0"/>
    <x v="2"/>
    <x v="0"/>
    <x v="17"/>
    <x v="2"/>
    <x v="2"/>
    <x v="160"/>
    <x v="167"/>
    <x v="3"/>
    <x v="29"/>
    <x v="113"/>
    <x v="3"/>
    <x v="2"/>
    <x v="4"/>
    <x v="40"/>
    <x v="1"/>
    <x v="2"/>
    <x v="1"/>
    <x v="139"/>
    <x v="24"/>
    <x v="35"/>
    <x v="69"/>
    <x v="70"/>
  </r>
  <r>
    <x v="173"/>
    <x v="34"/>
    <x v="2"/>
    <x v="1"/>
    <x v="3"/>
    <x v="0"/>
    <x v="3"/>
    <x v="3"/>
    <x v="2"/>
    <x v="161"/>
    <x v="168"/>
    <x v="1"/>
    <x v="24"/>
    <x v="78"/>
    <x v="1"/>
    <x v="1"/>
    <x v="3"/>
    <x v="110"/>
    <x v="1"/>
    <x v="2"/>
    <x v="1"/>
    <x v="140"/>
    <x v="70"/>
    <x v="52"/>
    <x v="55"/>
    <x v="101"/>
  </r>
  <r>
    <x v="174"/>
    <x v="64"/>
    <x v="0"/>
    <x v="0"/>
    <x v="2"/>
    <x v="0"/>
    <x v="5"/>
    <x v="1"/>
    <x v="2"/>
    <x v="62"/>
    <x v="62"/>
    <x v="2"/>
    <x v="29"/>
    <x v="88"/>
    <x v="2"/>
    <x v="0"/>
    <x v="3"/>
    <x v="111"/>
    <x v="0"/>
    <x v="4"/>
    <x v="1"/>
    <x v="141"/>
    <x v="42"/>
    <x v="77"/>
    <x v="15"/>
    <x v="102"/>
  </r>
  <r>
    <x v="175"/>
    <x v="22"/>
    <x v="0"/>
    <x v="4"/>
    <x v="2"/>
    <x v="0"/>
    <x v="3"/>
    <x v="3"/>
    <x v="1"/>
    <x v="162"/>
    <x v="169"/>
    <x v="0"/>
    <x v="7"/>
    <x v="114"/>
    <x v="0"/>
    <x v="0"/>
    <x v="2"/>
    <x v="109"/>
    <x v="0"/>
    <x v="2"/>
    <x v="1"/>
    <x v="131"/>
    <x v="143"/>
    <x v="21"/>
    <x v="121"/>
    <x v="57"/>
  </r>
  <r>
    <x v="176"/>
    <x v="63"/>
    <x v="0"/>
    <x v="1"/>
    <x v="2"/>
    <x v="0"/>
    <x v="16"/>
    <x v="1"/>
    <x v="2"/>
    <x v="163"/>
    <x v="60"/>
    <x v="1"/>
    <x v="54"/>
    <x v="81"/>
    <x v="1"/>
    <x v="0"/>
    <x v="4"/>
    <x v="70"/>
    <x v="0"/>
    <x v="3"/>
    <x v="1"/>
    <x v="1"/>
    <x v="144"/>
    <x v="4"/>
    <x v="39"/>
    <x v="103"/>
  </r>
  <r>
    <x v="177"/>
    <x v="64"/>
    <x v="0"/>
    <x v="3"/>
    <x v="1"/>
    <x v="2"/>
    <x v="5"/>
    <x v="0"/>
    <x v="2"/>
    <x v="164"/>
    <x v="170"/>
    <x v="1"/>
    <x v="4"/>
    <x v="115"/>
    <x v="1"/>
    <x v="0"/>
    <x v="0"/>
    <x v="106"/>
    <x v="0"/>
    <x v="0"/>
    <x v="0"/>
    <x v="142"/>
    <x v="145"/>
    <x v="12"/>
    <x v="33"/>
    <x v="54"/>
  </r>
  <r>
    <x v="178"/>
    <x v="1"/>
    <x v="1"/>
    <x v="1"/>
    <x v="2"/>
    <x v="0"/>
    <x v="6"/>
    <x v="1"/>
    <x v="2"/>
    <x v="165"/>
    <x v="171"/>
    <x v="0"/>
    <x v="55"/>
    <x v="116"/>
    <x v="0"/>
    <x v="0"/>
    <x v="2"/>
    <x v="112"/>
    <x v="0"/>
    <x v="4"/>
    <x v="1"/>
    <x v="143"/>
    <x v="146"/>
    <x v="28"/>
    <x v="9"/>
    <x v="52"/>
  </r>
  <r>
    <x v="179"/>
    <x v="13"/>
    <x v="0"/>
    <x v="1"/>
    <x v="2"/>
    <x v="2"/>
    <x v="5"/>
    <x v="0"/>
    <x v="2"/>
    <x v="166"/>
    <x v="138"/>
    <x v="2"/>
    <x v="35"/>
    <x v="8"/>
    <x v="2"/>
    <x v="0"/>
    <x v="4"/>
    <x v="24"/>
    <x v="0"/>
    <x v="3"/>
    <x v="0"/>
    <x v="144"/>
    <x v="147"/>
    <x v="7"/>
    <x v="122"/>
    <x v="78"/>
  </r>
  <r>
    <x v="180"/>
    <x v="31"/>
    <x v="2"/>
    <x v="0"/>
    <x v="0"/>
    <x v="4"/>
    <x v="18"/>
    <x v="2"/>
    <x v="2"/>
    <x v="167"/>
    <x v="172"/>
    <x v="0"/>
    <x v="9"/>
    <x v="117"/>
    <x v="0"/>
    <x v="1"/>
    <x v="3"/>
    <x v="21"/>
    <x v="1"/>
    <x v="1"/>
    <x v="0"/>
    <x v="145"/>
    <x v="136"/>
    <x v="11"/>
    <x v="42"/>
    <x v="104"/>
  </r>
  <r>
    <x v="181"/>
    <x v="39"/>
    <x v="1"/>
    <x v="3"/>
    <x v="1"/>
    <x v="0"/>
    <x v="4"/>
    <x v="3"/>
    <x v="3"/>
    <x v="168"/>
    <x v="173"/>
    <x v="3"/>
    <x v="12"/>
    <x v="43"/>
    <x v="3"/>
    <x v="2"/>
    <x v="0"/>
    <x v="113"/>
    <x v="1"/>
    <x v="1"/>
    <x v="1"/>
    <x v="19"/>
    <x v="148"/>
    <x v="3"/>
    <x v="56"/>
    <x v="51"/>
  </r>
  <r>
    <x v="182"/>
    <x v="65"/>
    <x v="1"/>
    <x v="4"/>
    <x v="1"/>
    <x v="3"/>
    <x v="15"/>
    <x v="0"/>
    <x v="0"/>
    <x v="169"/>
    <x v="174"/>
    <x v="2"/>
    <x v="16"/>
    <x v="118"/>
    <x v="2"/>
    <x v="1"/>
    <x v="3"/>
    <x v="103"/>
    <x v="1"/>
    <x v="1"/>
    <x v="1"/>
    <x v="74"/>
    <x v="9"/>
    <x v="58"/>
    <x v="5"/>
    <x v="105"/>
  </r>
  <r>
    <x v="183"/>
    <x v="4"/>
    <x v="1"/>
    <x v="0"/>
    <x v="0"/>
    <x v="0"/>
    <x v="17"/>
    <x v="1"/>
    <x v="0"/>
    <x v="170"/>
    <x v="175"/>
    <x v="3"/>
    <x v="41"/>
    <x v="119"/>
    <x v="3"/>
    <x v="2"/>
    <x v="0"/>
    <x v="25"/>
    <x v="1"/>
    <x v="2"/>
    <x v="0"/>
    <x v="43"/>
    <x v="149"/>
    <x v="38"/>
    <x v="7"/>
    <x v="106"/>
  </r>
  <r>
    <x v="184"/>
    <x v="44"/>
    <x v="1"/>
    <x v="3"/>
    <x v="4"/>
    <x v="3"/>
    <x v="1"/>
    <x v="3"/>
    <x v="3"/>
    <x v="171"/>
    <x v="176"/>
    <x v="3"/>
    <x v="54"/>
    <x v="120"/>
    <x v="3"/>
    <x v="2"/>
    <x v="0"/>
    <x v="43"/>
    <x v="1"/>
    <x v="2"/>
    <x v="0"/>
    <x v="146"/>
    <x v="150"/>
    <x v="53"/>
    <x v="123"/>
    <x v="84"/>
  </r>
  <r>
    <x v="185"/>
    <x v="66"/>
    <x v="0"/>
    <x v="0"/>
    <x v="3"/>
    <x v="5"/>
    <x v="12"/>
    <x v="3"/>
    <x v="3"/>
    <x v="172"/>
    <x v="177"/>
    <x v="3"/>
    <x v="9"/>
    <x v="121"/>
    <x v="3"/>
    <x v="2"/>
    <x v="3"/>
    <x v="114"/>
    <x v="1"/>
    <x v="0"/>
    <x v="1"/>
    <x v="147"/>
    <x v="60"/>
    <x v="78"/>
    <x v="113"/>
    <x v="51"/>
  </r>
  <r>
    <x v="186"/>
    <x v="51"/>
    <x v="1"/>
    <x v="1"/>
    <x v="0"/>
    <x v="4"/>
    <x v="0"/>
    <x v="0"/>
    <x v="3"/>
    <x v="173"/>
    <x v="178"/>
    <x v="3"/>
    <x v="54"/>
    <x v="74"/>
    <x v="3"/>
    <x v="0"/>
    <x v="4"/>
    <x v="83"/>
    <x v="0"/>
    <x v="3"/>
    <x v="0"/>
    <x v="148"/>
    <x v="151"/>
    <x v="16"/>
    <x v="34"/>
    <x v="39"/>
  </r>
  <r>
    <x v="187"/>
    <x v="25"/>
    <x v="0"/>
    <x v="0"/>
    <x v="4"/>
    <x v="3"/>
    <x v="11"/>
    <x v="0"/>
    <x v="0"/>
    <x v="174"/>
    <x v="179"/>
    <x v="1"/>
    <x v="27"/>
    <x v="10"/>
    <x v="1"/>
    <x v="2"/>
    <x v="0"/>
    <x v="115"/>
    <x v="1"/>
    <x v="1"/>
    <x v="0"/>
    <x v="149"/>
    <x v="152"/>
    <x v="70"/>
    <x v="43"/>
    <x v="63"/>
  </r>
  <r>
    <x v="188"/>
    <x v="45"/>
    <x v="2"/>
    <x v="4"/>
    <x v="1"/>
    <x v="5"/>
    <x v="6"/>
    <x v="3"/>
    <x v="0"/>
    <x v="175"/>
    <x v="180"/>
    <x v="0"/>
    <x v="41"/>
    <x v="122"/>
    <x v="0"/>
    <x v="0"/>
    <x v="0"/>
    <x v="63"/>
    <x v="0"/>
    <x v="1"/>
    <x v="1"/>
    <x v="150"/>
    <x v="153"/>
    <x v="23"/>
    <x v="124"/>
    <x v="51"/>
  </r>
  <r>
    <x v="189"/>
    <x v="59"/>
    <x v="1"/>
    <x v="4"/>
    <x v="1"/>
    <x v="5"/>
    <x v="4"/>
    <x v="3"/>
    <x v="2"/>
    <x v="132"/>
    <x v="34"/>
    <x v="2"/>
    <x v="24"/>
    <x v="123"/>
    <x v="2"/>
    <x v="1"/>
    <x v="4"/>
    <x v="69"/>
    <x v="1"/>
    <x v="2"/>
    <x v="1"/>
    <x v="72"/>
    <x v="93"/>
    <x v="48"/>
    <x v="105"/>
    <x v="0"/>
  </r>
  <r>
    <x v="190"/>
    <x v="16"/>
    <x v="0"/>
    <x v="1"/>
    <x v="2"/>
    <x v="5"/>
    <x v="17"/>
    <x v="1"/>
    <x v="2"/>
    <x v="176"/>
    <x v="181"/>
    <x v="3"/>
    <x v="60"/>
    <x v="124"/>
    <x v="3"/>
    <x v="1"/>
    <x v="2"/>
    <x v="89"/>
    <x v="1"/>
    <x v="1"/>
    <x v="1"/>
    <x v="151"/>
    <x v="154"/>
    <x v="67"/>
    <x v="125"/>
    <x v="73"/>
  </r>
  <r>
    <x v="191"/>
    <x v="55"/>
    <x v="1"/>
    <x v="1"/>
    <x v="2"/>
    <x v="2"/>
    <x v="18"/>
    <x v="2"/>
    <x v="1"/>
    <x v="96"/>
    <x v="98"/>
    <x v="2"/>
    <x v="4"/>
    <x v="121"/>
    <x v="2"/>
    <x v="0"/>
    <x v="2"/>
    <x v="79"/>
    <x v="0"/>
    <x v="4"/>
    <x v="0"/>
    <x v="42"/>
    <x v="155"/>
    <x v="23"/>
    <x v="77"/>
    <x v="103"/>
  </r>
  <r>
    <x v="192"/>
    <x v="45"/>
    <x v="1"/>
    <x v="2"/>
    <x v="1"/>
    <x v="0"/>
    <x v="15"/>
    <x v="0"/>
    <x v="2"/>
    <x v="177"/>
    <x v="87"/>
    <x v="3"/>
    <x v="61"/>
    <x v="125"/>
    <x v="3"/>
    <x v="0"/>
    <x v="0"/>
    <x v="10"/>
    <x v="0"/>
    <x v="0"/>
    <x v="1"/>
    <x v="152"/>
    <x v="106"/>
    <x v="57"/>
    <x v="104"/>
    <x v="83"/>
  </r>
  <r>
    <x v="193"/>
    <x v="10"/>
    <x v="1"/>
    <x v="4"/>
    <x v="0"/>
    <x v="0"/>
    <x v="0"/>
    <x v="1"/>
    <x v="2"/>
    <x v="178"/>
    <x v="182"/>
    <x v="0"/>
    <x v="48"/>
    <x v="126"/>
    <x v="0"/>
    <x v="2"/>
    <x v="1"/>
    <x v="110"/>
    <x v="1"/>
    <x v="2"/>
    <x v="1"/>
    <x v="153"/>
    <x v="156"/>
    <x v="68"/>
    <x v="73"/>
    <x v="107"/>
  </r>
  <r>
    <x v="194"/>
    <x v="11"/>
    <x v="2"/>
    <x v="0"/>
    <x v="4"/>
    <x v="1"/>
    <x v="11"/>
    <x v="3"/>
    <x v="3"/>
    <x v="179"/>
    <x v="183"/>
    <x v="1"/>
    <x v="49"/>
    <x v="85"/>
    <x v="1"/>
    <x v="0"/>
    <x v="2"/>
    <x v="100"/>
    <x v="0"/>
    <x v="3"/>
    <x v="1"/>
    <x v="154"/>
    <x v="157"/>
    <x v="37"/>
    <x v="126"/>
    <x v="108"/>
  </r>
  <r>
    <x v="195"/>
    <x v="27"/>
    <x v="1"/>
    <x v="0"/>
    <x v="0"/>
    <x v="0"/>
    <x v="9"/>
    <x v="1"/>
    <x v="3"/>
    <x v="117"/>
    <x v="184"/>
    <x v="2"/>
    <x v="58"/>
    <x v="127"/>
    <x v="2"/>
    <x v="2"/>
    <x v="2"/>
    <x v="30"/>
    <x v="1"/>
    <x v="1"/>
    <x v="0"/>
    <x v="155"/>
    <x v="158"/>
    <x v="61"/>
    <x v="68"/>
    <x v="109"/>
  </r>
  <r>
    <x v="196"/>
    <x v="61"/>
    <x v="2"/>
    <x v="0"/>
    <x v="1"/>
    <x v="5"/>
    <x v="13"/>
    <x v="1"/>
    <x v="1"/>
    <x v="180"/>
    <x v="185"/>
    <x v="0"/>
    <x v="8"/>
    <x v="128"/>
    <x v="0"/>
    <x v="0"/>
    <x v="3"/>
    <x v="116"/>
    <x v="0"/>
    <x v="2"/>
    <x v="0"/>
    <x v="35"/>
    <x v="159"/>
    <x v="34"/>
    <x v="97"/>
    <x v="96"/>
  </r>
  <r>
    <x v="197"/>
    <x v="33"/>
    <x v="2"/>
    <x v="4"/>
    <x v="0"/>
    <x v="0"/>
    <x v="7"/>
    <x v="1"/>
    <x v="2"/>
    <x v="181"/>
    <x v="186"/>
    <x v="1"/>
    <x v="9"/>
    <x v="128"/>
    <x v="1"/>
    <x v="1"/>
    <x v="0"/>
    <x v="117"/>
    <x v="1"/>
    <x v="1"/>
    <x v="1"/>
    <x v="120"/>
    <x v="109"/>
    <x v="70"/>
    <x v="76"/>
    <x v="75"/>
  </r>
  <r>
    <x v="198"/>
    <x v="29"/>
    <x v="2"/>
    <x v="0"/>
    <x v="2"/>
    <x v="5"/>
    <x v="15"/>
    <x v="1"/>
    <x v="0"/>
    <x v="182"/>
    <x v="187"/>
    <x v="2"/>
    <x v="4"/>
    <x v="112"/>
    <x v="2"/>
    <x v="1"/>
    <x v="1"/>
    <x v="30"/>
    <x v="1"/>
    <x v="0"/>
    <x v="1"/>
    <x v="156"/>
    <x v="160"/>
    <x v="66"/>
    <x v="118"/>
    <x v="110"/>
  </r>
  <r>
    <x v="199"/>
    <x v="49"/>
    <x v="0"/>
    <x v="1"/>
    <x v="3"/>
    <x v="5"/>
    <x v="19"/>
    <x v="0"/>
    <x v="1"/>
    <x v="183"/>
    <x v="188"/>
    <x v="2"/>
    <x v="10"/>
    <x v="8"/>
    <x v="2"/>
    <x v="2"/>
    <x v="3"/>
    <x v="118"/>
    <x v="1"/>
    <x v="1"/>
    <x v="1"/>
    <x v="155"/>
    <x v="48"/>
    <x v="31"/>
    <x v="127"/>
    <x v="5"/>
  </r>
  <r>
    <x v="200"/>
    <x v="53"/>
    <x v="2"/>
    <x v="0"/>
    <x v="3"/>
    <x v="0"/>
    <x v="17"/>
    <x v="3"/>
    <x v="0"/>
    <x v="184"/>
    <x v="189"/>
    <x v="3"/>
    <x v="62"/>
    <x v="66"/>
    <x v="3"/>
    <x v="1"/>
    <x v="3"/>
    <x v="98"/>
    <x v="1"/>
    <x v="2"/>
    <x v="1"/>
    <x v="10"/>
    <x v="161"/>
    <x v="47"/>
    <x v="114"/>
    <x v="65"/>
  </r>
  <r>
    <x v="201"/>
    <x v="2"/>
    <x v="2"/>
    <x v="0"/>
    <x v="3"/>
    <x v="5"/>
    <x v="16"/>
    <x v="0"/>
    <x v="1"/>
    <x v="185"/>
    <x v="190"/>
    <x v="1"/>
    <x v="25"/>
    <x v="10"/>
    <x v="1"/>
    <x v="1"/>
    <x v="0"/>
    <x v="21"/>
    <x v="1"/>
    <x v="4"/>
    <x v="1"/>
    <x v="157"/>
    <x v="162"/>
    <x v="36"/>
    <x v="53"/>
    <x v="111"/>
  </r>
  <r>
    <x v="202"/>
    <x v="16"/>
    <x v="2"/>
    <x v="3"/>
    <x v="1"/>
    <x v="4"/>
    <x v="13"/>
    <x v="2"/>
    <x v="0"/>
    <x v="63"/>
    <x v="191"/>
    <x v="2"/>
    <x v="41"/>
    <x v="35"/>
    <x v="2"/>
    <x v="0"/>
    <x v="4"/>
    <x v="4"/>
    <x v="0"/>
    <x v="4"/>
    <x v="0"/>
    <x v="6"/>
    <x v="163"/>
    <x v="78"/>
    <x v="12"/>
    <x v="112"/>
  </r>
  <r>
    <x v="203"/>
    <x v="8"/>
    <x v="0"/>
    <x v="4"/>
    <x v="0"/>
    <x v="3"/>
    <x v="6"/>
    <x v="2"/>
    <x v="1"/>
    <x v="186"/>
    <x v="192"/>
    <x v="3"/>
    <x v="51"/>
    <x v="129"/>
    <x v="3"/>
    <x v="2"/>
    <x v="1"/>
    <x v="119"/>
    <x v="1"/>
    <x v="0"/>
    <x v="0"/>
    <x v="158"/>
    <x v="164"/>
    <x v="49"/>
    <x v="36"/>
    <x v="29"/>
  </r>
  <r>
    <x v="204"/>
    <x v="5"/>
    <x v="0"/>
    <x v="3"/>
    <x v="0"/>
    <x v="3"/>
    <x v="10"/>
    <x v="1"/>
    <x v="1"/>
    <x v="187"/>
    <x v="193"/>
    <x v="1"/>
    <x v="9"/>
    <x v="113"/>
    <x v="1"/>
    <x v="1"/>
    <x v="0"/>
    <x v="43"/>
    <x v="1"/>
    <x v="3"/>
    <x v="0"/>
    <x v="159"/>
    <x v="58"/>
    <x v="74"/>
    <x v="63"/>
    <x v="77"/>
  </r>
  <r>
    <x v="205"/>
    <x v="28"/>
    <x v="0"/>
    <x v="2"/>
    <x v="0"/>
    <x v="5"/>
    <x v="7"/>
    <x v="0"/>
    <x v="2"/>
    <x v="188"/>
    <x v="194"/>
    <x v="1"/>
    <x v="0"/>
    <x v="29"/>
    <x v="1"/>
    <x v="0"/>
    <x v="2"/>
    <x v="80"/>
    <x v="0"/>
    <x v="0"/>
    <x v="0"/>
    <x v="138"/>
    <x v="31"/>
    <x v="0"/>
    <x v="23"/>
    <x v="89"/>
  </r>
  <r>
    <x v="206"/>
    <x v="19"/>
    <x v="0"/>
    <x v="2"/>
    <x v="4"/>
    <x v="5"/>
    <x v="4"/>
    <x v="0"/>
    <x v="0"/>
    <x v="189"/>
    <x v="195"/>
    <x v="1"/>
    <x v="7"/>
    <x v="130"/>
    <x v="1"/>
    <x v="0"/>
    <x v="2"/>
    <x v="118"/>
    <x v="0"/>
    <x v="2"/>
    <x v="0"/>
    <x v="160"/>
    <x v="165"/>
    <x v="79"/>
    <x v="102"/>
    <x v="28"/>
  </r>
  <r>
    <x v="207"/>
    <x v="41"/>
    <x v="2"/>
    <x v="2"/>
    <x v="2"/>
    <x v="5"/>
    <x v="14"/>
    <x v="2"/>
    <x v="2"/>
    <x v="190"/>
    <x v="196"/>
    <x v="2"/>
    <x v="19"/>
    <x v="45"/>
    <x v="2"/>
    <x v="2"/>
    <x v="1"/>
    <x v="120"/>
    <x v="1"/>
    <x v="3"/>
    <x v="0"/>
    <x v="161"/>
    <x v="42"/>
    <x v="23"/>
    <x v="128"/>
    <x v="113"/>
  </r>
  <r>
    <x v="208"/>
    <x v="56"/>
    <x v="0"/>
    <x v="3"/>
    <x v="3"/>
    <x v="5"/>
    <x v="9"/>
    <x v="0"/>
    <x v="3"/>
    <x v="191"/>
    <x v="197"/>
    <x v="0"/>
    <x v="24"/>
    <x v="125"/>
    <x v="0"/>
    <x v="0"/>
    <x v="2"/>
    <x v="61"/>
    <x v="0"/>
    <x v="0"/>
    <x v="0"/>
    <x v="162"/>
    <x v="166"/>
    <x v="41"/>
    <x v="39"/>
    <x v="114"/>
  </r>
  <r>
    <x v="209"/>
    <x v="19"/>
    <x v="2"/>
    <x v="2"/>
    <x v="4"/>
    <x v="0"/>
    <x v="19"/>
    <x v="0"/>
    <x v="0"/>
    <x v="169"/>
    <x v="174"/>
    <x v="1"/>
    <x v="6"/>
    <x v="37"/>
    <x v="1"/>
    <x v="0"/>
    <x v="1"/>
    <x v="35"/>
    <x v="0"/>
    <x v="0"/>
    <x v="1"/>
    <x v="163"/>
    <x v="167"/>
    <x v="10"/>
    <x v="129"/>
    <x v="13"/>
  </r>
  <r>
    <x v="210"/>
    <x v="26"/>
    <x v="0"/>
    <x v="3"/>
    <x v="0"/>
    <x v="1"/>
    <x v="6"/>
    <x v="2"/>
    <x v="0"/>
    <x v="192"/>
    <x v="198"/>
    <x v="0"/>
    <x v="63"/>
    <x v="56"/>
    <x v="0"/>
    <x v="1"/>
    <x v="1"/>
    <x v="92"/>
    <x v="1"/>
    <x v="2"/>
    <x v="0"/>
    <x v="164"/>
    <x v="86"/>
    <x v="1"/>
    <x v="130"/>
    <x v="37"/>
  </r>
  <r>
    <x v="211"/>
    <x v="9"/>
    <x v="0"/>
    <x v="2"/>
    <x v="3"/>
    <x v="4"/>
    <x v="0"/>
    <x v="2"/>
    <x v="3"/>
    <x v="193"/>
    <x v="199"/>
    <x v="1"/>
    <x v="33"/>
    <x v="86"/>
    <x v="1"/>
    <x v="2"/>
    <x v="0"/>
    <x v="94"/>
    <x v="1"/>
    <x v="2"/>
    <x v="1"/>
    <x v="165"/>
    <x v="165"/>
    <x v="68"/>
    <x v="131"/>
    <x v="115"/>
  </r>
  <r>
    <x v="212"/>
    <x v="65"/>
    <x v="1"/>
    <x v="2"/>
    <x v="3"/>
    <x v="0"/>
    <x v="2"/>
    <x v="2"/>
    <x v="3"/>
    <x v="194"/>
    <x v="200"/>
    <x v="1"/>
    <x v="32"/>
    <x v="68"/>
    <x v="1"/>
    <x v="1"/>
    <x v="2"/>
    <x v="92"/>
    <x v="1"/>
    <x v="1"/>
    <x v="1"/>
    <x v="166"/>
    <x v="168"/>
    <x v="73"/>
    <x v="102"/>
    <x v="42"/>
  </r>
  <r>
    <x v="213"/>
    <x v="52"/>
    <x v="2"/>
    <x v="2"/>
    <x v="3"/>
    <x v="5"/>
    <x v="14"/>
    <x v="1"/>
    <x v="0"/>
    <x v="195"/>
    <x v="201"/>
    <x v="1"/>
    <x v="64"/>
    <x v="82"/>
    <x v="1"/>
    <x v="1"/>
    <x v="1"/>
    <x v="121"/>
    <x v="1"/>
    <x v="2"/>
    <x v="0"/>
    <x v="167"/>
    <x v="19"/>
    <x v="75"/>
    <x v="14"/>
    <x v="54"/>
  </r>
  <r>
    <x v="214"/>
    <x v="3"/>
    <x v="1"/>
    <x v="4"/>
    <x v="3"/>
    <x v="2"/>
    <x v="19"/>
    <x v="1"/>
    <x v="1"/>
    <x v="196"/>
    <x v="202"/>
    <x v="3"/>
    <x v="31"/>
    <x v="15"/>
    <x v="3"/>
    <x v="2"/>
    <x v="2"/>
    <x v="122"/>
    <x v="1"/>
    <x v="0"/>
    <x v="0"/>
    <x v="168"/>
    <x v="136"/>
    <x v="55"/>
    <x v="60"/>
    <x v="116"/>
  </r>
  <r>
    <x v="215"/>
    <x v="2"/>
    <x v="2"/>
    <x v="2"/>
    <x v="0"/>
    <x v="0"/>
    <x v="16"/>
    <x v="1"/>
    <x v="1"/>
    <x v="75"/>
    <x v="203"/>
    <x v="3"/>
    <x v="1"/>
    <x v="9"/>
    <x v="3"/>
    <x v="2"/>
    <x v="3"/>
    <x v="123"/>
    <x v="1"/>
    <x v="0"/>
    <x v="0"/>
    <x v="169"/>
    <x v="169"/>
    <x v="45"/>
    <x v="53"/>
    <x v="117"/>
  </r>
  <r>
    <x v="216"/>
    <x v="2"/>
    <x v="0"/>
    <x v="1"/>
    <x v="4"/>
    <x v="0"/>
    <x v="4"/>
    <x v="2"/>
    <x v="2"/>
    <x v="197"/>
    <x v="204"/>
    <x v="0"/>
    <x v="47"/>
    <x v="25"/>
    <x v="0"/>
    <x v="1"/>
    <x v="0"/>
    <x v="102"/>
    <x v="1"/>
    <x v="2"/>
    <x v="0"/>
    <x v="170"/>
    <x v="144"/>
    <x v="80"/>
    <x v="15"/>
    <x v="84"/>
  </r>
  <r>
    <x v="217"/>
    <x v="62"/>
    <x v="2"/>
    <x v="1"/>
    <x v="0"/>
    <x v="0"/>
    <x v="19"/>
    <x v="0"/>
    <x v="1"/>
    <x v="198"/>
    <x v="205"/>
    <x v="0"/>
    <x v="6"/>
    <x v="47"/>
    <x v="0"/>
    <x v="0"/>
    <x v="1"/>
    <x v="120"/>
    <x v="0"/>
    <x v="3"/>
    <x v="0"/>
    <x v="171"/>
    <x v="91"/>
    <x v="14"/>
    <x v="132"/>
    <x v="118"/>
  </r>
  <r>
    <x v="218"/>
    <x v="41"/>
    <x v="0"/>
    <x v="4"/>
    <x v="0"/>
    <x v="0"/>
    <x v="13"/>
    <x v="0"/>
    <x v="0"/>
    <x v="199"/>
    <x v="70"/>
    <x v="0"/>
    <x v="35"/>
    <x v="10"/>
    <x v="0"/>
    <x v="0"/>
    <x v="3"/>
    <x v="44"/>
    <x v="0"/>
    <x v="2"/>
    <x v="1"/>
    <x v="172"/>
    <x v="170"/>
    <x v="12"/>
    <x v="62"/>
    <x v="1"/>
  </r>
  <r>
    <x v="219"/>
    <x v="64"/>
    <x v="2"/>
    <x v="0"/>
    <x v="2"/>
    <x v="3"/>
    <x v="14"/>
    <x v="3"/>
    <x v="0"/>
    <x v="200"/>
    <x v="141"/>
    <x v="2"/>
    <x v="6"/>
    <x v="37"/>
    <x v="2"/>
    <x v="1"/>
    <x v="4"/>
    <x v="13"/>
    <x v="1"/>
    <x v="3"/>
    <x v="0"/>
    <x v="173"/>
    <x v="171"/>
    <x v="27"/>
    <x v="22"/>
    <x v="14"/>
  </r>
  <r>
    <x v="220"/>
    <x v="25"/>
    <x v="1"/>
    <x v="3"/>
    <x v="1"/>
    <x v="0"/>
    <x v="8"/>
    <x v="0"/>
    <x v="2"/>
    <x v="201"/>
    <x v="206"/>
    <x v="1"/>
    <x v="9"/>
    <x v="69"/>
    <x v="1"/>
    <x v="0"/>
    <x v="4"/>
    <x v="122"/>
    <x v="0"/>
    <x v="0"/>
    <x v="1"/>
    <x v="174"/>
    <x v="28"/>
    <x v="66"/>
    <x v="87"/>
    <x v="119"/>
  </r>
  <r>
    <x v="221"/>
    <x v="46"/>
    <x v="1"/>
    <x v="4"/>
    <x v="1"/>
    <x v="0"/>
    <x v="9"/>
    <x v="0"/>
    <x v="3"/>
    <x v="202"/>
    <x v="207"/>
    <x v="1"/>
    <x v="65"/>
    <x v="27"/>
    <x v="1"/>
    <x v="1"/>
    <x v="1"/>
    <x v="121"/>
    <x v="1"/>
    <x v="4"/>
    <x v="0"/>
    <x v="10"/>
    <x v="172"/>
    <x v="33"/>
    <x v="133"/>
    <x v="89"/>
  </r>
  <r>
    <x v="222"/>
    <x v="30"/>
    <x v="2"/>
    <x v="1"/>
    <x v="0"/>
    <x v="2"/>
    <x v="3"/>
    <x v="0"/>
    <x v="2"/>
    <x v="203"/>
    <x v="208"/>
    <x v="3"/>
    <x v="50"/>
    <x v="46"/>
    <x v="3"/>
    <x v="2"/>
    <x v="3"/>
    <x v="16"/>
    <x v="1"/>
    <x v="3"/>
    <x v="1"/>
    <x v="175"/>
    <x v="106"/>
    <x v="36"/>
    <x v="101"/>
    <x v="52"/>
  </r>
  <r>
    <x v="223"/>
    <x v="26"/>
    <x v="1"/>
    <x v="0"/>
    <x v="4"/>
    <x v="3"/>
    <x v="5"/>
    <x v="2"/>
    <x v="3"/>
    <x v="204"/>
    <x v="205"/>
    <x v="0"/>
    <x v="32"/>
    <x v="61"/>
    <x v="0"/>
    <x v="1"/>
    <x v="2"/>
    <x v="63"/>
    <x v="1"/>
    <x v="3"/>
    <x v="1"/>
    <x v="176"/>
    <x v="173"/>
    <x v="9"/>
    <x v="6"/>
    <x v="33"/>
  </r>
  <r>
    <x v="224"/>
    <x v="12"/>
    <x v="0"/>
    <x v="3"/>
    <x v="2"/>
    <x v="5"/>
    <x v="18"/>
    <x v="0"/>
    <x v="3"/>
    <x v="205"/>
    <x v="209"/>
    <x v="3"/>
    <x v="4"/>
    <x v="125"/>
    <x v="3"/>
    <x v="1"/>
    <x v="0"/>
    <x v="13"/>
    <x v="1"/>
    <x v="0"/>
    <x v="1"/>
    <x v="177"/>
    <x v="23"/>
    <x v="41"/>
    <x v="134"/>
    <x v="120"/>
  </r>
  <r>
    <x v="225"/>
    <x v="36"/>
    <x v="0"/>
    <x v="1"/>
    <x v="0"/>
    <x v="4"/>
    <x v="18"/>
    <x v="3"/>
    <x v="3"/>
    <x v="206"/>
    <x v="210"/>
    <x v="3"/>
    <x v="4"/>
    <x v="91"/>
    <x v="3"/>
    <x v="1"/>
    <x v="0"/>
    <x v="46"/>
    <x v="1"/>
    <x v="2"/>
    <x v="1"/>
    <x v="178"/>
    <x v="131"/>
    <x v="36"/>
    <x v="135"/>
    <x v="54"/>
  </r>
  <r>
    <x v="226"/>
    <x v="58"/>
    <x v="0"/>
    <x v="4"/>
    <x v="3"/>
    <x v="1"/>
    <x v="9"/>
    <x v="0"/>
    <x v="3"/>
    <x v="207"/>
    <x v="211"/>
    <x v="1"/>
    <x v="24"/>
    <x v="107"/>
    <x v="1"/>
    <x v="1"/>
    <x v="4"/>
    <x v="124"/>
    <x v="1"/>
    <x v="3"/>
    <x v="1"/>
    <x v="179"/>
    <x v="61"/>
    <x v="9"/>
    <x v="103"/>
    <x v="29"/>
  </r>
  <r>
    <x v="227"/>
    <x v="36"/>
    <x v="0"/>
    <x v="3"/>
    <x v="1"/>
    <x v="2"/>
    <x v="3"/>
    <x v="1"/>
    <x v="3"/>
    <x v="25"/>
    <x v="25"/>
    <x v="2"/>
    <x v="66"/>
    <x v="131"/>
    <x v="2"/>
    <x v="2"/>
    <x v="2"/>
    <x v="125"/>
    <x v="1"/>
    <x v="4"/>
    <x v="0"/>
    <x v="143"/>
    <x v="174"/>
    <x v="26"/>
    <x v="117"/>
    <x v="29"/>
  </r>
  <r>
    <x v="228"/>
    <x v="33"/>
    <x v="0"/>
    <x v="0"/>
    <x v="3"/>
    <x v="0"/>
    <x v="6"/>
    <x v="0"/>
    <x v="2"/>
    <x v="208"/>
    <x v="212"/>
    <x v="2"/>
    <x v="6"/>
    <x v="23"/>
    <x v="2"/>
    <x v="2"/>
    <x v="3"/>
    <x v="82"/>
    <x v="1"/>
    <x v="0"/>
    <x v="0"/>
    <x v="96"/>
    <x v="175"/>
    <x v="44"/>
    <x v="14"/>
    <x v="64"/>
  </r>
  <r>
    <x v="229"/>
    <x v="54"/>
    <x v="2"/>
    <x v="4"/>
    <x v="0"/>
    <x v="2"/>
    <x v="18"/>
    <x v="0"/>
    <x v="3"/>
    <x v="209"/>
    <x v="213"/>
    <x v="1"/>
    <x v="9"/>
    <x v="106"/>
    <x v="1"/>
    <x v="1"/>
    <x v="4"/>
    <x v="102"/>
    <x v="1"/>
    <x v="1"/>
    <x v="1"/>
    <x v="179"/>
    <x v="176"/>
    <x v="1"/>
    <x v="136"/>
    <x v="78"/>
  </r>
  <r>
    <x v="230"/>
    <x v="44"/>
    <x v="0"/>
    <x v="4"/>
    <x v="1"/>
    <x v="0"/>
    <x v="5"/>
    <x v="1"/>
    <x v="0"/>
    <x v="210"/>
    <x v="214"/>
    <x v="3"/>
    <x v="43"/>
    <x v="66"/>
    <x v="3"/>
    <x v="1"/>
    <x v="1"/>
    <x v="67"/>
    <x v="1"/>
    <x v="2"/>
    <x v="1"/>
    <x v="180"/>
    <x v="45"/>
    <x v="58"/>
    <x v="121"/>
    <x v="64"/>
  </r>
  <r>
    <x v="231"/>
    <x v="15"/>
    <x v="2"/>
    <x v="0"/>
    <x v="4"/>
    <x v="0"/>
    <x v="7"/>
    <x v="2"/>
    <x v="2"/>
    <x v="211"/>
    <x v="215"/>
    <x v="1"/>
    <x v="9"/>
    <x v="132"/>
    <x v="1"/>
    <x v="1"/>
    <x v="3"/>
    <x v="117"/>
    <x v="1"/>
    <x v="3"/>
    <x v="1"/>
    <x v="43"/>
    <x v="82"/>
    <x v="54"/>
    <x v="64"/>
    <x v="75"/>
  </r>
  <r>
    <x v="232"/>
    <x v="60"/>
    <x v="0"/>
    <x v="4"/>
    <x v="4"/>
    <x v="3"/>
    <x v="4"/>
    <x v="1"/>
    <x v="0"/>
    <x v="212"/>
    <x v="216"/>
    <x v="2"/>
    <x v="46"/>
    <x v="133"/>
    <x v="2"/>
    <x v="0"/>
    <x v="2"/>
    <x v="57"/>
    <x v="0"/>
    <x v="0"/>
    <x v="1"/>
    <x v="83"/>
    <x v="151"/>
    <x v="15"/>
    <x v="15"/>
    <x v="85"/>
  </r>
  <r>
    <x v="233"/>
    <x v="22"/>
    <x v="0"/>
    <x v="4"/>
    <x v="2"/>
    <x v="0"/>
    <x v="16"/>
    <x v="0"/>
    <x v="2"/>
    <x v="213"/>
    <x v="217"/>
    <x v="3"/>
    <x v="3"/>
    <x v="134"/>
    <x v="3"/>
    <x v="0"/>
    <x v="2"/>
    <x v="94"/>
    <x v="0"/>
    <x v="0"/>
    <x v="1"/>
    <x v="181"/>
    <x v="21"/>
    <x v="2"/>
    <x v="71"/>
    <x v="74"/>
  </r>
  <r>
    <x v="234"/>
    <x v="4"/>
    <x v="2"/>
    <x v="2"/>
    <x v="4"/>
    <x v="0"/>
    <x v="17"/>
    <x v="3"/>
    <x v="3"/>
    <x v="214"/>
    <x v="218"/>
    <x v="3"/>
    <x v="6"/>
    <x v="70"/>
    <x v="3"/>
    <x v="1"/>
    <x v="1"/>
    <x v="82"/>
    <x v="1"/>
    <x v="0"/>
    <x v="1"/>
    <x v="182"/>
    <x v="177"/>
    <x v="67"/>
    <x v="23"/>
    <x v="40"/>
  </r>
  <r>
    <x v="235"/>
    <x v="56"/>
    <x v="1"/>
    <x v="2"/>
    <x v="3"/>
    <x v="4"/>
    <x v="3"/>
    <x v="0"/>
    <x v="3"/>
    <x v="215"/>
    <x v="48"/>
    <x v="2"/>
    <x v="10"/>
    <x v="67"/>
    <x v="2"/>
    <x v="1"/>
    <x v="2"/>
    <x v="39"/>
    <x v="1"/>
    <x v="1"/>
    <x v="0"/>
    <x v="183"/>
    <x v="178"/>
    <x v="14"/>
    <x v="137"/>
    <x v="90"/>
  </r>
  <r>
    <x v="236"/>
    <x v="64"/>
    <x v="1"/>
    <x v="3"/>
    <x v="1"/>
    <x v="0"/>
    <x v="3"/>
    <x v="0"/>
    <x v="2"/>
    <x v="216"/>
    <x v="128"/>
    <x v="3"/>
    <x v="16"/>
    <x v="94"/>
    <x v="3"/>
    <x v="0"/>
    <x v="0"/>
    <x v="58"/>
    <x v="0"/>
    <x v="2"/>
    <x v="0"/>
    <x v="184"/>
    <x v="179"/>
    <x v="45"/>
    <x v="138"/>
    <x v="121"/>
  </r>
  <r>
    <x v="237"/>
    <x v="4"/>
    <x v="0"/>
    <x v="0"/>
    <x v="1"/>
    <x v="3"/>
    <x v="11"/>
    <x v="1"/>
    <x v="2"/>
    <x v="217"/>
    <x v="219"/>
    <x v="2"/>
    <x v="14"/>
    <x v="34"/>
    <x v="2"/>
    <x v="2"/>
    <x v="0"/>
    <x v="102"/>
    <x v="1"/>
    <x v="2"/>
    <x v="1"/>
    <x v="185"/>
    <x v="180"/>
    <x v="16"/>
    <x v="53"/>
    <x v="111"/>
  </r>
  <r>
    <x v="238"/>
    <x v="42"/>
    <x v="1"/>
    <x v="2"/>
    <x v="4"/>
    <x v="1"/>
    <x v="2"/>
    <x v="2"/>
    <x v="1"/>
    <x v="218"/>
    <x v="220"/>
    <x v="0"/>
    <x v="21"/>
    <x v="133"/>
    <x v="0"/>
    <x v="2"/>
    <x v="4"/>
    <x v="126"/>
    <x v="1"/>
    <x v="4"/>
    <x v="0"/>
    <x v="105"/>
    <x v="181"/>
    <x v="14"/>
    <x v="111"/>
    <x v="122"/>
  </r>
  <r>
    <x v="239"/>
    <x v="67"/>
    <x v="2"/>
    <x v="1"/>
    <x v="3"/>
    <x v="0"/>
    <x v="5"/>
    <x v="0"/>
    <x v="0"/>
    <x v="219"/>
    <x v="221"/>
    <x v="2"/>
    <x v="55"/>
    <x v="135"/>
    <x v="2"/>
    <x v="0"/>
    <x v="0"/>
    <x v="26"/>
    <x v="0"/>
    <x v="4"/>
    <x v="1"/>
    <x v="65"/>
    <x v="123"/>
    <x v="12"/>
    <x v="57"/>
    <x v="117"/>
  </r>
  <r>
    <x v="240"/>
    <x v="66"/>
    <x v="1"/>
    <x v="2"/>
    <x v="4"/>
    <x v="2"/>
    <x v="8"/>
    <x v="3"/>
    <x v="0"/>
    <x v="220"/>
    <x v="222"/>
    <x v="0"/>
    <x v="3"/>
    <x v="136"/>
    <x v="0"/>
    <x v="1"/>
    <x v="2"/>
    <x v="78"/>
    <x v="1"/>
    <x v="2"/>
    <x v="1"/>
    <x v="147"/>
    <x v="182"/>
    <x v="0"/>
    <x v="21"/>
    <x v="123"/>
  </r>
  <r>
    <x v="241"/>
    <x v="62"/>
    <x v="2"/>
    <x v="4"/>
    <x v="0"/>
    <x v="2"/>
    <x v="3"/>
    <x v="3"/>
    <x v="3"/>
    <x v="221"/>
    <x v="223"/>
    <x v="3"/>
    <x v="6"/>
    <x v="137"/>
    <x v="3"/>
    <x v="2"/>
    <x v="2"/>
    <x v="116"/>
    <x v="1"/>
    <x v="4"/>
    <x v="1"/>
    <x v="126"/>
    <x v="18"/>
    <x v="22"/>
    <x v="14"/>
    <x v="86"/>
  </r>
  <r>
    <x v="242"/>
    <x v="54"/>
    <x v="1"/>
    <x v="0"/>
    <x v="2"/>
    <x v="5"/>
    <x v="2"/>
    <x v="2"/>
    <x v="2"/>
    <x v="222"/>
    <x v="224"/>
    <x v="3"/>
    <x v="35"/>
    <x v="138"/>
    <x v="3"/>
    <x v="0"/>
    <x v="2"/>
    <x v="43"/>
    <x v="0"/>
    <x v="3"/>
    <x v="1"/>
    <x v="32"/>
    <x v="183"/>
    <x v="73"/>
    <x v="50"/>
    <x v="98"/>
  </r>
  <r>
    <x v="243"/>
    <x v="29"/>
    <x v="2"/>
    <x v="1"/>
    <x v="3"/>
    <x v="1"/>
    <x v="4"/>
    <x v="1"/>
    <x v="3"/>
    <x v="223"/>
    <x v="225"/>
    <x v="3"/>
    <x v="28"/>
    <x v="139"/>
    <x v="3"/>
    <x v="1"/>
    <x v="2"/>
    <x v="127"/>
    <x v="1"/>
    <x v="0"/>
    <x v="1"/>
    <x v="186"/>
    <x v="184"/>
    <x v="70"/>
    <x v="106"/>
    <x v="62"/>
  </r>
  <r>
    <x v="244"/>
    <x v="32"/>
    <x v="1"/>
    <x v="4"/>
    <x v="3"/>
    <x v="0"/>
    <x v="10"/>
    <x v="2"/>
    <x v="3"/>
    <x v="224"/>
    <x v="226"/>
    <x v="0"/>
    <x v="3"/>
    <x v="114"/>
    <x v="0"/>
    <x v="0"/>
    <x v="2"/>
    <x v="113"/>
    <x v="0"/>
    <x v="2"/>
    <x v="1"/>
    <x v="187"/>
    <x v="185"/>
    <x v="54"/>
    <x v="63"/>
    <x v="90"/>
  </r>
  <r>
    <x v="245"/>
    <x v="17"/>
    <x v="0"/>
    <x v="1"/>
    <x v="0"/>
    <x v="4"/>
    <x v="16"/>
    <x v="1"/>
    <x v="3"/>
    <x v="132"/>
    <x v="227"/>
    <x v="2"/>
    <x v="4"/>
    <x v="119"/>
    <x v="2"/>
    <x v="1"/>
    <x v="2"/>
    <x v="82"/>
    <x v="1"/>
    <x v="1"/>
    <x v="0"/>
    <x v="188"/>
    <x v="186"/>
    <x v="6"/>
    <x v="115"/>
    <x v="8"/>
  </r>
  <r>
    <x v="246"/>
    <x v="63"/>
    <x v="2"/>
    <x v="1"/>
    <x v="1"/>
    <x v="0"/>
    <x v="5"/>
    <x v="3"/>
    <x v="3"/>
    <x v="225"/>
    <x v="228"/>
    <x v="0"/>
    <x v="21"/>
    <x v="140"/>
    <x v="0"/>
    <x v="0"/>
    <x v="1"/>
    <x v="72"/>
    <x v="0"/>
    <x v="4"/>
    <x v="1"/>
    <x v="189"/>
    <x v="187"/>
    <x v="44"/>
    <x v="132"/>
    <x v="7"/>
  </r>
  <r>
    <x v="247"/>
    <x v="64"/>
    <x v="1"/>
    <x v="2"/>
    <x v="1"/>
    <x v="0"/>
    <x v="15"/>
    <x v="0"/>
    <x v="2"/>
    <x v="226"/>
    <x v="229"/>
    <x v="0"/>
    <x v="24"/>
    <x v="8"/>
    <x v="0"/>
    <x v="0"/>
    <x v="3"/>
    <x v="128"/>
    <x v="0"/>
    <x v="4"/>
    <x v="1"/>
    <x v="108"/>
    <x v="188"/>
    <x v="81"/>
    <x v="139"/>
    <x v="28"/>
  </r>
  <r>
    <x v="248"/>
    <x v="19"/>
    <x v="2"/>
    <x v="3"/>
    <x v="3"/>
    <x v="0"/>
    <x v="9"/>
    <x v="2"/>
    <x v="2"/>
    <x v="227"/>
    <x v="230"/>
    <x v="2"/>
    <x v="67"/>
    <x v="68"/>
    <x v="2"/>
    <x v="2"/>
    <x v="0"/>
    <x v="129"/>
    <x v="1"/>
    <x v="3"/>
    <x v="0"/>
    <x v="190"/>
    <x v="189"/>
    <x v="61"/>
    <x v="65"/>
    <x v="69"/>
  </r>
  <r>
    <x v="249"/>
    <x v="48"/>
    <x v="2"/>
    <x v="0"/>
    <x v="4"/>
    <x v="0"/>
    <x v="1"/>
    <x v="0"/>
    <x v="1"/>
    <x v="228"/>
    <x v="14"/>
    <x v="1"/>
    <x v="3"/>
    <x v="76"/>
    <x v="1"/>
    <x v="2"/>
    <x v="3"/>
    <x v="45"/>
    <x v="1"/>
    <x v="2"/>
    <x v="1"/>
    <x v="163"/>
    <x v="190"/>
    <x v="40"/>
    <x v="67"/>
    <x v="121"/>
  </r>
  <r>
    <x v="250"/>
    <x v="41"/>
    <x v="0"/>
    <x v="4"/>
    <x v="0"/>
    <x v="2"/>
    <x v="0"/>
    <x v="3"/>
    <x v="2"/>
    <x v="229"/>
    <x v="231"/>
    <x v="1"/>
    <x v="6"/>
    <x v="53"/>
    <x v="1"/>
    <x v="1"/>
    <x v="4"/>
    <x v="22"/>
    <x v="1"/>
    <x v="3"/>
    <x v="1"/>
    <x v="191"/>
    <x v="191"/>
    <x v="82"/>
    <x v="31"/>
    <x v="99"/>
  </r>
  <r>
    <x v="251"/>
    <x v="6"/>
    <x v="2"/>
    <x v="2"/>
    <x v="2"/>
    <x v="0"/>
    <x v="3"/>
    <x v="2"/>
    <x v="3"/>
    <x v="81"/>
    <x v="232"/>
    <x v="2"/>
    <x v="47"/>
    <x v="125"/>
    <x v="2"/>
    <x v="2"/>
    <x v="3"/>
    <x v="25"/>
    <x v="1"/>
    <x v="4"/>
    <x v="1"/>
    <x v="60"/>
    <x v="192"/>
    <x v="16"/>
    <x v="140"/>
    <x v="117"/>
  </r>
  <r>
    <x v="252"/>
    <x v="5"/>
    <x v="2"/>
    <x v="0"/>
    <x v="4"/>
    <x v="0"/>
    <x v="2"/>
    <x v="3"/>
    <x v="0"/>
    <x v="230"/>
    <x v="233"/>
    <x v="3"/>
    <x v="6"/>
    <x v="141"/>
    <x v="3"/>
    <x v="0"/>
    <x v="0"/>
    <x v="23"/>
    <x v="0"/>
    <x v="1"/>
    <x v="0"/>
    <x v="148"/>
    <x v="148"/>
    <x v="75"/>
    <x v="141"/>
    <x v="3"/>
  </r>
  <r>
    <x v="253"/>
    <x v="9"/>
    <x v="0"/>
    <x v="3"/>
    <x v="3"/>
    <x v="0"/>
    <x v="0"/>
    <x v="3"/>
    <x v="1"/>
    <x v="231"/>
    <x v="234"/>
    <x v="3"/>
    <x v="31"/>
    <x v="142"/>
    <x v="3"/>
    <x v="2"/>
    <x v="3"/>
    <x v="79"/>
    <x v="1"/>
    <x v="0"/>
    <x v="1"/>
    <x v="142"/>
    <x v="157"/>
    <x v="72"/>
    <x v="127"/>
    <x v="124"/>
  </r>
  <r>
    <x v="254"/>
    <x v="58"/>
    <x v="0"/>
    <x v="3"/>
    <x v="1"/>
    <x v="0"/>
    <x v="0"/>
    <x v="1"/>
    <x v="1"/>
    <x v="232"/>
    <x v="235"/>
    <x v="1"/>
    <x v="14"/>
    <x v="22"/>
    <x v="1"/>
    <x v="2"/>
    <x v="1"/>
    <x v="40"/>
    <x v="1"/>
    <x v="0"/>
    <x v="1"/>
    <x v="16"/>
    <x v="193"/>
    <x v="64"/>
    <x v="134"/>
    <x v="40"/>
  </r>
  <r>
    <x v="255"/>
    <x v="45"/>
    <x v="0"/>
    <x v="2"/>
    <x v="3"/>
    <x v="1"/>
    <x v="11"/>
    <x v="2"/>
    <x v="1"/>
    <x v="233"/>
    <x v="236"/>
    <x v="1"/>
    <x v="4"/>
    <x v="143"/>
    <x v="1"/>
    <x v="1"/>
    <x v="1"/>
    <x v="7"/>
    <x v="1"/>
    <x v="1"/>
    <x v="1"/>
    <x v="146"/>
    <x v="90"/>
    <x v="13"/>
    <x v="39"/>
    <x v="4"/>
  </r>
  <r>
    <x v="256"/>
    <x v="46"/>
    <x v="0"/>
    <x v="2"/>
    <x v="2"/>
    <x v="3"/>
    <x v="7"/>
    <x v="1"/>
    <x v="0"/>
    <x v="70"/>
    <x v="237"/>
    <x v="1"/>
    <x v="38"/>
    <x v="144"/>
    <x v="1"/>
    <x v="2"/>
    <x v="0"/>
    <x v="49"/>
    <x v="1"/>
    <x v="0"/>
    <x v="1"/>
    <x v="95"/>
    <x v="194"/>
    <x v="31"/>
    <x v="113"/>
    <x v="103"/>
  </r>
  <r>
    <x v="257"/>
    <x v="31"/>
    <x v="2"/>
    <x v="4"/>
    <x v="2"/>
    <x v="0"/>
    <x v="5"/>
    <x v="3"/>
    <x v="2"/>
    <x v="234"/>
    <x v="238"/>
    <x v="2"/>
    <x v="3"/>
    <x v="145"/>
    <x v="2"/>
    <x v="0"/>
    <x v="4"/>
    <x v="88"/>
    <x v="0"/>
    <x v="1"/>
    <x v="0"/>
    <x v="119"/>
    <x v="195"/>
    <x v="25"/>
    <x v="83"/>
    <x v="125"/>
  </r>
  <r>
    <x v="258"/>
    <x v="37"/>
    <x v="1"/>
    <x v="4"/>
    <x v="2"/>
    <x v="0"/>
    <x v="11"/>
    <x v="2"/>
    <x v="0"/>
    <x v="235"/>
    <x v="239"/>
    <x v="3"/>
    <x v="3"/>
    <x v="32"/>
    <x v="3"/>
    <x v="0"/>
    <x v="4"/>
    <x v="1"/>
    <x v="0"/>
    <x v="1"/>
    <x v="1"/>
    <x v="53"/>
    <x v="157"/>
    <x v="21"/>
    <x v="96"/>
    <x v="15"/>
  </r>
  <r>
    <x v="259"/>
    <x v="13"/>
    <x v="0"/>
    <x v="0"/>
    <x v="0"/>
    <x v="0"/>
    <x v="18"/>
    <x v="3"/>
    <x v="3"/>
    <x v="236"/>
    <x v="223"/>
    <x v="1"/>
    <x v="48"/>
    <x v="139"/>
    <x v="1"/>
    <x v="1"/>
    <x v="1"/>
    <x v="112"/>
    <x v="1"/>
    <x v="4"/>
    <x v="1"/>
    <x v="192"/>
    <x v="163"/>
    <x v="32"/>
    <x v="118"/>
    <x v="94"/>
  </r>
  <r>
    <x v="260"/>
    <x v="42"/>
    <x v="1"/>
    <x v="2"/>
    <x v="2"/>
    <x v="4"/>
    <x v="3"/>
    <x v="0"/>
    <x v="3"/>
    <x v="85"/>
    <x v="240"/>
    <x v="2"/>
    <x v="44"/>
    <x v="79"/>
    <x v="2"/>
    <x v="2"/>
    <x v="0"/>
    <x v="72"/>
    <x v="1"/>
    <x v="2"/>
    <x v="1"/>
    <x v="193"/>
    <x v="157"/>
    <x v="74"/>
    <x v="142"/>
    <x v="11"/>
  </r>
  <r>
    <x v="261"/>
    <x v="11"/>
    <x v="0"/>
    <x v="4"/>
    <x v="4"/>
    <x v="5"/>
    <x v="3"/>
    <x v="0"/>
    <x v="2"/>
    <x v="42"/>
    <x v="241"/>
    <x v="3"/>
    <x v="34"/>
    <x v="146"/>
    <x v="3"/>
    <x v="1"/>
    <x v="3"/>
    <x v="114"/>
    <x v="1"/>
    <x v="3"/>
    <x v="1"/>
    <x v="67"/>
    <x v="64"/>
    <x v="63"/>
    <x v="137"/>
    <x v="26"/>
  </r>
  <r>
    <x v="262"/>
    <x v="39"/>
    <x v="0"/>
    <x v="0"/>
    <x v="1"/>
    <x v="0"/>
    <x v="17"/>
    <x v="0"/>
    <x v="2"/>
    <x v="237"/>
    <x v="242"/>
    <x v="1"/>
    <x v="28"/>
    <x v="88"/>
    <x v="1"/>
    <x v="1"/>
    <x v="3"/>
    <x v="130"/>
    <x v="1"/>
    <x v="3"/>
    <x v="1"/>
    <x v="92"/>
    <x v="196"/>
    <x v="58"/>
    <x v="143"/>
    <x v="126"/>
  </r>
  <r>
    <x v="263"/>
    <x v="38"/>
    <x v="1"/>
    <x v="0"/>
    <x v="0"/>
    <x v="0"/>
    <x v="7"/>
    <x v="0"/>
    <x v="2"/>
    <x v="238"/>
    <x v="114"/>
    <x v="0"/>
    <x v="58"/>
    <x v="0"/>
    <x v="0"/>
    <x v="0"/>
    <x v="2"/>
    <x v="26"/>
    <x v="0"/>
    <x v="4"/>
    <x v="0"/>
    <x v="194"/>
    <x v="78"/>
    <x v="61"/>
    <x v="14"/>
    <x v="65"/>
  </r>
  <r>
    <x v="264"/>
    <x v="14"/>
    <x v="0"/>
    <x v="0"/>
    <x v="2"/>
    <x v="0"/>
    <x v="10"/>
    <x v="3"/>
    <x v="1"/>
    <x v="2"/>
    <x v="243"/>
    <x v="0"/>
    <x v="24"/>
    <x v="141"/>
    <x v="0"/>
    <x v="0"/>
    <x v="0"/>
    <x v="73"/>
    <x v="0"/>
    <x v="4"/>
    <x v="0"/>
    <x v="74"/>
    <x v="185"/>
    <x v="25"/>
    <x v="35"/>
    <x v="44"/>
  </r>
  <r>
    <x v="265"/>
    <x v="38"/>
    <x v="1"/>
    <x v="3"/>
    <x v="3"/>
    <x v="0"/>
    <x v="18"/>
    <x v="2"/>
    <x v="3"/>
    <x v="239"/>
    <x v="244"/>
    <x v="0"/>
    <x v="49"/>
    <x v="147"/>
    <x v="0"/>
    <x v="2"/>
    <x v="2"/>
    <x v="6"/>
    <x v="1"/>
    <x v="3"/>
    <x v="1"/>
    <x v="195"/>
    <x v="197"/>
    <x v="4"/>
    <x v="68"/>
    <x v="95"/>
  </r>
  <r>
    <x v="266"/>
    <x v="6"/>
    <x v="2"/>
    <x v="4"/>
    <x v="3"/>
    <x v="0"/>
    <x v="10"/>
    <x v="1"/>
    <x v="3"/>
    <x v="240"/>
    <x v="245"/>
    <x v="1"/>
    <x v="51"/>
    <x v="23"/>
    <x v="1"/>
    <x v="1"/>
    <x v="0"/>
    <x v="14"/>
    <x v="1"/>
    <x v="1"/>
    <x v="1"/>
    <x v="196"/>
    <x v="86"/>
    <x v="29"/>
    <x v="100"/>
    <x v="127"/>
  </r>
  <r>
    <x v="267"/>
    <x v="53"/>
    <x v="0"/>
    <x v="0"/>
    <x v="1"/>
    <x v="0"/>
    <x v="18"/>
    <x v="1"/>
    <x v="1"/>
    <x v="190"/>
    <x v="246"/>
    <x v="0"/>
    <x v="10"/>
    <x v="148"/>
    <x v="0"/>
    <x v="2"/>
    <x v="2"/>
    <x v="86"/>
    <x v="1"/>
    <x v="4"/>
    <x v="1"/>
    <x v="197"/>
    <x v="176"/>
    <x v="30"/>
    <x v="91"/>
    <x v="61"/>
  </r>
  <r>
    <x v="268"/>
    <x v="16"/>
    <x v="2"/>
    <x v="2"/>
    <x v="4"/>
    <x v="0"/>
    <x v="19"/>
    <x v="2"/>
    <x v="2"/>
    <x v="241"/>
    <x v="247"/>
    <x v="2"/>
    <x v="41"/>
    <x v="17"/>
    <x v="2"/>
    <x v="2"/>
    <x v="0"/>
    <x v="56"/>
    <x v="1"/>
    <x v="4"/>
    <x v="0"/>
    <x v="69"/>
    <x v="182"/>
    <x v="71"/>
    <x v="51"/>
    <x v="128"/>
  </r>
  <r>
    <x v="269"/>
    <x v="14"/>
    <x v="0"/>
    <x v="2"/>
    <x v="0"/>
    <x v="5"/>
    <x v="1"/>
    <x v="1"/>
    <x v="1"/>
    <x v="242"/>
    <x v="248"/>
    <x v="0"/>
    <x v="49"/>
    <x v="149"/>
    <x v="0"/>
    <x v="2"/>
    <x v="2"/>
    <x v="115"/>
    <x v="1"/>
    <x v="1"/>
    <x v="1"/>
    <x v="17"/>
    <x v="185"/>
    <x v="81"/>
    <x v="144"/>
    <x v="129"/>
  </r>
  <r>
    <x v="270"/>
    <x v="39"/>
    <x v="0"/>
    <x v="4"/>
    <x v="4"/>
    <x v="5"/>
    <x v="5"/>
    <x v="1"/>
    <x v="2"/>
    <x v="51"/>
    <x v="249"/>
    <x v="1"/>
    <x v="12"/>
    <x v="150"/>
    <x v="1"/>
    <x v="1"/>
    <x v="0"/>
    <x v="114"/>
    <x v="1"/>
    <x v="1"/>
    <x v="1"/>
    <x v="198"/>
    <x v="44"/>
    <x v="67"/>
    <x v="4"/>
    <x v="130"/>
  </r>
  <r>
    <x v="271"/>
    <x v="63"/>
    <x v="0"/>
    <x v="4"/>
    <x v="1"/>
    <x v="0"/>
    <x v="19"/>
    <x v="3"/>
    <x v="0"/>
    <x v="243"/>
    <x v="250"/>
    <x v="1"/>
    <x v="41"/>
    <x v="124"/>
    <x v="1"/>
    <x v="1"/>
    <x v="3"/>
    <x v="34"/>
    <x v="1"/>
    <x v="1"/>
    <x v="1"/>
    <x v="199"/>
    <x v="198"/>
    <x v="83"/>
    <x v="4"/>
    <x v="33"/>
  </r>
  <r>
    <x v="272"/>
    <x v="41"/>
    <x v="2"/>
    <x v="1"/>
    <x v="0"/>
    <x v="0"/>
    <x v="18"/>
    <x v="1"/>
    <x v="0"/>
    <x v="244"/>
    <x v="251"/>
    <x v="0"/>
    <x v="24"/>
    <x v="50"/>
    <x v="0"/>
    <x v="0"/>
    <x v="0"/>
    <x v="122"/>
    <x v="0"/>
    <x v="4"/>
    <x v="0"/>
    <x v="200"/>
    <x v="199"/>
    <x v="17"/>
    <x v="145"/>
    <x v="131"/>
  </r>
  <r>
    <x v="273"/>
    <x v="17"/>
    <x v="2"/>
    <x v="3"/>
    <x v="3"/>
    <x v="3"/>
    <x v="16"/>
    <x v="3"/>
    <x v="0"/>
    <x v="245"/>
    <x v="252"/>
    <x v="1"/>
    <x v="34"/>
    <x v="103"/>
    <x v="1"/>
    <x v="2"/>
    <x v="1"/>
    <x v="22"/>
    <x v="1"/>
    <x v="4"/>
    <x v="1"/>
    <x v="43"/>
    <x v="197"/>
    <x v="28"/>
    <x v="38"/>
    <x v="1"/>
  </r>
  <r>
    <x v="274"/>
    <x v="34"/>
    <x v="1"/>
    <x v="3"/>
    <x v="3"/>
    <x v="0"/>
    <x v="16"/>
    <x v="3"/>
    <x v="2"/>
    <x v="246"/>
    <x v="253"/>
    <x v="3"/>
    <x v="57"/>
    <x v="56"/>
    <x v="3"/>
    <x v="0"/>
    <x v="2"/>
    <x v="104"/>
    <x v="0"/>
    <x v="3"/>
    <x v="1"/>
    <x v="35"/>
    <x v="12"/>
    <x v="21"/>
    <x v="131"/>
    <x v="70"/>
  </r>
  <r>
    <x v="275"/>
    <x v="41"/>
    <x v="1"/>
    <x v="4"/>
    <x v="1"/>
    <x v="0"/>
    <x v="13"/>
    <x v="0"/>
    <x v="3"/>
    <x v="247"/>
    <x v="254"/>
    <x v="3"/>
    <x v="6"/>
    <x v="135"/>
    <x v="3"/>
    <x v="0"/>
    <x v="2"/>
    <x v="131"/>
    <x v="0"/>
    <x v="3"/>
    <x v="0"/>
    <x v="201"/>
    <x v="200"/>
    <x v="21"/>
    <x v="99"/>
    <x v="132"/>
  </r>
  <r>
    <x v="276"/>
    <x v="19"/>
    <x v="1"/>
    <x v="0"/>
    <x v="2"/>
    <x v="0"/>
    <x v="14"/>
    <x v="0"/>
    <x v="2"/>
    <x v="248"/>
    <x v="255"/>
    <x v="3"/>
    <x v="16"/>
    <x v="19"/>
    <x v="3"/>
    <x v="2"/>
    <x v="2"/>
    <x v="34"/>
    <x v="1"/>
    <x v="2"/>
    <x v="0"/>
    <x v="178"/>
    <x v="201"/>
    <x v="19"/>
    <x v="67"/>
    <x v="88"/>
  </r>
  <r>
    <x v="277"/>
    <x v="47"/>
    <x v="0"/>
    <x v="4"/>
    <x v="4"/>
    <x v="0"/>
    <x v="16"/>
    <x v="2"/>
    <x v="3"/>
    <x v="249"/>
    <x v="70"/>
    <x v="3"/>
    <x v="6"/>
    <x v="151"/>
    <x v="3"/>
    <x v="0"/>
    <x v="3"/>
    <x v="57"/>
    <x v="0"/>
    <x v="1"/>
    <x v="1"/>
    <x v="47"/>
    <x v="202"/>
    <x v="7"/>
    <x v="119"/>
    <x v="85"/>
  </r>
  <r>
    <x v="278"/>
    <x v="30"/>
    <x v="0"/>
    <x v="3"/>
    <x v="2"/>
    <x v="4"/>
    <x v="10"/>
    <x v="0"/>
    <x v="3"/>
    <x v="250"/>
    <x v="256"/>
    <x v="1"/>
    <x v="3"/>
    <x v="152"/>
    <x v="1"/>
    <x v="0"/>
    <x v="1"/>
    <x v="33"/>
    <x v="0"/>
    <x v="1"/>
    <x v="1"/>
    <x v="202"/>
    <x v="203"/>
    <x v="33"/>
    <x v="146"/>
    <x v="66"/>
  </r>
  <r>
    <x v="279"/>
    <x v="3"/>
    <x v="2"/>
    <x v="0"/>
    <x v="4"/>
    <x v="5"/>
    <x v="17"/>
    <x v="1"/>
    <x v="1"/>
    <x v="251"/>
    <x v="257"/>
    <x v="1"/>
    <x v="10"/>
    <x v="11"/>
    <x v="1"/>
    <x v="0"/>
    <x v="1"/>
    <x v="122"/>
    <x v="0"/>
    <x v="3"/>
    <x v="1"/>
    <x v="203"/>
    <x v="204"/>
    <x v="63"/>
    <x v="87"/>
    <x v="107"/>
  </r>
  <r>
    <x v="280"/>
    <x v="36"/>
    <x v="1"/>
    <x v="1"/>
    <x v="2"/>
    <x v="0"/>
    <x v="0"/>
    <x v="0"/>
    <x v="1"/>
    <x v="252"/>
    <x v="258"/>
    <x v="0"/>
    <x v="48"/>
    <x v="15"/>
    <x v="0"/>
    <x v="1"/>
    <x v="0"/>
    <x v="47"/>
    <x v="1"/>
    <x v="4"/>
    <x v="0"/>
    <x v="136"/>
    <x v="60"/>
    <x v="65"/>
    <x v="107"/>
    <x v="18"/>
  </r>
  <r>
    <x v="281"/>
    <x v="0"/>
    <x v="2"/>
    <x v="0"/>
    <x v="3"/>
    <x v="0"/>
    <x v="6"/>
    <x v="0"/>
    <x v="2"/>
    <x v="15"/>
    <x v="259"/>
    <x v="2"/>
    <x v="5"/>
    <x v="153"/>
    <x v="2"/>
    <x v="2"/>
    <x v="4"/>
    <x v="25"/>
    <x v="1"/>
    <x v="4"/>
    <x v="1"/>
    <x v="204"/>
    <x v="205"/>
    <x v="18"/>
    <x v="16"/>
    <x v="56"/>
  </r>
  <r>
    <x v="282"/>
    <x v="47"/>
    <x v="0"/>
    <x v="2"/>
    <x v="2"/>
    <x v="3"/>
    <x v="16"/>
    <x v="1"/>
    <x v="1"/>
    <x v="253"/>
    <x v="260"/>
    <x v="3"/>
    <x v="1"/>
    <x v="114"/>
    <x v="3"/>
    <x v="2"/>
    <x v="2"/>
    <x v="29"/>
    <x v="1"/>
    <x v="2"/>
    <x v="0"/>
    <x v="183"/>
    <x v="177"/>
    <x v="6"/>
    <x v="139"/>
    <x v="75"/>
  </r>
  <r>
    <x v="283"/>
    <x v="21"/>
    <x v="1"/>
    <x v="0"/>
    <x v="0"/>
    <x v="0"/>
    <x v="11"/>
    <x v="2"/>
    <x v="1"/>
    <x v="254"/>
    <x v="261"/>
    <x v="2"/>
    <x v="28"/>
    <x v="33"/>
    <x v="2"/>
    <x v="1"/>
    <x v="0"/>
    <x v="14"/>
    <x v="1"/>
    <x v="3"/>
    <x v="0"/>
    <x v="73"/>
    <x v="206"/>
    <x v="24"/>
    <x v="76"/>
    <x v="28"/>
  </r>
  <r>
    <x v="284"/>
    <x v="29"/>
    <x v="0"/>
    <x v="3"/>
    <x v="1"/>
    <x v="2"/>
    <x v="17"/>
    <x v="3"/>
    <x v="0"/>
    <x v="49"/>
    <x v="262"/>
    <x v="0"/>
    <x v="49"/>
    <x v="154"/>
    <x v="0"/>
    <x v="0"/>
    <x v="2"/>
    <x v="132"/>
    <x v="0"/>
    <x v="1"/>
    <x v="1"/>
    <x v="54"/>
    <x v="207"/>
    <x v="35"/>
    <x v="87"/>
    <x v="133"/>
  </r>
  <r>
    <x v="285"/>
    <x v="34"/>
    <x v="2"/>
    <x v="1"/>
    <x v="0"/>
    <x v="4"/>
    <x v="19"/>
    <x v="3"/>
    <x v="1"/>
    <x v="255"/>
    <x v="263"/>
    <x v="0"/>
    <x v="24"/>
    <x v="155"/>
    <x v="0"/>
    <x v="2"/>
    <x v="4"/>
    <x v="85"/>
    <x v="1"/>
    <x v="2"/>
    <x v="0"/>
    <x v="91"/>
    <x v="208"/>
    <x v="72"/>
    <x v="30"/>
    <x v="32"/>
  </r>
  <r>
    <x v="286"/>
    <x v="38"/>
    <x v="1"/>
    <x v="0"/>
    <x v="2"/>
    <x v="1"/>
    <x v="13"/>
    <x v="2"/>
    <x v="2"/>
    <x v="256"/>
    <x v="264"/>
    <x v="2"/>
    <x v="9"/>
    <x v="125"/>
    <x v="2"/>
    <x v="1"/>
    <x v="3"/>
    <x v="133"/>
    <x v="1"/>
    <x v="2"/>
    <x v="1"/>
    <x v="107"/>
    <x v="209"/>
    <x v="10"/>
    <x v="53"/>
    <x v="134"/>
  </r>
  <r>
    <x v="287"/>
    <x v="57"/>
    <x v="0"/>
    <x v="3"/>
    <x v="3"/>
    <x v="0"/>
    <x v="4"/>
    <x v="3"/>
    <x v="3"/>
    <x v="257"/>
    <x v="265"/>
    <x v="1"/>
    <x v="3"/>
    <x v="38"/>
    <x v="1"/>
    <x v="1"/>
    <x v="0"/>
    <x v="101"/>
    <x v="1"/>
    <x v="0"/>
    <x v="1"/>
    <x v="205"/>
    <x v="69"/>
    <x v="1"/>
    <x v="45"/>
    <x v="80"/>
  </r>
  <r>
    <x v="288"/>
    <x v="39"/>
    <x v="2"/>
    <x v="1"/>
    <x v="3"/>
    <x v="1"/>
    <x v="0"/>
    <x v="1"/>
    <x v="0"/>
    <x v="258"/>
    <x v="46"/>
    <x v="3"/>
    <x v="37"/>
    <x v="89"/>
    <x v="3"/>
    <x v="0"/>
    <x v="1"/>
    <x v="78"/>
    <x v="0"/>
    <x v="2"/>
    <x v="0"/>
    <x v="104"/>
    <x v="210"/>
    <x v="76"/>
    <x v="147"/>
    <x v="40"/>
  </r>
  <r>
    <x v="289"/>
    <x v="18"/>
    <x v="0"/>
    <x v="3"/>
    <x v="0"/>
    <x v="0"/>
    <x v="7"/>
    <x v="2"/>
    <x v="1"/>
    <x v="259"/>
    <x v="266"/>
    <x v="0"/>
    <x v="3"/>
    <x v="87"/>
    <x v="0"/>
    <x v="1"/>
    <x v="0"/>
    <x v="22"/>
    <x v="1"/>
    <x v="3"/>
    <x v="1"/>
    <x v="127"/>
    <x v="211"/>
    <x v="43"/>
    <x v="16"/>
    <x v="109"/>
  </r>
  <r>
    <x v="290"/>
    <x v="63"/>
    <x v="1"/>
    <x v="3"/>
    <x v="1"/>
    <x v="3"/>
    <x v="0"/>
    <x v="3"/>
    <x v="3"/>
    <x v="260"/>
    <x v="267"/>
    <x v="1"/>
    <x v="36"/>
    <x v="127"/>
    <x v="1"/>
    <x v="0"/>
    <x v="1"/>
    <x v="16"/>
    <x v="0"/>
    <x v="1"/>
    <x v="0"/>
    <x v="29"/>
    <x v="107"/>
    <x v="80"/>
    <x v="80"/>
    <x v="83"/>
  </r>
  <r>
    <x v="291"/>
    <x v="33"/>
    <x v="2"/>
    <x v="0"/>
    <x v="1"/>
    <x v="5"/>
    <x v="18"/>
    <x v="3"/>
    <x v="1"/>
    <x v="261"/>
    <x v="268"/>
    <x v="2"/>
    <x v="47"/>
    <x v="56"/>
    <x v="2"/>
    <x v="0"/>
    <x v="2"/>
    <x v="22"/>
    <x v="0"/>
    <x v="0"/>
    <x v="1"/>
    <x v="206"/>
    <x v="212"/>
    <x v="62"/>
    <x v="113"/>
    <x v="40"/>
  </r>
  <r>
    <x v="292"/>
    <x v="55"/>
    <x v="2"/>
    <x v="3"/>
    <x v="4"/>
    <x v="2"/>
    <x v="19"/>
    <x v="3"/>
    <x v="1"/>
    <x v="262"/>
    <x v="269"/>
    <x v="1"/>
    <x v="6"/>
    <x v="18"/>
    <x v="1"/>
    <x v="2"/>
    <x v="3"/>
    <x v="28"/>
    <x v="1"/>
    <x v="2"/>
    <x v="0"/>
    <x v="49"/>
    <x v="213"/>
    <x v="59"/>
    <x v="148"/>
    <x v="25"/>
  </r>
  <r>
    <x v="293"/>
    <x v="20"/>
    <x v="2"/>
    <x v="3"/>
    <x v="3"/>
    <x v="3"/>
    <x v="5"/>
    <x v="2"/>
    <x v="3"/>
    <x v="193"/>
    <x v="270"/>
    <x v="0"/>
    <x v="50"/>
    <x v="140"/>
    <x v="0"/>
    <x v="2"/>
    <x v="4"/>
    <x v="41"/>
    <x v="1"/>
    <x v="3"/>
    <x v="0"/>
    <x v="168"/>
    <x v="214"/>
    <x v="18"/>
    <x v="46"/>
    <x v="60"/>
  </r>
  <r>
    <x v="294"/>
    <x v="52"/>
    <x v="1"/>
    <x v="1"/>
    <x v="2"/>
    <x v="0"/>
    <x v="11"/>
    <x v="0"/>
    <x v="2"/>
    <x v="263"/>
    <x v="271"/>
    <x v="1"/>
    <x v="40"/>
    <x v="150"/>
    <x v="1"/>
    <x v="1"/>
    <x v="3"/>
    <x v="64"/>
    <x v="1"/>
    <x v="2"/>
    <x v="1"/>
    <x v="207"/>
    <x v="119"/>
    <x v="5"/>
    <x v="149"/>
    <x v="135"/>
  </r>
  <r>
    <x v="295"/>
    <x v="60"/>
    <x v="0"/>
    <x v="1"/>
    <x v="0"/>
    <x v="0"/>
    <x v="0"/>
    <x v="0"/>
    <x v="3"/>
    <x v="264"/>
    <x v="272"/>
    <x v="2"/>
    <x v="48"/>
    <x v="156"/>
    <x v="2"/>
    <x v="1"/>
    <x v="3"/>
    <x v="2"/>
    <x v="1"/>
    <x v="3"/>
    <x v="1"/>
    <x v="208"/>
    <x v="215"/>
    <x v="13"/>
    <x v="73"/>
    <x v="4"/>
  </r>
  <r>
    <x v="296"/>
    <x v="30"/>
    <x v="0"/>
    <x v="4"/>
    <x v="3"/>
    <x v="0"/>
    <x v="3"/>
    <x v="3"/>
    <x v="1"/>
    <x v="265"/>
    <x v="273"/>
    <x v="0"/>
    <x v="2"/>
    <x v="156"/>
    <x v="0"/>
    <x v="1"/>
    <x v="0"/>
    <x v="61"/>
    <x v="1"/>
    <x v="3"/>
    <x v="0"/>
    <x v="23"/>
    <x v="216"/>
    <x v="83"/>
    <x v="24"/>
    <x v="121"/>
  </r>
  <r>
    <x v="297"/>
    <x v="65"/>
    <x v="1"/>
    <x v="4"/>
    <x v="3"/>
    <x v="5"/>
    <x v="15"/>
    <x v="0"/>
    <x v="2"/>
    <x v="266"/>
    <x v="274"/>
    <x v="1"/>
    <x v="4"/>
    <x v="21"/>
    <x v="1"/>
    <x v="0"/>
    <x v="4"/>
    <x v="18"/>
    <x v="0"/>
    <x v="2"/>
    <x v="0"/>
    <x v="132"/>
    <x v="217"/>
    <x v="69"/>
    <x v="44"/>
    <x v="33"/>
  </r>
  <r>
    <x v="298"/>
    <x v="30"/>
    <x v="0"/>
    <x v="3"/>
    <x v="4"/>
    <x v="0"/>
    <x v="4"/>
    <x v="3"/>
    <x v="2"/>
    <x v="267"/>
    <x v="275"/>
    <x v="1"/>
    <x v="3"/>
    <x v="157"/>
    <x v="1"/>
    <x v="2"/>
    <x v="3"/>
    <x v="132"/>
    <x v="1"/>
    <x v="4"/>
    <x v="0"/>
    <x v="209"/>
    <x v="138"/>
    <x v="25"/>
    <x v="38"/>
    <x v="136"/>
  </r>
  <r>
    <x v="299"/>
    <x v="18"/>
    <x v="2"/>
    <x v="0"/>
    <x v="1"/>
    <x v="0"/>
    <x v="13"/>
    <x v="0"/>
    <x v="0"/>
    <x v="64"/>
    <x v="276"/>
    <x v="3"/>
    <x v="49"/>
    <x v="60"/>
    <x v="3"/>
    <x v="0"/>
    <x v="2"/>
    <x v="97"/>
    <x v="0"/>
    <x v="1"/>
    <x v="1"/>
    <x v="197"/>
    <x v="205"/>
    <x v="32"/>
    <x v="5"/>
    <x v="27"/>
  </r>
  <r>
    <x v="300"/>
    <x v="18"/>
    <x v="0"/>
    <x v="4"/>
    <x v="4"/>
    <x v="1"/>
    <x v="14"/>
    <x v="3"/>
    <x v="3"/>
    <x v="268"/>
    <x v="277"/>
    <x v="3"/>
    <x v="61"/>
    <x v="59"/>
    <x v="3"/>
    <x v="0"/>
    <x v="1"/>
    <x v="47"/>
    <x v="0"/>
    <x v="0"/>
    <x v="1"/>
    <x v="87"/>
    <x v="218"/>
    <x v="52"/>
    <x v="81"/>
    <x v="91"/>
  </r>
  <r>
    <x v="301"/>
    <x v="5"/>
    <x v="0"/>
    <x v="2"/>
    <x v="4"/>
    <x v="5"/>
    <x v="4"/>
    <x v="0"/>
    <x v="3"/>
    <x v="269"/>
    <x v="278"/>
    <x v="2"/>
    <x v="6"/>
    <x v="158"/>
    <x v="2"/>
    <x v="0"/>
    <x v="3"/>
    <x v="32"/>
    <x v="0"/>
    <x v="3"/>
    <x v="1"/>
    <x v="41"/>
    <x v="188"/>
    <x v="73"/>
    <x v="83"/>
    <x v="77"/>
  </r>
  <r>
    <x v="302"/>
    <x v="38"/>
    <x v="0"/>
    <x v="2"/>
    <x v="4"/>
    <x v="5"/>
    <x v="6"/>
    <x v="1"/>
    <x v="0"/>
    <x v="167"/>
    <x v="279"/>
    <x v="0"/>
    <x v="24"/>
    <x v="46"/>
    <x v="0"/>
    <x v="0"/>
    <x v="2"/>
    <x v="79"/>
    <x v="0"/>
    <x v="4"/>
    <x v="1"/>
    <x v="130"/>
    <x v="183"/>
    <x v="52"/>
    <x v="150"/>
    <x v="53"/>
  </r>
  <r>
    <x v="303"/>
    <x v="8"/>
    <x v="0"/>
    <x v="1"/>
    <x v="3"/>
    <x v="3"/>
    <x v="12"/>
    <x v="1"/>
    <x v="0"/>
    <x v="270"/>
    <x v="280"/>
    <x v="3"/>
    <x v="10"/>
    <x v="106"/>
    <x v="3"/>
    <x v="1"/>
    <x v="2"/>
    <x v="134"/>
    <x v="1"/>
    <x v="3"/>
    <x v="0"/>
    <x v="210"/>
    <x v="61"/>
    <x v="49"/>
    <x v="143"/>
    <x v="104"/>
  </r>
  <r>
    <x v="304"/>
    <x v="37"/>
    <x v="2"/>
    <x v="2"/>
    <x v="0"/>
    <x v="0"/>
    <x v="5"/>
    <x v="2"/>
    <x v="3"/>
    <x v="271"/>
    <x v="281"/>
    <x v="0"/>
    <x v="9"/>
    <x v="13"/>
    <x v="0"/>
    <x v="0"/>
    <x v="3"/>
    <x v="132"/>
    <x v="0"/>
    <x v="4"/>
    <x v="1"/>
    <x v="114"/>
    <x v="219"/>
    <x v="2"/>
    <x v="151"/>
    <x v="69"/>
  </r>
  <r>
    <x v="305"/>
    <x v="55"/>
    <x v="2"/>
    <x v="0"/>
    <x v="2"/>
    <x v="0"/>
    <x v="14"/>
    <x v="2"/>
    <x v="2"/>
    <x v="131"/>
    <x v="282"/>
    <x v="2"/>
    <x v="28"/>
    <x v="40"/>
    <x v="2"/>
    <x v="0"/>
    <x v="2"/>
    <x v="123"/>
    <x v="0"/>
    <x v="3"/>
    <x v="1"/>
    <x v="211"/>
    <x v="220"/>
    <x v="84"/>
    <x v="39"/>
    <x v="86"/>
  </r>
  <r>
    <x v="306"/>
    <x v="21"/>
    <x v="0"/>
    <x v="4"/>
    <x v="1"/>
    <x v="0"/>
    <x v="0"/>
    <x v="2"/>
    <x v="0"/>
    <x v="93"/>
    <x v="283"/>
    <x v="2"/>
    <x v="7"/>
    <x v="154"/>
    <x v="2"/>
    <x v="0"/>
    <x v="0"/>
    <x v="85"/>
    <x v="0"/>
    <x v="1"/>
    <x v="0"/>
    <x v="212"/>
    <x v="221"/>
    <x v="31"/>
    <x v="33"/>
    <x v="110"/>
  </r>
  <r>
    <x v="307"/>
    <x v="30"/>
    <x v="2"/>
    <x v="4"/>
    <x v="1"/>
    <x v="4"/>
    <x v="2"/>
    <x v="3"/>
    <x v="3"/>
    <x v="272"/>
    <x v="257"/>
    <x v="3"/>
    <x v="47"/>
    <x v="159"/>
    <x v="3"/>
    <x v="0"/>
    <x v="2"/>
    <x v="24"/>
    <x v="0"/>
    <x v="0"/>
    <x v="1"/>
    <x v="99"/>
    <x v="222"/>
    <x v="26"/>
    <x v="152"/>
    <x v="19"/>
  </r>
  <r>
    <x v="308"/>
    <x v="66"/>
    <x v="0"/>
    <x v="1"/>
    <x v="2"/>
    <x v="5"/>
    <x v="5"/>
    <x v="2"/>
    <x v="3"/>
    <x v="273"/>
    <x v="284"/>
    <x v="1"/>
    <x v="12"/>
    <x v="93"/>
    <x v="1"/>
    <x v="0"/>
    <x v="3"/>
    <x v="61"/>
    <x v="0"/>
    <x v="4"/>
    <x v="0"/>
    <x v="213"/>
    <x v="219"/>
    <x v="44"/>
    <x v="71"/>
    <x v="137"/>
  </r>
  <r>
    <x v="309"/>
    <x v="63"/>
    <x v="2"/>
    <x v="4"/>
    <x v="3"/>
    <x v="0"/>
    <x v="7"/>
    <x v="0"/>
    <x v="2"/>
    <x v="274"/>
    <x v="111"/>
    <x v="2"/>
    <x v="11"/>
    <x v="118"/>
    <x v="2"/>
    <x v="0"/>
    <x v="1"/>
    <x v="37"/>
    <x v="0"/>
    <x v="0"/>
    <x v="0"/>
    <x v="73"/>
    <x v="172"/>
    <x v="79"/>
    <x v="145"/>
    <x v="126"/>
  </r>
  <r>
    <x v="310"/>
    <x v="43"/>
    <x v="2"/>
    <x v="0"/>
    <x v="2"/>
    <x v="0"/>
    <x v="2"/>
    <x v="1"/>
    <x v="2"/>
    <x v="275"/>
    <x v="193"/>
    <x v="2"/>
    <x v="24"/>
    <x v="49"/>
    <x v="2"/>
    <x v="1"/>
    <x v="1"/>
    <x v="63"/>
    <x v="1"/>
    <x v="2"/>
    <x v="1"/>
    <x v="214"/>
    <x v="223"/>
    <x v="28"/>
    <x v="105"/>
    <x v="138"/>
  </r>
  <r>
    <x v="311"/>
    <x v="31"/>
    <x v="2"/>
    <x v="2"/>
    <x v="3"/>
    <x v="0"/>
    <x v="12"/>
    <x v="1"/>
    <x v="2"/>
    <x v="276"/>
    <x v="285"/>
    <x v="2"/>
    <x v="41"/>
    <x v="93"/>
    <x v="2"/>
    <x v="1"/>
    <x v="4"/>
    <x v="135"/>
    <x v="1"/>
    <x v="1"/>
    <x v="1"/>
    <x v="176"/>
    <x v="25"/>
    <x v="68"/>
    <x v="153"/>
    <x v="117"/>
  </r>
  <r>
    <x v="312"/>
    <x v="62"/>
    <x v="1"/>
    <x v="1"/>
    <x v="3"/>
    <x v="0"/>
    <x v="4"/>
    <x v="1"/>
    <x v="2"/>
    <x v="277"/>
    <x v="286"/>
    <x v="0"/>
    <x v="6"/>
    <x v="59"/>
    <x v="0"/>
    <x v="1"/>
    <x v="2"/>
    <x v="95"/>
    <x v="1"/>
    <x v="4"/>
    <x v="1"/>
    <x v="188"/>
    <x v="224"/>
    <x v="3"/>
    <x v="50"/>
    <x v="139"/>
  </r>
  <r>
    <x v="313"/>
    <x v="16"/>
    <x v="0"/>
    <x v="2"/>
    <x v="2"/>
    <x v="2"/>
    <x v="2"/>
    <x v="1"/>
    <x v="0"/>
    <x v="278"/>
    <x v="287"/>
    <x v="0"/>
    <x v="49"/>
    <x v="155"/>
    <x v="0"/>
    <x v="1"/>
    <x v="4"/>
    <x v="15"/>
    <x v="1"/>
    <x v="1"/>
    <x v="0"/>
    <x v="102"/>
    <x v="225"/>
    <x v="40"/>
    <x v="75"/>
    <x v="108"/>
  </r>
  <r>
    <x v="314"/>
    <x v="15"/>
    <x v="1"/>
    <x v="4"/>
    <x v="2"/>
    <x v="0"/>
    <x v="16"/>
    <x v="1"/>
    <x v="3"/>
    <x v="279"/>
    <x v="288"/>
    <x v="3"/>
    <x v="0"/>
    <x v="94"/>
    <x v="3"/>
    <x v="0"/>
    <x v="4"/>
    <x v="118"/>
    <x v="0"/>
    <x v="2"/>
    <x v="0"/>
    <x v="115"/>
    <x v="85"/>
    <x v="81"/>
    <x v="88"/>
    <x v="140"/>
  </r>
  <r>
    <x v="315"/>
    <x v="2"/>
    <x v="0"/>
    <x v="0"/>
    <x v="2"/>
    <x v="2"/>
    <x v="5"/>
    <x v="2"/>
    <x v="3"/>
    <x v="280"/>
    <x v="289"/>
    <x v="0"/>
    <x v="51"/>
    <x v="101"/>
    <x v="0"/>
    <x v="2"/>
    <x v="2"/>
    <x v="72"/>
    <x v="1"/>
    <x v="1"/>
    <x v="0"/>
    <x v="131"/>
    <x v="103"/>
    <x v="83"/>
    <x v="106"/>
    <x v="6"/>
  </r>
  <r>
    <x v="316"/>
    <x v="7"/>
    <x v="2"/>
    <x v="4"/>
    <x v="3"/>
    <x v="3"/>
    <x v="14"/>
    <x v="3"/>
    <x v="0"/>
    <x v="281"/>
    <x v="290"/>
    <x v="0"/>
    <x v="17"/>
    <x v="145"/>
    <x v="0"/>
    <x v="2"/>
    <x v="3"/>
    <x v="99"/>
    <x v="1"/>
    <x v="0"/>
    <x v="0"/>
    <x v="3"/>
    <x v="226"/>
    <x v="31"/>
    <x v="154"/>
    <x v="89"/>
  </r>
  <r>
    <x v="317"/>
    <x v="5"/>
    <x v="2"/>
    <x v="2"/>
    <x v="3"/>
    <x v="0"/>
    <x v="16"/>
    <x v="0"/>
    <x v="2"/>
    <x v="282"/>
    <x v="291"/>
    <x v="0"/>
    <x v="15"/>
    <x v="92"/>
    <x v="0"/>
    <x v="0"/>
    <x v="2"/>
    <x v="92"/>
    <x v="0"/>
    <x v="0"/>
    <x v="0"/>
    <x v="151"/>
    <x v="227"/>
    <x v="46"/>
    <x v="138"/>
    <x v="65"/>
  </r>
  <r>
    <x v="318"/>
    <x v="2"/>
    <x v="2"/>
    <x v="1"/>
    <x v="0"/>
    <x v="0"/>
    <x v="11"/>
    <x v="3"/>
    <x v="2"/>
    <x v="283"/>
    <x v="292"/>
    <x v="1"/>
    <x v="35"/>
    <x v="123"/>
    <x v="1"/>
    <x v="1"/>
    <x v="4"/>
    <x v="74"/>
    <x v="1"/>
    <x v="0"/>
    <x v="0"/>
    <x v="67"/>
    <x v="228"/>
    <x v="81"/>
    <x v="9"/>
    <x v="71"/>
  </r>
  <r>
    <x v="319"/>
    <x v="15"/>
    <x v="0"/>
    <x v="1"/>
    <x v="3"/>
    <x v="4"/>
    <x v="10"/>
    <x v="3"/>
    <x v="3"/>
    <x v="284"/>
    <x v="293"/>
    <x v="3"/>
    <x v="35"/>
    <x v="106"/>
    <x v="3"/>
    <x v="0"/>
    <x v="1"/>
    <x v="43"/>
    <x v="0"/>
    <x v="1"/>
    <x v="1"/>
    <x v="215"/>
    <x v="141"/>
    <x v="19"/>
    <x v="68"/>
    <x v="124"/>
  </r>
  <r>
    <x v="320"/>
    <x v="44"/>
    <x v="0"/>
    <x v="4"/>
    <x v="0"/>
    <x v="5"/>
    <x v="11"/>
    <x v="2"/>
    <x v="2"/>
    <x v="285"/>
    <x v="294"/>
    <x v="0"/>
    <x v="3"/>
    <x v="95"/>
    <x v="0"/>
    <x v="1"/>
    <x v="2"/>
    <x v="57"/>
    <x v="1"/>
    <x v="2"/>
    <x v="1"/>
    <x v="216"/>
    <x v="27"/>
    <x v="26"/>
    <x v="52"/>
    <x v="133"/>
  </r>
  <r>
    <x v="321"/>
    <x v="9"/>
    <x v="0"/>
    <x v="2"/>
    <x v="1"/>
    <x v="1"/>
    <x v="12"/>
    <x v="2"/>
    <x v="3"/>
    <x v="286"/>
    <x v="295"/>
    <x v="3"/>
    <x v="18"/>
    <x v="142"/>
    <x v="3"/>
    <x v="1"/>
    <x v="4"/>
    <x v="30"/>
    <x v="1"/>
    <x v="2"/>
    <x v="0"/>
    <x v="217"/>
    <x v="229"/>
    <x v="52"/>
    <x v="120"/>
    <x v="131"/>
  </r>
  <r>
    <x v="322"/>
    <x v="36"/>
    <x v="0"/>
    <x v="4"/>
    <x v="0"/>
    <x v="0"/>
    <x v="19"/>
    <x v="3"/>
    <x v="2"/>
    <x v="287"/>
    <x v="296"/>
    <x v="3"/>
    <x v="9"/>
    <x v="60"/>
    <x v="3"/>
    <x v="2"/>
    <x v="2"/>
    <x v="27"/>
    <x v="1"/>
    <x v="3"/>
    <x v="0"/>
    <x v="18"/>
    <x v="225"/>
    <x v="63"/>
    <x v="47"/>
    <x v="86"/>
  </r>
  <r>
    <x v="323"/>
    <x v="41"/>
    <x v="1"/>
    <x v="1"/>
    <x v="4"/>
    <x v="0"/>
    <x v="10"/>
    <x v="1"/>
    <x v="3"/>
    <x v="288"/>
    <x v="297"/>
    <x v="1"/>
    <x v="32"/>
    <x v="97"/>
    <x v="1"/>
    <x v="2"/>
    <x v="0"/>
    <x v="49"/>
    <x v="1"/>
    <x v="4"/>
    <x v="1"/>
    <x v="32"/>
    <x v="211"/>
    <x v="25"/>
    <x v="22"/>
    <x v="140"/>
  </r>
  <r>
    <x v="324"/>
    <x v="61"/>
    <x v="1"/>
    <x v="2"/>
    <x v="4"/>
    <x v="4"/>
    <x v="0"/>
    <x v="3"/>
    <x v="0"/>
    <x v="289"/>
    <x v="298"/>
    <x v="1"/>
    <x v="17"/>
    <x v="160"/>
    <x v="1"/>
    <x v="0"/>
    <x v="1"/>
    <x v="125"/>
    <x v="0"/>
    <x v="2"/>
    <x v="0"/>
    <x v="60"/>
    <x v="230"/>
    <x v="4"/>
    <x v="86"/>
    <x v="131"/>
  </r>
  <r>
    <x v="325"/>
    <x v="15"/>
    <x v="1"/>
    <x v="2"/>
    <x v="0"/>
    <x v="0"/>
    <x v="8"/>
    <x v="1"/>
    <x v="1"/>
    <x v="290"/>
    <x v="299"/>
    <x v="1"/>
    <x v="24"/>
    <x v="136"/>
    <x v="1"/>
    <x v="2"/>
    <x v="1"/>
    <x v="67"/>
    <x v="1"/>
    <x v="3"/>
    <x v="0"/>
    <x v="155"/>
    <x v="231"/>
    <x v="28"/>
    <x v="130"/>
    <x v="24"/>
  </r>
  <r>
    <x v="326"/>
    <x v="59"/>
    <x v="2"/>
    <x v="0"/>
    <x v="3"/>
    <x v="5"/>
    <x v="9"/>
    <x v="3"/>
    <x v="2"/>
    <x v="78"/>
    <x v="300"/>
    <x v="3"/>
    <x v="4"/>
    <x v="117"/>
    <x v="3"/>
    <x v="0"/>
    <x v="4"/>
    <x v="134"/>
    <x v="0"/>
    <x v="3"/>
    <x v="0"/>
    <x v="1"/>
    <x v="232"/>
    <x v="10"/>
    <x v="70"/>
    <x v="118"/>
  </r>
  <r>
    <x v="327"/>
    <x v="54"/>
    <x v="2"/>
    <x v="4"/>
    <x v="1"/>
    <x v="3"/>
    <x v="7"/>
    <x v="0"/>
    <x v="3"/>
    <x v="291"/>
    <x v="301"/>
    <x v="1"/>
    <x v="20"/>
    <x v="103"/>
    <x v="1"/>
    <x v="0"/>
    <x v="3"/>
    <x v="52"/>
    <x v="0"/>
    <x v="4"/>
    <x v="0"/>
    <x v="28"/>
    <x v="178"/>
    <x v="55"/>
    <x v="32"/>
    <x v="137"/>
  </r>
  <r>
    <x v="328"/>
    <x v="37"/>
    <x v="1"/>
    <x v="0"/>
    <x v="4"/>
    <x v="1"/>
    <x v="2"/>
    <x v="1"/>
    <x v="3"/>
    <x v="159"/>
    <x v="166"/>
    <x v="1"/>
    <x v="34"/>
    <x v="161"/>
    <x v="1"/>
    <x v="2"/>
    <x v="2"/>
    <x v="98"/>
    <x v="1"/>
    <x v="0"/>
    <x v="1"/>
    <x v="218"/>
    <x v="233"/>
    <x v="79"/>
    <x v="82"/>
    <x v="141"/>
  </r>
  <r>
    <x v="329"/>
    <x v="54"/>
    <x v="2"/>
    <x v="0"/>
    <x v="3"/>
    <x v="0"/>
    <x v="6"/>
    <x v="0"/>
    <x v="2"/>
    <x v="292"/>
    <x v="302"/>
    <x v="2"/>
    <x v="3"/>
    <x v="63"/>
    <x v="2"/>
    <x v="1"/>
    <x v="0"/>
    <x v="63"/>
    <x v="1"/>
    <x v="0"/>
    <x v="0"/>
    <x v="219"/>
    <x v="234"/>
    <x v="74"/>
    <x v="15"/>
    <x v="79"/>
  </r>
  <r>
    <x v="330"/>
    <x v="7"/>
    <x v="0"/>
    <x v="1"/>
    <x v="4"/>
    <x v="1"/>
    <x v="2"/>
    <x v="1"/>
    <x v="1"/>
    <x v="81"/>
    <x v="303"/>
    <x v="1"/>
    <x v="4"/>
    <x v="162"/>
    <x v="1"/>
    <x v="2"/>
    <x v="3"/>
    <x v="1"/>
    <x v="1"/>
    <x v="2"/>
    <x v="1"/>
    <x v="88"/>
    <x v="235"/>
    <x v="79"/>
    <x v="72"/>
    <x v="26"/>
  </r>
  <r>
    <x v="331"/>
    <x v="2"/>
    <x v="0"/>
    <x v="0"/>
    <x v="2"/>
    <x v="0"/>
    <x v="9"/>
    <x v="3"/>
    <x v="3"/>
    <x v="293"/>
    <x v="304"/>
    <x v="2"/>
    <x v="36"/>
    <x v="153"/>
    <x v="2"/>
    <x v="0"/>
    <x v="1"/>
    <x v="8"/>
    <x v="0"/>
    <x v="2"/>
    <x v="1"/>
    <x v="17"/>
    <x v="236"/>
    <x v="42"/>
    <x v="7"/>
    <x v="18"/>
  </r>
  <r>
    <x v="332"/>
    <x v="18"/>
    <x v="1"/>
    <x v="4"/>
    <x v="3"/>
    <x v="0"/>
    <x v="10"/>
    <x v="3"/>
    <x v="1"/>
    <x v="294"/>
    <x v="305"/>
    <x v="1"/>
    <x v="24"/>
    <x v="163"/>
    <x v="1"/>
    <x v="2"/>
    <x v="2"/>
    <x v="55"/>
    <x v="1"/>
    <x v="0"/>
    <x v="0"/>
    <x v="137"/>
    <x v="48"/>
    <x v="74"/>
    <x v="131"/>
    <x v="141"/>
  </r>
  <r>
    <x v="333"/>
    <x v="29"/>
    <x v="2"/>
    <x v="3"/>
    <x v="2"/>
    <x v="4"/>
    <x v="2"/>
    <x v="3"/>
    <x v="2"/>
    <x v="246"/>
    <x v="306"/>
    <x v="0"/>
    <x v="63"/>
    <x v="132"/>
    <x v="0"/>
    <x v="1"/>
    <x v="0"/>
    <x v="80"/>
    <x v="1"/>
    <x v="0"/>
    <x v="1"/>
    <x v="196"/>
    <x v="231"/>
    <x v="38"/>
    <x v="96"/>
    <x v="96"/>
  </r>
  <r>
    <x v="334"/>
    <x v="66"/>
    <x v="1"/>
    <x v="1"/>
    <x v="0"/>
    <x v="0"/>
    <x v="6"/>
    <x v="3"/>
    <x v="1"/>
    <x v="184"/>
    <x v="307"/>
    <x v="2"/>
    <x v="67"/>
    <x v="164"/>
    <x v="2"/>
    <x v="0"/>
    <x v="4"/>
    <x v="49"/>
    <x v="0"/>
    <x v="1"/>
    <x v="1"/>
    <x v="220"/>
    <x v="237"/>
    <x v="17"/>
    <x v="155"/>
    <x v="37"/>
  </r>
  <r>
    <x v="335"/>
    <x v="3"/>
    <x v="1"/>
    <x v="3"/>
    <x v="0"/>
    <x v="0"/>
    <x v="10"/>
    <x v="0"/>
    <x v="2"/>
    <x v="229"/>
    <x v="308"/>
    <x v="3"/>
    <x v="3"/>
    <x v="164"/>
    <x v="3"/>
    <x v="2"/>
    <x v="4"/>
    <x v="104"/>
    <x v="1"/>
    <x v="1"/>
    <x v="1"/>
    <x v="221"/>
    <x v="238"/>
    <x v="45"/>
    <x v="52"/>
    <x v="142"/>
  </r>
  <r>
    <x v="336"/>
    <x v="12"/>
    <x v="2"/>
    <x v="0"/>
    <x v="3"/>
    <x v="3"/>
    <x v="10"/>
    <x v="3"/>
    <x v="1"/>
    <x v="148"/>
    <x v="309"/>
    <x v="1"/>
    <x v="43"/>
    <x v="165"/>
    <x v="1"/>
    <x v="2"/>
    <x v="0"/>
    <x v="10"/>
    <x v="1"/>
    <x v="3"/>
    <x v="1"/>
    <x v="183"/>
    <x v="12"/>
    <x v="11"/>
    <x v="156"/>
    <x v="86"/>
  </r>
  <r>
    <x v="337"/>
    <x v="29"/>
    <x v="2"/>
    <x v="4"/>
    <x v="1"/>
    <x v="2"/>
    <x v="13"/>
    <x v="2"/>
    <x v="3"/>
    <x v="295"/>
    <x v="310"/>
    <x v="2"/>
    <x v="3"/>
    <x v="121"/>
    <x v="2"/>
    <x v="2"/>
    <x v="1"/>
    <x v="119"/>
    <x v="1"/>
    <x v="3"/>
    <x v="0"/>
    <x v="43"/>
    <x v="239"/>
    <x v="61"/>
    <x v="28"/>
    <x v="104"/>
  </r>
  <r>
    <x v="338"/>
    <x v="59"/>
    <x v="1"/>
    <x v="1"/>
    <x v="4"/>
    <x v="0"/>
    <x v="5"/>
    <x v="3"/>
    <x v="2"/>
    <x v="296"/>
    <x v="311"/>
    <x v="0"/>
    <x v="30"/>
    <x v="150"/>
    <x v="0"/>
    <x v="0"/>
    <x v="2"/>
    <x v="96"/>
    <x v="0"/>
    <x v="0"/>
    <x v="1"/>
    <x v="211"/>
    <x v="240"/>
    <x v="9"/>
    <x v="10"/>
    <x v="50"/>
  </r>
  <r>
    <x v="339"/>
    <x v="31"/>
    <x v="2"/>
    <x v="3"/>
    <x v="2"/>
    <x v="4"/>
    <x v="3"/>
    <x v="1"/>
    <x v="1"/>
    <x v="297"/>
    <x v="312"/>
    <x v="0"/>
    <x v="44"/>
    <x v="93"/>
    <x v="0"/>
    <x v="1"/>
    <x v="1"/>
    <x v="2"/>
    <x v="1"/>
    <x v="0"/>
    <x v="1"/>
    <x v="26"/>
    <x v="234"/>
    <x v="67"/>
    <x v="145"/>
    <x v="65"/>
  </r>
  <r>
    <x v="340"/>
    <x v="24"/>
    <x v="2"/>
    <x v="2"/>
    <x v="3"/>
    <x v="0"/>
    <x v="5"/>
    <x v="2"/>
    <x v="2"/>
    <x v="298"/>
    <x v="313"/>
    <x v="1"/>
    <x v="49"/>
    <x v="36"/>
    <x v="1"/>
    <x v="2"/>
    <x v="3"/>
    <x v="41"/>
    <x v="1"/>
    <x v="3"/>
    <x v="1"/>
    <x v="222"/>
    <x v="241"/>
    <x v="62"/>
    <x v="129"/>
    <x v="100"/>
  </r>
  <r>
    <x v="341"/>
    <x v="16"/>
    <x v="1"/>
    <x v="2"/>
    <x v="2"/>
    <x v="5"/>
    <x v="4"/>
    <x v="2"/>
    <x v="0"/>
    <x v="181"/>
    <x v="314"/>
    <x v="3"/>
    <x v="6"/>
    <x v="166"/>
    <x v="3"/>
    <x v="0"/>
    <x v="2"/>
    <x v="85"/>
    <x v="0"/>
    <x v="3"/>
    <x v="0"/>
    <x v="223"/>
    <x v="238"/>
    <x v="77"/>
    <x v="142"/>
    <x v="143"/>
  </r>
  <r>
    <x v="342"/>
    <x v="18"/>
    <x v="0"/>
    <x v="3"/>
    <x v="0"/>
    <x v="0"/>
    <x v="15"/>
    <x v="3"/>
    <x v="0"/>
    <x v="299"/>
    <x v="315"/>
    <x v="2"/>
    <x v="42"/>
    <x v="21"/>
    <x v="2"/>
    <x v="2"/>
    <x v="0"/>
    <x v="80"/>
    <x v="1"/>
    <x v="2"/>
    <x v="0"/>
    <x v="179"/>
    <x v="167"/>
    <x v="47"/>
    <x v="57"/>
    <x v="33"/>
  </r>
  <r>
    <x v="343"/>
    <x v="25"/>
    <x v="1"/>
    <x v="2"/>
    <x v="4"/>
    <x v="1"/>
    <x v="6"/>
    <x v="1"/>
    <x v="1"/>
    <x v="300"/>
    <x v="316"/>
    <x v="1"/>
    <x v="49"/>
    <x v="131"/>
    <x v="1"/>
    <x v="1"/>
    <x v="1"/>
    <x v="75"/>
    <x v="1"/>
    <x v="4"/>
    <x v="0"/>
    <x v="183"/>
    <x v="41"/>
    <x v="5"/>
    <x v="73"/>
    <x v="50"/>
  </r>
  <r>
    <x v="344"/>
    <x v="32"/>
    <x v="0"/>
    <x v="0"/>
    <x v="3"/>
    <x v="1"/>
    <x v="11"/>
    <x v="1"/>
    <x v="3"/>
    <x v="301"/>
    <x v="291"/>
    <x v="3"/>
    <x v="53"/>
    <x v="83"/>
    <x v="3"/>
    <x v="2"/>
    <x v="1"/>
    <x v="45"/>
    <x v="1"/>
    <x v="2"/>
    <x v="0"/>
    <x v="224"/>
    <x v="233"/>
    <x v="75"/>
    <x v="36"/>
    <x v="94"/>
  </r>
  <r>
    <x v="345"/>
    <x v="34"/>
    <x v="1"/>
    <x v="2"/>
    <x v="2"/>
    <x v="0"/>
    <x v="14"/>
    <x v="3"/>
    <x v="2"/>
    <x v="302"/>
    <x v="237"/>
    <x v="1"/>
    <x v="9"/>
    <x v="138"/>
    <x v="1"/>
    <x v="2"/>
    <x v="3"/>
    <x v="21"/>
    <x v="1"/>
    <x v="1"/>
    <x v="0"/>
    <x v="225"/>
    <x v="45"/>
    <x v="80"/>
    <x v="99"/>
    <x v="135"/>
  </r>
  <r>
    <x v="346"/>
    <x v="44"/>
    <x v="1"/>
    <x v="3"/>
    <x v="2"/>
    <x v="2"/>
    <x v="3"/>
    <x v="1"/>
    <x v="2"/>
    <x v="303"/>
    <x v="317"/>
    <x v="3"/>
    <x v="68"/>
    <x v="88"/>
    <x v="3"/>
    <x v="2"/>
    <x v="3"/>
    <x v="53"/>
    <x v="1"/>
    <x v="1"/>
    <x v="1"/>
    <x v="226"/>
    <x v="242"/>
    <x v="49"/>
    <x v="95"/>
    <x v="63"/>
  </r>
  <r>
    <x v="347"/>
    <x v="60"/>
    <x v="0"/>
    <x v="4"/>
    <x v="2"/>
    <x v="5"/>
    <x v="7"/>
    <x v="1"/>
    <x v="3"/>
    <x v="304"/>
    <x v="318"/>
    <x v="2"/>
    <x v="6"/>
    <x v="70"/>
    <x v="2"/>
    <x v="2"/>
    <x v="3"/>
    <x v="39"/>
    <x v="1"/>
    <x v="3"/>
    <x v="0"/>
    <x v="227"/>
    <x v="243"/>
    <x v="63"/>
    <x v="78"/>
    <x v="62"/>
  </r>
  <r>
    <x v="348"/>
    <x v="59"/>
    <x v="1"/>
    <x v="0"/>
    <x v="2"/>
    <x v="0"/>
    <x v="6"/>
    <x v="2"/>
    <x v="1"/>
    <x v="305"/>
    <x v="292"/>
    <x v="2"/>
    <x v="6"/>
    <x v="167"/>
    <x v="2"/>
    <x v="1"/>
    <x v="0"/>
    <x v="114"/>
    <x v="1"/>
    <x v="2"/>
    <x v="1"/>
    <x v="50"/>
    <x v="244"/>
    <x v="29"/>
    <x v="117"/>
    <x v="144"/>
  </r>
  <r>
    <x v="349"/>
    <x v="42"/>
    <x v="2"/>
    <x v="2"/>
    <x v="0"/>
    <x v="3"/>
    <x v="7"/>
    <x v="0"/>
    <x v="0"/>
    <x v="306"/>
    <x v="319"/>
    <x v="0"/>
    <x v="6"/>
    <x v="107"/>
    <x v="0"/>
    <x v="2"/>
    <x v="1"/>
    <x v="42"/>
    <x v="1"/>
    <x v="3"/>
    <x v="0"/>
    <x v="228"/>
    <x v="183"/>
    <x v="48"/>
    <x v="110"/>
    <x v="22"/>
  </r>
  <r>
    <x v="350"/>
    <x v="19"/>
    <x v="2"/>
    <x v="3"/>
    <x v="2"/>
    <x v="0"/>
    <x v="8"/>
    <x v="1"/>
    <x v="0"/>
    <x v="307"/>
    <x v="320"/>
    <x v="2"/>
    <x v="16"/>
    <x v="50"/>
    <x v="2"/>
    <x v="2"/>
    <x v="4"/>
    <x v="36"/>
    <x v="1"/>
    <x v="0"/>
    <x v="1"/>
    <x v="169"/>
    <x v="1"/>
    <x v="9"/>
    <x v="72"/>
    <x v="9"/>
  </r>
  <r>
    <x v="351"/>
    <x v="54"/>
    <x v="0"/>
    <x v="0"/>
    <x v="0"/>
    <x v="0"/>
    <x v="9"/>
    <x v="0"/>
    <x v="0"/>
    <x v="308"/>
    <x v="321"/>
    <x v="0"/>
    <x v="36"/>
    <x v="31"/>
    <x v="0"/>
    <x v="2"/>
    <x v="1"/>
    <x v="89"/>
    <x v="1"/>
    <x v="4"/>
    <x v="0"/>
    <x v="229"/>
    <x v="245"/>
    <x v="13"/>
    <x v="82"/>
    <x v="109"/>
  </r>
  <r>
    <x v="352"/>
    <x v="42"/>
    <x v="1"/>
    <x v="3"/>
    <x v="1"/>
    <x v="0"/>
    <x v="7"/>
    <x v="0"/>
    <x v="0"/>
    <x v="309"/>
    <x v="322"/>
    <x v="2"/>
    <x v="69"/>
    <x v="14"/>
    <x v="2"/>
    <x v="1"/>
    <x v="1"/>
    <x v="92"/>
    <x v="1"/>
    <x v="3"/>
    <x v="0"/>
    <x v="67"/>
    <x v="86"/>
    <x v="64"/>
    <x v="124"/>
    <x v="110"/>
  </r>
  <r>
    <x v="353"/>
    <x v="12"/>
    <x v="1"/>
    <x v="0"/>
    <x v="0"/>
    <x v="0"/>
    <x v="11"/>
    <x v="1"/>
    <x v="0"/>
    <x v="185"/>
    <x v="323"/>
    <x v="0"/>
    <x v="47"/>
    <x v="69"/>
    <x v="0"/>
    <x v="0"/>
    <x v="3"/>
    <x v="104"/>
    <x v="0"/>
    <x v="2"/>
    <x v="0"/>
    <x v="230"/>
    <x v="29"/>
    <x v="70"/>
    <x v="31"/>
    <x v="142"/>
  </r>
  <r>
    <x v="354"/>
    <x v="63"/>
    <x v="2"/>
    <x v="1"/>
    <x v="0"/>
    <x v="5"/>
    <x v="4"/>
    <x v="2"/>
    <x v="0"/>
    <x v="310"/>
    <x v="324"/>
    <x v="2"/>
    <x v="62"/>
    <x v="118"/>
    <x v="2"/>
    <x v="2"/>
    <x v="2"/>
    <x v="9"/>
    <x v="1"/>
    <x v="1"/>
    <x v="0"/>
    <x v="126"/>
    <x v="46"/>
    <x v="16"/>
    <x v="153"/>
    <x v="145"/>
  </r>
  <r>
    <x v="355"/>
    <x v="12"/>
    <x v="2"/>
    <x v="1"/>
    <x v="0"/>
    <x v="3"/>
    <x v="4"/>
    <x v="1"/>
    <x v="2"/>
    <x v="311"/>
    <x v="325"/>
    <x v="1"/>
    <x v="3"/>
    <x v="109"/>
    <x v="1"/>
    <x v="1"/>
    <x v="3"/>
    <x v="85"/>
    <x v="1"/>
    <x v="0"/>
    <x v="0"/>
    <x v="83"/>
    <x v="246"/>
    <x v="21"/>
    <x v="69"/>
    <x v="119"/>
  </r>
  <r>
    <x v="356"/>
    <x v="44"/>
    <x v="0"/>
    <x v="1"/>
    <x v="2"/>
    <x v="0"/>
    <x v="9"/>
    <x v="1"/>
    <x v="1"/>
    <x v="312"/>
    <x v="326"/>
    <x v="1"/>
    <x v="28"/>
    <x v="6"/>
    <x v="1"/>
    <x v="0"/>
    <x v="2"/>
    <x v="65"/>
    <x v="0"/>
    <x v="2"/>
    <x v="1"/>
    <x v="231"/>
    <x v="247"/>
    <x v="72"/>
    <x v="129"/>
    <x v="39"/>
  </r>
  <r>
    <x v="357"/>
    <x v="58"/>
    <x v="2"/>
    <x v="3"/>
    <x v="2"/>
    <x v="0"/>
    <x v="16"/>
    <x v="2"/>
    <x v="1"/>
    <x v="313"/>
    <x v="327"/>
    <x v="1"/>
    <x v="36"/>
    <x v="133"/>
    <x v="1"/>
    <x v="2"/>
    <x v="1"/>
    <x v="52"/>
    <x v="1"/>
    <x v="4"/>
    <x v="0"/>
    <x v="232"/>
    <x v="122"/>
    <x v="30"/>
    <x v="24"/>
    <x v="112"/>
  </r>
  <r>
    <x v="358"/>
    <x v="29"/>
    <x v="0"/>
    <x v="1"/>
    <x v="2"/>
    <x v="4"/>
    <x v="11"/>
    <x v="3"/>
    <x v="1"/>
    <x v="314"/>
    <x v="328"/>
    <x v="1"/>
    <x v="70"/>
    <x v="168"/>
    <x v="1"/>
    <x v="1"/>
    <x v="1"/>
    <x v="99"/>
    <x v="1"/>
    <x v="2"/>
    <x v="0"/>
    <x v="38"/>
    <x v="238"/>
    <x v="22"/>
    <x v="149"/>
    <x v="146"/>
  </r>
  <r>
    <x v="359"/>
    <x v="36"/>
    <x v="0"/>
    <x v="0"/>
    <x v="3"/>
    <x v="3"/>
    <x v="2"/>
    <x v="1"/>
    <x v="3"/>
    <x v="190"/>
    <x v="329"/>
    <x v="0"/>
    <x v="6"/>
    <x v="91"/>
    <x v="0"/>
    <x v="0"/>
    <x v="4"/>
    <x v="111"/>
    <x v="0"/>
    <x v="4"/>
    <x v="0"/>
    <x v="158"/>
    <x v="107"/>
    <x v="11"/>
    <x v="62"/>
    <x v="147"/>
  </r>
  <r>
    <x v="360"/>
    <x v="26"/>
    <x v="1"/>
    <x v="2"/>
    <x v="4"/>
    <x v="4"/>
    <x v="11"/>
    <x v="1"/>
    <x v="1"/>
    <x v="315"/>
    <x v="330"/>
    <x v="0"/>
    <x v="3"/>
    <x v="137"/>
    <x v="0"/>
    <x v="2"/>
    <x v="2"/>
    <x v="36"/>
    <x v="1"/>
    <x v="2"/>
    <x v="1"/>
    <x v="60"/>
    <x v="36"/>
    <x v="21"/>
    <x v="142"/>
    <x v="29"/>
  </r>
  <r>
    <x v="361"/>
    <x v="54"/>
    <x v="0"/>
    <x v="4"/>
    <x v="2"/>
    <x v="0"/>
    <x v="11"/>
    <x v="2"/>
    <x v="3"/>
    <x v="316"/>
    <x v="217"/>
    <x v="0"/>
    <x v="71"/>
    <x v="75"/>
    <x v="0"/>
    <x v="2"/>
    <x v="1"/>
    <x v="132"/>
    <x v="1"/>
    <x v="0"/>
    <x v="1"/>
    <x v="128"/>
    <x v="113"/>
    <x v="35"/>
    <x v="140"/>
    <x v="11"/>
  </r>
  <r>
    <x v="362"/>
    <x v="17"/>
    <x v="0"/>
    <x v="0"/>
    <x v="1"/>
    <x v="0"/>
    <x v="1"/>
    <x v="3"/>
    <x v="2"/>
    <x v="41"/>
    <x v="331"/>
    <x v="2"/>
    <x v="72"/>
    <x v="169"/>
    <x v="2"/>
    <x v="2"/>
    <x v="3"/>
    <x v="16"/>
    <x v="1"/>
    <x v="1"/>
    <x v="1"/>
    <x v="233"/>
    <x v="248"/>
    <x v="16"/>
    <x v="157"/>
    <x v="85"/>
  </r>
  <r>
    <x v="363"/>
    <x v="39"/>
    <x v="2"/>
    <x v="2"/>
    <x v="4"/>
    <x v="0"/>
    <x v="10"/>
    <x v="2"/>
    <x v="1"/>
    <x v="317"/>
    <x v="332"/>
    <x v="0"/>
    <x v="4"/>
    <x v="46"/>
    <x v="0"/>
    <x v="2"/>
    <x v="1"/>
    <x v="11"/>
    <x v="1"/>
    <x v="1"/>
    <x v="0"/>
    <x v="140"/>
    <x v="171"/>
    <x v="14"/>
    <x v="158"/>
    <x v="28"/>
  </r>
  <r>
    <x v="364"/>
    <x v="8"/>
    <x v="0"/>
    <x v="1"/>
    <x v="1"/>
    <x v="0"/>
    <x v="13"/>
    <x v="3"/>
    <x v="3"/>
    <x v="169"/>
    <x v="333"/>
    <x v="3"/>
    <x v="69"/>
    <x v="134"/>
    <x v="3"/>
    <x v="2"/>
    <x v="1"/>
    <x v="46"/>
    <x v="1"/>
    <x v="3"/>
    <x v="1"/>
    <x v="55"/>
    <x v="70"/>
    <x v="25"/>
    <x v="159"/>
    <x v="42"/>
  </r>
  <r>
    <x v="365"/>
    <x v="58"/>
    <x v="2"/>
    <x v="0"/>
    <x v="4"/>
    <x v="1"/>
    <x v="8"/>
    <x v="0"/>
    <x v="1"/>
    <x v="318"/>
    <x v="110"/>
    <x v="3"/>
    <x v="34"/>
    <x v="74"/>
    <x v="3"/>
    <x v="1"/>
    <x v="1"/>
    <x v="75"/>
    <x v="1"/>
    <x v="2"/>
    <x v="1"/>
    <x v="8"/>
    <x v="249"/>
    <x v="85"/>
    <x v="113"/>
    <x v="139"/>
  </r>
  <r>
    <x v="366"/>
    <x v="14"/>
    <x v="1"/>
    <x v="1"/>
    <x v="4"/>
    <x v="0"/>
    <x v="12"/>
    <x v="3"/>
    <x v="1"/>
    <x v="319"/>
    <x v="334"/>
    <x v="2"/>
    <x v="58"/>
    <x v="1"/>
    <x v="2"/>
    <x v="1"/>
    <x v="1"/>
    <x v="58"/>
    <x v="1"/>
    <x v="4"/>
    <x v="0"/>
    <x v="138"/>
    <x v="23"/>
    <x v="80"/>
    <x v="112"/>
    <x v="50"/>
  </r>
  <r>
    <x v="367"/>
    <x v="54"/>
    <x v="1"/>
    <x v="3"/>
    <x v="1"/>
    <x v="3"/>
    <x v="6"/>
    <x v="3"/>
    <x v="1"/>
    <x v="320"/>
    <x v="130"/>
    <x v="2"/>
    <x v="4"/>
    <x v="80"/>
    <x v="2"/>
    <x v="1"/>
    <x v="4"/>
    <x v="136"/>
    <x v="1"/>
    <x v="1"/>
    <x v="0"/>
    <x v="234"/>
    <x v="250"/>
    <x v="18"/>
    <x v="41"/>
    <x v="69"/>
  </r>
  <r>
    <x v="368"/>
    <x v="17"/>
    <x v="0"/>
    <x v="3"/>
    <x v="3"/>
    <x v="2"/>
    <x v="1"/>
    <x v="1"/>
    <x v="3"/>
    <x v="321"/>
    <x v="335"/>
    <x v="3"/>
    <x v="4"/>
    <x v="152"/>
    <x v="3"/>
    <x v="2"/>
    <x v="4"/>
    <x v="92"/>
    <x v="1"/>
    <x v="0"/>
    <x v="0"/>
    <x v="235"/>
    <x v="237"/>
    <x v="27"/>
    <x v="87"/>
    <x v="128"/>
  </r>
  <r>
    <x v="369"/>
    <x v="52"/>
    <x v="2"/>
    <x v="0"/>
    <x v="4"/>
    <x v="3"/>
    <x v="3"/>
    <x v="2"/>
    <x v="3"/>
    <x v="207"/>
    <x v="336"/>
    <x v="0"/>
    <x v="24"/>
    <x v="19"/>
    <x v="0"/>
    <x v="0"/>
    <x v="1"/>
    <x v="126"/>
    <x v="0"/>
    <x v="4"/>
    <x v="0"/>
    <x v="155"/>
    <x v="251"/>
    <x v="18"/>
    <x v="160"/>
    <x v="94"/>
  </r>
  <r>
    <x v="370"/>
    <x v="10"/>
    <x v="0"/>
    <x v="0"/>
    <x v="3"/>
    <x v="0"/>
    <x v="13"/>
    <x v="3"/>
    <x v="0"/>
    <x v="322"/>
    <x v="337"/>
    <x v="0"/>
    <x v="3"/>
    <x v="107"/>
    <x v="0"/>
    <x v="2"/>
    <x v="2"/>
    <x v="9"/>
    <x v="1"/>
    <x v="0"/>
    <x v="1"/>
    <x v="236"/>
    <x v="252"/>
    <x v="25"/>
    <x v="73"/>
    <x v="1"/>
  </r>
  <r>
    <x v="371"/>
    <x v="56"/>
    <x v="1"/>
    <x v="4"/>
    <x v="3"/>
    <x v="5"/>
    <x v="17"/>
    <x v="2"/>
    <x v="2"/>
    <x v="323"/>
    <x v="338"/>
    <x v="1"/>
    <x v="9"/>
    <x v="119"/>
    <x v="1"/>
    <x v="0"/>
    <x v="4"/>
    <x v="134"/>
    <x v="0"/>
    <x v="0"/>
    <x v="1"/>
    <x v="237"/>
    <x v="194"/>
    <x v="32"/>
    <x v="26"/>
    <x v="39"/>
  </r>
  <r>
    <x v="372"/>
    <x v="63"/>
    <x v="2"/>
    <x v="4"/>
    <x v="4"/>
    <x v="0"/>
    <x v="11"/>
    <x v="3"/>
    <x v="3"/>
    <x v="13"/>
    <x v="339"/>
    <x v="0"/>
    <x v="3"/>
    <x v="113"/>
    <x v="0"/>
    <x v="2"/>
    <x v="3"/>
    <x v="137"/>
    <x v="1"/>
    <x v="3"/>
    <x v="1"/>
    <x v="63"/>
    <x v="253"/>
    <x v="54"/>
    <x v="24"/>
    <x v="34"/>
  </r>
  <r>
    <x v="373"/>
    <x v="32"/>
    <x v="1"/>
    <x v="0"/>
    <x v="3"/>
    <x v="5"/>
    <x v="8"/>
    <x v="1"/>
    <x v="1"/>
    <x v="324"/>
    <x v="340"/>
    <x v="1"/>
    <x v="31"/>
    <x v="87"/>
    <x v="1"/>
    <x v="0"/>
    <x v="0"/>
    <x v="9"/>
    <x v="0"/>
    <x v="4"/>
    <x v="1"/>
    <x v="238"/>
    <x v="185"/>
    <x v="10"/>
    <x v="18"/>
    <x v="33"/>
  </r>
  <r>
    <x v="374"/>
    <x v="32"/>
    <x v="1"/>
    <x v="0"/>
    <x v="4"/>
    <x v="5"/>
    <x v="14"/>
    <x v="2"/>
    <x v="3"/>
    <x v="325"/>
    <x v="341"/>
    <x v="2"/>
    <x v="6"/>
    <x v="141"/>
    <x v="2"/>
    <x v="2"/>
    <x v="0"/>
    <x v="112"/>
    <x v="1"/>
    <x v="3"/>
    <x v="0"/>
    <x v="239"/>
    <x v="148"/>
    <x v="86"/>
    <x v="132"/>
    <x v="63"/>
  </r>
  <r>
    <x v="375"/>
    <x v="38"/>
    <x v="0"/>
    <x v="1"/>
    <x v="1"/>
    <x v="1"/>
    <x v="7"/>
    <x v="1"/>
    <x v="3"/>
    <x v="326"/>
    <x v="237"/>
    <x v="1"/>
    <x v="5"/>
    <x v="83"/>
    <x v="1"/>
    <x v="1"/>
    <x v="2"/>
    <x v="86"/>
    <x v="1"/>
    <x v="2"/>
    <x v="1"/>
    <x v="81"/>
    <x v="152"/>
    <x v="76"/>
    <x v="124"/>
    <x v="43"/>
  </r>
  <r>
    <x v="376"/>
    <x v="32"/>
    <x v="1"/>
    <x v="2"/>
    <x v="3"/>
    <x v="1"/>
    <x v="17"/>
    <x v="1"/>
    <x v="2"/>
    <x v="300"/>
    <x v="342"/>
    <x v="2"/>
    <x v="3"/>
    <x v="32"/>
    <x v="2"/>
    <x v="2"/>
    <x v="1"/>
    <x v="19"/>
    <x v="1"/>
    <x v="1"/>
    <x v="0"/>
    <x v="219"/>
    <x v="229"/>
    <x v="52"/>
    <x v="161"/>
    <x v="81"/>
  </r>
  <r>
    <x v="377"/>
    <x v="4"/>
    <x v="1"/>
    <x v="1"/>
    <x v="3"/>
    <x v="0"/>
    <x v="11"/>
    <x v="3"/>
    <x v="3"/>
    <x v="327"/>
    <x v="343"/>
    <x v="1"/>
    <x v="25"/>
    <x v="170"/>
    <x v="1"/>
    <x v="2"/>
    <x v="2"/>
    <x v="40"/>
    <x v="1"/>
    <x v="4"/>
    <x v="0"/>
    <x v="240"/>
    <x v="254"/>
    <x v="80"/>
    <x v="147"/>
    <x v="17"/>
  </r>
  <r>
    <x v="378"/>
    <x v="51"/>
    <x v="2"/>
    <x v="0"/>
    <x v="0"/>
    <x v="4"/>
    <x v="9"/>
    <x v="2"/>
    <x v="3"/>
    <x v="328"/>
    <x v="344"/>
    <x v="1"/>
    <x v="28"/>
    <x v="141"/>
    <x v="1"/>
    <x v="2"/>
    <x v="3"/>
    <x v="75"/>
    <x v="1"/>
    <x v="4"/>
    <x v="1"/>
    <x v="241"/>
    <x v="136"/>
    <x v="13"/>
    <x v="111"/>
    <x v="82"/>
  </r>
  <r>
    <x v="379"/>
    <x v="28"/>
    <x v="0"/>
    <x v="1"/>
    <x v="2"/>
    <x v="0"/>
    <x v="1"/>
    <x v="0"/>
    <x v="3"/>
    <x v="329"/>
    <x v="345"/>
    <x v="2"/>
    <x v="6"/>
    <x v="93"/>
    <x v="2"/>
    <x v="1"/>
    <x v="3"/>
    <x v="105"/>
    <x v="1"/>
    <x v="2"/>
    <x v="0"/>
    <x v="184"/>
    <x v="68"/>
    <x v="47"/>
    <x v="30"/>
    <x v="13"/>
  </r>
  <r>
    <x v="380"/>
    <x v="43"/>
    <x v="2"/>
    <x v="0"/>
    <x v="0"/>
    <x v="0"/>
    <x v="19"/>
    <x v="2"/>
    <x v="3"/>
    <x v="330"/>
    <x v="346"/>
    <x v="0"/>
    <x v="4"/>
    <x v="103"/>
    <x v="0"/>
    <x v="2"/>
    <x v="0"/>
    <x v="10"/>
    <x v="1"/>
    <x v="0"/>
    <x v="1"/>
    <x v="242"/>
    <x v="146"/>
    <x v="68"/>
    <x v="159"/>
    <x v="134"/>
  </r>
  <r>
    <x v="381"/>
    <x v="39"/>
    <x v="1"/>
    <x v="4"/>
    <x v="3"/>
    <x v="4"/>
    <x v="5"/>
    <x v="3"/>
    <x v="2"/>
    <x v="224"/>
    <x v="347"/>
    <x v="1"/>
    <x v="12"/>
    <x v="112"/>
    <x v="1"/>
    <x v="0"/>
    <x v="3"/>
    <x v="33"/>
    <x v="0"/>
    <x v="0"/>
    <x v="1"/>
    <x v="243"/>
    <x v="255"/>
    <x v="66"/>
    <x v="3"/>
    <x v="54"/>
  </r>
  <r>
    <x v="382"/>
    <x v="8"/>
    <x v="0"/>
    <x v="1"/>
    <x v="1"/>
    <x v="0"/>
    <x v="13"/>
    <x v="1"/>
    <x v="0"/>
    <x v="331"/>
    <x v="348"/>
    <x v="3"/>
    <x v="9"/>
    <x v="45"/>
    <x v="3"/>
    <x v="0"/>
    <x v="4"/>
    <x v="138"/>
    <x v="0"/>
    <x v="2"/>
    <x v="0"/>
    <x v="220"/>
    <x v="43"/>
    <x v="16"/>
    <x v="61"/>
    <x v="148"/>
  </r>
  <r>
    <x v="383"/>
    <x v="37"/>
    <x v="0"/>
    <x v="1"/>
    <x v="2"/>
    <x v="0"/>
    <x v="10"/>
    <x v="2"/>
    <x v="2"/>
    <x v="332"/>
    <x v="349"/>
    <x v="2"/>
    <x v="72"/>
    <x v="129"/>
    <x v="2"/>
    <x v="0"/>
    <x v="2"/>
    <x v="139"/>
    <x v="0"/>
    <x v="2"/>
    <x v="0"/>
    <x v="147"/>
    <x v="46"/>
    <x v="53"/>
    <x v="107"/>
    <x v="149"/>
  </r>
  <r>
    <x v="384"/>
    <x v="63"/>
    <x v="0"/>
    <x v="2"/>
    <x v="0"/>
    <x v="3"/>
    <x v="1"/>
    <x v="2"/>
    <x v="1"/>
    <x v="333"/>
    <x v="350"/>
    <x v="0"/>
    <x v="6"/>
    <x v="12"/>
    <x v="0"/>
    <x v="1"/>
    <x v="1"/>
    <x v="140"/>
    <x v="1"/>
    <x v="3"/>
    <x v="1"/>
    <x v="244"/>
    <x v="169"/>
    <x v="65"/>
    <x v="50"/>
    <x v="71"/>
  </r>
  <r>
    <x v="385"/>
    <x v="4"/>
    <x v="0"/>
    <x v="4"/>
    <x v="4"/>
    <x v="0"/>
    <x v="18"/>
    <x v="0"/>
    <x v="1"/>
    <x v="334"/>
    <x v="351"/>
    <x v="3"/>
    <x v="3"/>
    <x v="8"/>
    <x v="3"/>
    <x v="0"/>
    <x v="0"/>
    <x v="141"/>
    <x v="0"/>
    <x v="4"/>
    <x v="0"/>
    <x v="48"/>
    <x v="222"/>
    <x v="78"/>
    <x v="82"/>
    <x v="82"/>
  </r>
  <r>
    <x v="386"/>
    <x v="29"/>
    <x v="0"/>
    <x v="0"/>
    <x v="0"/>
    <x v="0"/>
    <x v="16"/>
    <x v="1"/>
    <x v="3"/>
    <x v="335"/>
    <x v="352"/>
    <x v="3"/>
    <x v="9"/>
    <x v="62"/>
    <x v="3"/>
    <x v="2"/>
    <x v="1"/>
    <x v="23"/>
    <x v="1"/>
    <x v="0"/>
    <x v="1"/>
    <x v="245"/>
    <x v="256"/>
    <x v="51"/>
    <x v="162"/>
    <x v="150"/>
  </r>
  <r>
    <x v="387"/>
    <x v="27"/>
    <x v="2"/>
    <x v="3"/>
    <x v="4"/>
    <x v="1"/>
    <x v="15"/>
    <x v="2"/>
    <x v="1"/>
    <x v="58"/>
    <x v="353"/>
    <x v="0"/>
    <x v="34"/>
    <x v="59"/>
    <x v="0"/>
    <x v="1"/>
    <x v="0"/>
    <x v="111"/>
    <x v="1"/>
    <x v="0"/>
    <x v="0"/>
    <x v="246"/>
    <x v="46"/>
    <x v="42"/>
    <x v="92"/>
    <x v="3"/>
  </r>
  <r>
    <x v="388"/>
    <x v="59"/>
    <x v="1"/>
    <x v="1"/>
    <x v="3"/>
    <x v="0"/>
    <x v="3"/>
    <x v="2"/>
    <x v="0"/>
    <x v="336"/>
    <x v="354"/>
    <x v="1"/>
    <x v="21"/>
    <x v="171"/>
    <x v="1"/>
    <x v="0"/>
    <x v="3"/>
    <x v="115"/>
    <x v="0"/>
    <x v="2"/>
    <x v="1"/>
    <x v="247"/>
    <x v="53"/>
    <x v="61"/>
    <x v="163"/>
    <x v="123"/>
  </r>
  <r>
    <x v="389"/>
    <x v="58"/>
    <x v="0"/>
    <x v="2"/>
    <x v="2"/>
    <x v="4"/>
    <x v="18"/>
    <x v="3"/>
    <x v="2"/>
    <x v="337"/>
    <x v="355"/>
    <x v="1"/>
    <x v="9"/>
    <x v="94"/>
    <x v="1"/>
    <x v="2"/>
    <x v="1"/>
    <x v="80"/>
    <x v="1"/>
    <x v="3"/>
    <x v="1"/>
    <x v="248"/>
    <x v="215"/>
    <x v="81"/>
    <x v="5"/>
    <x v="147"/>
  </r>
  <r>
    <x v="390"/>
    <x v="6"/>
    <x v="0"/>
    <x v="2"/>
    <x v="0"/>
    <x v="3"/>
    <x v="8"/>
    <x v="1"/>
    <x v="2"/>
    <x v="53"/>
    <x v="356"/>
    <x v="3"/>
    <x v="3"/>
    <x v="4"/>
    <x v="3"/>
    <x v="0"/>
    <x v="1"/>
    <x v="124"/>
    <x v="0"/>
    <x v="0"/>
    <x v="1"/>
    <x v="124"/>
    <x v="257"/>
    <x v="10"/>
    <x v="164"/>
    <x v="93"/>
  </r>
  <r>
    <x v="391"/>
    <x v="62"/>
    <x v="1"/>
    <x v="0"/>
    <x v="3"/>
    <x v="0"/>
    <x v="13"/>
    <x v="0"/>
    <x v="1"/>
    <x v="294"/>
    <x v="357"/>
    <x v="1"/>
    <x v="62"/>
    <x v="59"/>
    <x v="1"/>
    <x v="2"/>
    <x v="0"/>
    <x v="142"/>
    <x v="1"/>
    <x v="4"/>
    <x v="1"/>
    <x v="18"/>
    <x v="143"/>
    <x v="35"/>
    <x v="141"/>
    <x v="59"/>
  </r>
  <r>
    <x v="392"/>
    <x v="7"/>
    <x v="1"/>
    <x v="4"/>
    <x v="2"/>
    <x v="0"/>
    <x v="17"/>
    <x v="3"/>
    <x v="2"/>
    <x v="338"/>
    <x v="358"/>
    <x v="1"/>
    <x v="0"/>
    <x v="16"/>
    <x v="1"/>
    <x v="1"/>
    <x v="0"/>
    <x v="70"/>
    <x v="1"/>
    <x v="1"/>
    <x v="1"/>
    <x v="186"/>
    <x v="258"/>
    <x v="35"/>
    <x v="59"/>
    <x v="38"/>
  </r>
  <r>
    <x v="393"/>
    <x v="4"/>
    <x v="0"/>
    <x v="0"/>
    <x v="3"/>
    <x v="5"/>
    <x v="7"/>
    <x v="1"/>
    <x v="3"/>
    <x v="339"/>
    <x v="359"/>
    <x v="2"/>
    <x v="3"/>
    <x v="19"/>
    <x v="2"/>
    <x v="0"/>
    <x v="1"/>
    <x v="89"/>
    <x v="0"/>
    <x v="4"/>
    <x v="0"/>
    <x v="204"/>
    <x v="109"/>
    <x v="53"/>
    <x v="85"/>
    <x v="89"/>
  </r>
  <r>
    <x v="394"/>
    <x v="50"/>
    <x v="2"/>
    <x v="2"/>
    <x v="1"/>
    <x v="3"/>
    <x v="4"/>
    <x v="1"/>
    <x v="0"/>
    <x v="340"/>
    <x v="360"/>
    <x v="2"/>
    <x v="6"/>
    <x v="166"/>
    <x v="2"/>
    <x v="1"/>
    <x v="0"/>
    <x v="106"/>
    <x v="1"/>
    <x v="0"/>
    <x v="1"/>
    <x v="249"/>
    <x v="228"/>
    <x v="52"/>
    <x v="49"/>
    <x v="53"/>
  </r>
  <r>
    <x v="395"/>
    <x v="12"/>
    <x v="2"/>
    <x v="0"/>
    <x v="1"/>
    <x v="0"/>
    <x v="7"/>
    <x v="0"/>
    <x v="0"/>
    <x v="3"/>
    <x v="361"/>
    <x v="1"/>
    <x v="3"/>
    <x v="70"/>
    <x v="1"/>
    <x v="1"/>
    <x v="2"/>
    <x v="118"/>
    <x v="1"/>
    <x v="4"/>
    <x v="0"/>
    <x v="131"/>
    <x v="118"/>
    <x v="76"/>
    <x v="41"/>
    <x v="133"/>
  </r>
  <r>
    <x v="396"/>
    <x v="53"/>
    <x v="2"/>
    <x v="3"/>
    <x v="4"/>
    <x v="0"/>
    <x v="10"/>
    <x v="2"/>
    <x v="2"/>
    <x v="341"/>
    <x v="362"/>
    <x v="2"/>
    <x v="8"/>
    <x v="23"/>
    <x v="2"/>
    <x v="1"/>
    <x v="2"/>
    <x v="143"/>
    <x v="1"/>
    <x v="3"/>
    <x v="1"/>
    <x v="81"/>
    <x v="177"/>
    <x v="50"/>
    <x v="123"/>
    <x v="151"/>
  </r>
  <r>
    <x v="397"/>
    <x v="10"/>
    <x v="0"/>
    <x v="1"/>
    <x v="0"/>
    <x v="4"/>
    <x v="4"/>
    <x v="3"/>
    <x v="1"/>
    <x v="342"/>
    <x v="363"/>
    <x v="3"/>
    <x v="10"/>
    <x v="79"/>
    <x v="3"/>
    <x v="0"/>
    <x v="4"/>
    <x v="144"/>
    <x v="0"/>
    <x v="3"/>
    <x v="1"/>
    <x v="196"/>
    <x v="130"/>
    <x v="67"/>
    <x v="79"/>
    <x v="21"/>
  </r>
  <r>
    <x v="398"/>
    <x v="32"/>
    <x v="1"/>
    <x v="2"/>
    <x v="4"/>
    <x v="1"/>
    <x v="15"/>
    <x v="3"/>
    <x v="3"/>
    <x v="51"/>
    <x v="364"/>
    <x v="0"/>
    <x v="6"/>
    <x v="144"/>
    <x v="0"/>
    <x v="1"/>
    <x v="0"/>
    <x v="37"/>
    <x v="1"/>
    <x v="1"/>
    <x v="1"/>
    <x v="198"/>
    <x v="225"/>
    <x v="61"/>
    <x v="76"/>
    <x v="142"/>
  </r>
  <r>
    <x v="399"/>
    <x v="55"/>
    <x v="2"/>
    <x v="0"/>
    <x v="2"/>
    <x v="1"/>
    <x v="17"/>
    <x v="3"/>
    <x v="3"/>
    <x v="266"/>
    <x v="365"/>
    <x v="1"/>
    <x v="55"/>
    <x v="161"/>
    <x v="1"/>
    <x v="1"/>
    <x v="0"/>
    <x v="95"/>
    <x v="1"/>
    <x v="2"/>
    <x v="1"/>
    <x v="250"/>
    <x v="141"/>
    <x v="67"/>
    <x v="106"/>
    <x v="152"/>
  </r>
  <r>
    <x v="400"/>
    <x v="67"/>
    <x v="0"/>
    <x v="3"/>
    <x v="3"/>
    <x v="0"/>
    <x v="16"/>
    <x v="3"/>
    <x v="0"/>
    <x v="343"/>
    <x v="366"/>
    <x v="1"/>
    <x v="59"/>
    <x v="56"/>
    <x v="1"/>
    <x v="1"/>
    <x v="4"/>
    <x v="31"/>
    <x v="1"/>
    <x v="4"/>
    <x v="1"/>
    <x v="190"/>
    <x v="196"/>
    <x v="29"/>
    <x v="134"/>
    <x v="153"/>
  </r>
  <r>
    <x v="401"/>
    <x v="19"/>
    <x v="0"/>
    <x v="3"/>
    <x v="4"/>
    <x v="5"/>
    <x v="14"/>
    <x v="2"/>
    <x v="0"/>
    <x v="344"/>
    <x v="367"/>
    <x v="3"/>
    <x v="66"/>
    <x v="135"/>
    <x v="3"/>
    <x v="1"/>
    <x v="1"/>
    <x v="79"/>
    <x v="1"/>
    <x v="0"/>
    <x v="0"/>
    <x v="52"/>
    <x v="73"/>
    <x v="71"/>
    <x v="4"/>
    <x v="14"/>
  </r>
  <r>
    <x v="402"/>
    <x v="29"/>
    <x v="1"/>
    <x v="0"/>
    <x v="1"/>
    <x v="5"/>
    <x v="15"/>
    <x v="3"/>
    <x v="1"/>
    <x v="345"/>
    <x v="27"/>
    <x v="1"/>
    <x v="73"/>
    <x v="43"/>
    <x v="1"/>
    <x v="1"/>
    <x v="4"/>
    <x v="109"/>
    <x v="1"/>
    <x v="0"/>
    <x v="0"/>
    <x v="188"/>
    <x v="259"/>
    <x v="71"/>
    <x v="89"/>
    <x v="55"/>
  </r>
  <r>
    <x v="403"/>
    <x v="21"/>
    <x v="1"/>
    <x v="3"/>
    <x v="3"/>
    <x v="0"/>
    <x v="8"/>
    <x v="3"/>
    <x v="3"/>
    <x v="346"/>
    <x v="265"/>
    <x v="1"/>
    <x v="3"/>
    <x v="2"/>
    <x v="1"/>
    <x v="0"/>
    <x v="4"/>
    <x v="23"/>
    <x v="0"/>
    <x v="3"/>
    <x v="0"/>
    <x v="251"/>
    <x v="190"/>
    <x v="72"/>
    <x v="112"/>
    <x v="1"/>
  </r>
  <r>
    <x v="404"/>
    <x v="3"/>
    <x v="0"/>
    <x v="3"/>
    <x v="2"/>
    <x v="1"/>
    <x v="15"/>
    <x v="1"/>
    <x v="0"/>
    <x v="347"/>
    <x v="368"/>
    <x v="3"/>
    <x v="9"/>
    <x v="114"/>
    <x v="3"/>
    <x v="0"/>
    <x v="0"/>
    <x v="145"/>
    <x v="0"/>
    <x v="0"/>
    <x v="1"/>
    <x v="172"/>
    <x v="11"/>
    <x v="54"/>
    <x v="121"/>
    <x v="76"/>
  </r>
  <r>
    <x v="405"/>
    <x v="14"/>
    <x v="1"/>
    <x v="4"/>
    <x v="1"/>
    <x v="0"/>
    <x v="4"/>
    <x v="1"/>
    <x v="3"/>
    <x v="224"/>
    <x v="123"/>
    <x v="3"/>
    <x v="74"/>
    <x v="86"/>
    <x v="3"/>
    <x v="1"/>
    <x v="4"/>
    <x v="78"/>
    <x v="1"/>
    <x v="1"/>
    <x v="1"/>
    <x v="252"/>
    <x v="24"/>
    <x v="78"/>
    <x v="65"/>
    <x v="83"/>
  </r>
  <r>
    <x v="406"/>
    <x v="56"/>
    <x v="0"/>
    <x v="3"/>
    <x v="3"/>
    <x v="3"/>
    <x v="12"/>
    <x v="2"/>
    <x v="0"/>
    <x v="348"/>
    <x v="369"/>
    <x v="0"/>
    <x v="65"/>
    <x v="161"/>
    <x v="0"/>
    <x v="0"/>
    <x v="3"/>
    <x v="35"/>
    <x v="0"/>
    <x v="3"/>
    <x v="1"/>
    <x v="253"/>
    <x v="256"/>
    <x v="54"/>
    <x v="12"/>
    <x v="70"/>
  </r>
  <r>
    <x v="407"/>
    <x v="54"/>
    <x v="2"/>
    <x v="3"/>
    <x v="0"/>
    <x v="0"/>
    <x v="9"/>
    <x v="0"/>
    <x v="0"/>
    <x v="349"/>
    <x v="370"/>
    <x v="0"/>
    <x v="9"/>
    <x v="101"/>
    <x v="0"/>
    <x v="0"/>
    <x v="4"/>
    <x v="66"/>
    <x v="0"/>
    <x v="1"/>
    <x v="1"/>
    <x v="254"/>
    <x v="260"/>
    <x v="43"/>
    <x v="11"/>
    <x v="6"/>
  </r>
  <r>
    <x v="408"/>
    <x v="30"/>
    <x v="1"/>
    <x v="4"/>
    <x v="0"/>
    <x v="2"/>
    <x v="18"/>
    <x v="3"/>
    <x v="2"/>
    <x v="350"/>
    <x v="327"/>
    <x v="3"/>
    <x v="6"/>
    <x v="106"/>
    <x v="3"/>
    <x v="2"/>
    <x v="2"/>
    <x v="23"/>
    <x v="1"/>
    <x v="4"/>
    <x v="0"/>
    <x v="197"/>
    <x v="196"/>
    <x v="59"/>
    <x v="51"/>
    <x v="64"/>
  </r>
  <r>
    <x v="409"/>
    <x v="60"/>
    <x v="0"/>
    <x v="1"/>
    <x v="3"/>
    <x v="1"/>
    <x v="9"/>
    <x v="3"/>
    <x v="2"/>
    <x v="351"/>
    <x v="371"/>
    <x v="2"/>
    <x v="27"/>
    <x v="55"/>
    <x v="2"/>
    <x v="2"/>
    <x v="1"/>
    <x v="3"/>
    <x v="1"/>
    <x v="3"/>
    <x v="1"/>
    <x v="255"/>
    <x v="261"/>
    <x v="68"/>
    <x v="126"/>
    <x v="32"/>
  </r>
  <r>
    <x v="410"/>
    <x v="46"/>
    <x v="2"/>
    <x v="4"/>
    <x v="2"/>
    <x v="5"/>
    <x v="13"/>
    <x v="3"/>
    <x v="1"/>
    <x v="352"/>
    <x v="372"/>
    <x v="3"/>
    <x v="75"/>
    <x v="168"/>
    <x v="3"/>
    <x v="0"/>
    <x v="0"/>
    <x v="52"/>
    <x v="0"/>
    <x v="0"/>
    <x v="0"/>
    <x v="99"/>
    <x v="241"/>
    <x v="3"/>
    <x v="1"/>
    <x v="119"/>
  </r>
  <r>
    <x v="411"/>
    <x v="26"/>
    <x v="1"/>
    <x v="4"/>
    <x v="0"/>
    <x v="0"/>
    <x v="11"/>
    <x v="0"/>
    <x v="1"/>
    <x v="353"/>
    <x v="76"/>
    <x v="3"/>
    <x v="55"/>
    <x v="146"/>
    <x v="3"/>
    <x v="2"/>
    <x v="3"/>
    <x v="21"/>
    <x v="1"/>
    <x v="0"/>
    <x v="1"/>
    <x v="8"/>
    <x v="262"/>
    <x v="54"/>
    <x v="78"/>
    <x v="23"/>
  </r>
  <r>
    <x v="412"/>
    <x v="46"/>
    <x v="0"/>
    <x v="2"/>
    <x v="4"/>
    <x v="2"/>
    <x v="5"/>
    <x v="3"/>
    <x v="1"/>
    <x v="262"/>
    <x v="373"/>
    <x v="0"/>
    <x v="61"/>
    <x v="152"/>
    <x v="0"/>
    <x v="1"/>
    <x v="4"/>
    <x v="26"/>
    <x v="1"/>
    <x v="0"/>
    <x v="0"/>
    <x v="50"/>
    <x v="263"/>
    <x v="56"/>
    <x v="118"/>
    <x v="59"/>
  </r>
  <r>
    <x v="413"/>
    <x v="20"/>
    <x v="0"/>
    <x v="4"/>
    <x v="0"/>
    <x v="0"/>
    <x v="9"/>
    <x v="1"/>
    <x v="3"/>
    <x v="30"/>
    <x v="374"/>
    <x v="3"/>
    <x v="3"/>
    <x v="125"/>
    <x v="3"/>
    <x v="1"/>
    <x v="3"/>
    <x v="134"/>
    <x v="1"/>
    <x v="2"/>
    <x v="0"/>
    <x v="256"/>
    <x v="99"/>
    <x v="5"/>
    <x v="23"/>
    <x v="29"/>
  </r>
  <r>
    <x v="414"/>
    <x v="63"/>
    <x v="2"/>
    <x v="1"/>
    <x v="1"/>
    <x v="2"/>
    <x v="7"/>
    <x v="2"/>
    <x v="1"/>
    <x v="354"/>
    <x v="215"/>
    <x v="1"/>
    <x v="34"/>
    <x v="56"/>
    <x v="1"/>
    <x v="0"/>
    <x v="4"/>
    <x v="142"/>
    <x v="0"/>
    <x v="4"/>
    <x v="1"/>
    <x v="257"/>
    <x v="264"/>
    <x v="60"/>
    <x v="85"/>
    <x v="61"/>
  </r>
  <r>
    <x v="415"/>
    <x v="41"/>
    <x v="1"/>
    <x v="1"/>
    <x v="3"/>
    <x v="0"/>
    <x v="15"/>
    <x v="2"/>
    <x v="2"/>
    <x v="355"/>
    <x v="214"/>
    <x v="2"/>
    <x v="9"/>
    <x v="14"/>
    <x v="2"/>
    <x v="1"/>
    <x v="0"/>
    <x v="101"/>
    <x v="1"/>
    <x v="1"/>
    <x v="1"/>
    <x v="258"/>
    <x v="16"/>
    <x v="80"/>
    <x v="87"/>
    <x v="129"/>
  </r>
  <r>
    <x v="416"/>
    <x v="48"/>
    <x v="2"/>
    <x v="2"/>
    <x v="0"/>
    <x v="4"/>
    <x v="4"/>
    <x v="0"/>
    <x v="3"/>
    <x v="356"/>
    <x v="375"/>
    <x v="2"/>
    <x v="53"/>
    <x v="9"/>
    <x v="2"/>
    <x v="2"/>
    <x v="4"/>
    <x v="19"/>
    <x v="1"/>
    <x v="3"/>
    <x v="0"/>
    <x v="161"/>
    <x v="265"/>
    <x v="69"/>
    <x v="7"/>
    <x v="154"/>
  </r>
  <r>
    <x v="417"/>
    <x v="24"/>
    <x v="1"/>
    <x v="3"/>
    <x v="1"/>
    <x v="5"/>
    <x v="5"/>
    <x v="0"/>
    <x v="3"/>
    <x v="357"/>
    <x v="196"/>
    <x v="2"/>
    <x v="76"/>
    <x v="42"/>
    <x v="2"/>
    <x v="2"/>
    <x v="4"/>
    <x v="44"/>
    <x v="1"/>
    <x v="2"/>
    <x v="0"/>
    <x v="121"/>
    <x v="146"/>
    <x v="23"/>
    <x v="36"/>
    <x v="97"/>
  </r>
  <r>
    <x v="418"/>
    <x v="59"/>
    <x v="1"/>
    <x v="1"/>
    <x v="1"/>
    <x v="0"/>
    <x v="7"/>
    <x v="0"/>
    <x v="1"/>
    <x v="34"/>
    <x v="376"/>
    <x v="0"/>
    <x v="1"/>
    <x v="143"/>
    <x v="0"/>
    <x v="0"/>
    <x v="0"/>
    <x v="68"/>
    <x v="0"/>
    <x v="3"/>
    <x v="1"/>
    <x v="219"/>
    <x v="167"/>
    <x v="10"/>
    <x v="9"/>
    <x v="39"/>
  </r>
  <r>
    <x v="419"/>
    <x v="36"/>
    <x v="0"/>
    <x v="2"/>
    <x v="3"/>
    <x v="2"/>
    <x v="4"/>
    <x v="3"/>
    <x v="2"/>
    <x v="358"/>
    <x v="377"/>
    <x v="3"/>
    <x v="1"/>
    <x v="27"/>
    <x v="3"/>
    <x v="0"/>
    <x v="2"/>
    <x v="141"/>
    <x v="0"/>
    <x v="3"/>
    <x v="1"/>
    <x v="67"/>
    <x v="266"/>
    <x v="69"/>
    <x v="165"/>
    <x v="121"/>
  </r>
  <r>
    <x v="420"/>
    <x v="63"/>
    <x v="0"/>
    <x v="3"/>
    <x v="4"/>
    <x v="0"/>
    <x v="1"/>
    <x v="0"/>
    <x v="3"/>
    <x v="251"/>
    <x v="378"/>
    <x v="2"/>
    <x v="51"/>
    <x v="172"/>
    <x v="2"/>
    <x v="1"/>
    <x v="0"/>
    <x v="18"/>
    <x v="1"/>
    <x v="3"/>
    <x v="1"/>
    <x v="259"/>
    <x v="267"/>
    <x v="20"/>
    <x v="82"/>
    <x v="155"/>
  </r>
  <r>
    <x v="421"/>
    <x v="49"/>
    <x v="0"/>
    <x v="4"/>
    <x v="4"/>
    <x v="0"/>
    <x v="6"/>
    <x v="1"/>
    <x v="3"/>
    <x v="359"/>
    <x v="379"/>
    <x v="1"/>
    <x v="37"/>
    <x v="124"/>
    <x v="1"/>
    <x v="1"/>
    <x v="3"/>
    <x v="69"/>
    <x v="1"/>
    <x v="3"/>
    <x v="1"/>
    <x v="260"/>
    <x v="242"/>
    <x v="5"/>
    <x v="147"/>
    <x v="32"/>
  </r>
  <r>
    <x v="422"/>
    <x v="67"/>
    <x v="1"/>
    <x v="0"/>
    <x v="0"/>
    <x v="0"/>
    <x v="11"/>
    <x v="0"/>
    <x v="2"/>
    <x v="360"/>
    <x v="380"/>
    <x v="1"/>
    <x v="48"/>
    <x v="91"/>
    <x v="1"/>
    <x v="1"/>
    <x v="3"/>
    <x v="45"/>
    <x v="1"/>
    <x v="2"/>
    <x v="0"/>
    <x v="261"/>
    <x v="60"/>
    <x v="7"/>
    <x v="42"/>
    <x v="81"/>
  </r>
  <r>
    <x v="423"/>
    <x v="52"/>
    <x v="2"/>
    <x v="3"/>
    <x v="2"/>
    <x v="1"/>
    <x v="2"/>
    <x v="1"/>
    <x v="3"/>
    <x v="361"/>
    <x v="381"/>
    <x v="1"/>
    <x v="5"/>
    <x v="173"/>
    <x v="1"/>
    <x v="0"/>
    <x v="1"/>
    <x v="119"/>
    <x v="0"/>
    <x v="0"/>
    <x v="1"/>
    <x v="262"/>
    <x v="268"/>
    <x v="58"/>
    <x v="4"/>
    <x v="156"/>
  </r>
  <r>
    <x v="424"/>
    <x v="59"/>
    <x v="0"/>
    <x v="3"/>
    <x v="4"/>
    <x v="3"/>
    <x v="17"/>
    <x v="0"/>
    <x v="3"/>
    <x v="51"/>
    <x v="382"/>
    <x v="3"/>
    <x v="9"/>
    <x v="104"/>
    <x v="3"/>
    <x v="1"/>
    <x v="0"/>
    <x v="82"/>
    <x v="1"/>
    <x v="0"/>
    <x v="1"/>
    <x v="263"/>
    <x v="243"/>
    <x v="13"/>
    <x v="154"/>
    <x v="21"/>
  </r>
  <r>
    <x v="425"/>
    <x v="61"/>
    <x v="0"/>
    <x v="0"/>
    <x v="3"/>
    <x v="2"/>
    <x v="4"/>
    <x v="1"/>
    <x v="2"/>
    <x v="362"/>
    <x v="383"/>
    <x v="1"/>
    <x v="4"/>
    <x v="57"/>
    <x v="1"/>
    <x v="1"/>
    <x v="3"/>
    <x v="62"/>
    <x v="1"/>
    <x v="2"/>
    <x v="1"/>
    <x v="147"/>
    <x v="104"/>
    <x v="86"/>
    <x v="15"/>
    <x v="149"/>
  </r>
  <r>
    <x v="426"/>
    <x v="25"/>
    <x v="1"/>
    <x v="2"/>
    <x v="0"/>
    <x v="1"/>
    <x v="5"/>
    <x v="2"/>
    <x v="0"/>
    <x v="363"/>
    <x v="384"/>
    <x v="3"/>
    <x v="43"/>
    <x v="55"/>
    <x v="3"/>
    <x v="0"/>
    <x v="0"/>
    <x v="6"/>
    <x v="0"/>
    <x v="0"/>
    <x v="1"/>
    <x v="230"/>
    <x v="269"/>
    <x v="85"/>
    <x v="75"/>
    <x v="97"/>
  </r>
  <r>
    <x v="427"/>
    <x v="61"/>
    <x v="1"/>
    <x v="4"/>
    <x v="0"/>
    <x v="3"/>
    <x v="3"/>
    <x v="3"/>
    <x v="1"/>
    <x v="364"/>
    <x v="385"/>
    <x v="1"/>
    <x v="24"/>
    <x v="41"/>
    <x v="1"/>
    <x v="2"/>
    <x v="4"/>
    <x v="25"/>
    <x v="1"/>
    <x v="3"/>
    <x v="0"/>
    <x v="155"/>
    <x v="228"/>
    <x v="65"/>
    <x v="1"/>
    <x v="157"/>
  </r>
  <r>
    <x v="428"/>
    <x v="9"/>
    <x v="0"/>
    <x v="1"/>
    <x v="3"/>
    <x v="5"/>
    <x v="2"/>
    <x v="0"/>
    <x v="0"/>
    <x v="365"/>
    <x v="386"/>
    <x v="2"/>
    <x v="77"/>
    <x v="171"/>
    <x v="2"/>
    <x v="0"/>
    <x v="1"/>
    <x v="106"/>
    <x v="0"/>
    <x v="2"/>
    <x v="1"/>
    <x v="100"/>
    <x v="227"/>
    <x v="73"/>
    <x v="30"/>
    <x v="2"/>
  </r>
  <r>
    <x v="429"/>
    <x v="5"/>
    <x v="2"/>
    <x v="4"/>
    <x v="1"/>
    <x v="5"/>
    <x v="8"/>
    <x v="2"/>
    <x v="3"/>
    <x v="234"/>
    <x v="387"/>
    <x v="0"/>
    <x v="58"/>
    <x v="93"/>
    <x v="0"/>
    <x v="1"/>
    <x v="3"/>
    <x v="146"/>
    <x v="1"/>
    <x v="3"/>
    <x v="1"/>
    <x v="264"/>
    <x v="205"/>
    <x v="69"/>
    <x v="161"/>
    <x v="158"/>
  </r>
  <r>
    <x v="430"/>
    <x v="62"/>
    <x v="2"/>
    <x v="2"/>
    <x v="3"/>
    <x v="0"/>
    <x v="3"/>
    <x v="1"/>
    <x v="1"/>
    <x v="366"/>
    <x v="102"/>
    <x v="1"/>
    <x v="33"/>
    <x v="174"/>
    <x v="1"/>
    <x v="0"/>
    <x v="3"/>
    <x v="137"/>
    <x v="0"/>
    <x v="4"/>
    <x v="1"/>
    <x v="265"/>
    <x v="270"/>
    <x v="18"/>
    <x v="151"/>
    <x v="111"/>
  </r>
  <r>
    <x v="431"/>
    <x v="19"/>
    <x v="2"/>
    <x v="0"/>
    <x v="0"/>
    <x v="1"/>
    <x v="15"/>
    <x v="0"/>
    <x v="0"/>
    <x v="367"/>
    <x v="260"/>
    <x v="2"/>
    <x v="54"/>
    <x v="175"/>
    <x v="2"/>
    <x v="2"/>
    <x v="2"/>
    <x v="129"/>
    <x v="1"/>
    <x v="0"/>
    <x v="1"/>
    <x v="266"/>
    <x v="271"/>
    <x v="77"/>
    <x v="166"/>
    <x v="103"/>
  </r>
  <r>
    <x v="432"/>
    <x v="26"/>
    <x v="2"/>
    <x v="4"/>
    <x v="2"/>
    <x v="4"/>
    <x v="4"/>
    <x v="3"/>
    <x v="3"/>
    <x v="368"/>
    <x v="388"/>
    <x v="0"/>
    <x v="18"/>
    <x v="46"/>
    <x v="0"/>
    <x v="2"/>
    <x v="0"/>
    <x v="135"/>
    <x v="1"/>
    <x v="0"/>
    <x v="1"/>
    <x v="267"/>
    <x v="258"/>
    <x v="22"/>
    <x v="96"/>
    <x v="110"/>
  </r>
  <r>
    <x v="433"/>
    <x v="21"/>
    <x v="1"/>
    <x v="3"/>
    <x v="0"/>
    <x v="2"/>
    <x v="18"/>
    <x v="2"/>
    <x v="1"/>
    <x v="369"/>
    <x v="389"/>
    <x v="3"/>
    <x v="31"/>
    <x v="144"/>
    <x v="3"/>
    <x v="0"/>
    <x v="3"/>
    <x v="68"/>
    <x v="0"/>
    <x v="0"/>
    <x v="1"/>
    <x v="256"/>
    <x v="83"/>
    <x v="46"/>
    <x v="42"/>
    <x v="81"/>
  </r>
  <r>
    <x v="434"/>
    <x v="53"/>
    <x v="2"/>
    <x v="0"/>
    <x v="0"/>
    <x v="0"/>
    <x v="8"/>
    <x v="0"/>
    <x v="0"/>
    <x v="370"/>
    <x v="62"/>
    <x v="3"/>
    <x v="28"/>
    <x v="67"/>
    <x v="3"/>
    <x v="2"/>
    <x v="3"/>
    <x v="79"/>
    <x v="1"/>
    <x v="1"/>
    <x v="1"/>
    <x v="268"/>
    <x v="109"/>
    <x v="79"/>
    <x v="43"/>
    <x v="82"/>
  </r>
  <r>
    <x v="435"/>
    <x v="30"/>
    <x v="1"/>
    <x v="0"/>
    <x v="4"/>
    <x v="4"/>
    <x v="16"/>
    <x v="0"/>
    <x v="2"/>
    <x v="371"/>
    <x v="390"/>
    <x v="1"/>
    <x v="51"/>
    <x v="23"/>
    <x v="1"/>
    <x v="0"/>
    <x v="3"/>
    <x v="62"/>
    <x v="0"/>
    <x v="4"/>
    <x v="0"/>
    <x v="269"/>
    <x v="270"/>
    <x v="56"/>
    <x v="140"/>
    <x v="125"/>
  </r>
  <r>
    <x v="436"/>
    <x v="59"/>
    <x v="1"/>
    <x v="3"/>
    <x v="4"/>
    <x v="0"/>
    <x v="18"/>
    <x v="0"/>
    <x v="2"/>
    <x v="372"/>
    <x v="391"/>
    <x v="1"/>
    <x v="71"/>
    <x v="4"/>
    <x v="1"/>
    <x v="2"/>
    <x v="1"/>
    <x v="137"/>
    <x v="1"/>
    <x v="4"/>
    <x v="0"/>
    <x v="270"/>
    <x v="80"/>
    <x v="82"/>
    <x v="127"/>
    <x v="52"/>
  </r>
  <r>
    <x v="437"/>
    <x v="20"/>
    <x v="2"/>
    <x v="3"/>
    <x v="0"/>
    <x v="1"/>
    <x v="7"/>
    <x v="2"/>
    <x v="0"/>
    <x v="373"/>
    <x v="392"/>
    <x v="2"/>
    <x v="34"/>
    <x v="42"/>
    <x v="2"/>
    <x v="1"/>
    <x v="0"/>
    <x v="66"/>
    <x v="1"/>
    <x v="3"/>
    <x v="0"/>
    <x v="27"/>
    <x v="272"/>
    <x v="68"/>
    <x v="15"/>
    <x v="152"/>
  </r>
  <r>
    <x v="438"/>
    <x v="36"/>
    <x v="0"/>
    <x v="4"/>
    <x v="0"/>
    <x v="0"/>
    <x v="2"/>
    <x v="0"/>
    <x v="2"/>
    <x v="109"/>
    <x v="393"/>
    <x v="3"/>
    <x v="48"/>
    <x v="82"/>
    <x v="3"/>
    <x v="0"/>
    <x v="0"/>
    <x v="147"/>
    <x v="0"/>
    <x v="1"/>
    <x v="0"/>
    <x v="195"/>
    <x v="40"/>
    <x v="82"/>
    <x v="167"/>
    <x v="114"/>
  </r>
  <r>
    <x v="439"/>
    <x v="16"/>
    <x v="0"/>
    <x v="0"/>
    <x v="4"/>
    <x v="5"/>
    <x v="18"/>
    <x v="3"/>
    <x v="3"/>
    <x v="374"/>
    <x v="394"/>
    <x v="3"/>
    <x v="45"/>
    <x v="125"/>
    <x v="3"/>
    <x v="1"/>
    <x v="1"/>
    <x v="42"/>
    <x v="1"/>
    <x v="0"/>
    <x v="1"/>
    <x v="10"/>
    <x v="251"/>
    <x v="0"/>
    <x v="35"/>
    <x v="6"/>
  </r>
  <r>
    <x v="440"/>
    <x v="5"/>
    <x v="2"/>
    <x v="2"/>
    <x v="3"/>
    <x v="0"/>
    <x v="5"/>
    <x v="1"/>
    <x v="1"/>
    <x v="375"/>
    <x v="395"/>
    <x v="3"/>
    <x v="9"/>
    <x v="161"/>
    <x v="3"/>
    <x v="1"/>
    <x v="3"/>
    <x v="3"/>
    <x v="1"/>
    <x v="1"/>
    <x v="1"/>
    <x v="228"/>
    <x v="179"/>
    <x v="38"/>
    <x v="12"/>
    <x v="6"/>
  </r>
  <r>
    <x v="441"/>
    <x v="33"/>
    <x v="0"/>
    <x v="0"/>
    <x v="3"/>
    <x v="4"/>
    <x v="2"/>
    <x v="0"/>
    <x v="0"/>
    <x v="376"/>
    <x v="23"/>
    <x v="3"/>
    <x v="9"/>
    <x v="114"/>
    <x v="3"/>
    <x v="2"/>
    <x v="1"/>
    <x v="146"/>
    <x v="1"/>
    <x v="2"/>
    <x v="0"/>
    <x v="271"/>
    <x v="159"/>
    <x v="58"/>
    <x v="12"/>
    <x v="95"/>
  </r>
  <r>
    <x v="442"/>
    <x v="62"/>
    <x v="1"/>
    <x v="0"/>
    <x v="2"/>
    <x v="0"/>
    <x v="4"/>
    <x v="3"/>
    <x v="3"/>
    <x v="377"/>
    <x v="257"/>
    <x v="3"/>
    <x v="49"/>
    <x v="110"/>
    <x v="3"/>
    <x v="0"/>
    <x v="4"/>
    <x v="121"/>
    <x v="0"/>
    <x v="3"/>
    <x v="1"/>
    <x v="272"/>
    <x v="245"/>
    <x v="42"/>
    <x v="93"/>
    <x v="155"/>
  </r>
  <r>
    <x v="443"/>
    <x v="37"/>
    <x v="2"/>
    <x v="0"/>
    <x v="4"/>
    <x v="0"/>
    <x v="12"/>
    <x v="3"/>
    <x v="1"/>
    <x v="290"/>
    <x v="396"/>
    <x v="0"/>
    <x v="28"/>
    <x v="159"/>
    <x v="0"/>
    <x v="2"/>
    <x v="2"/>
    <x v="110"/>
    <x v="1"/>
    <x v="4"/>
    <x v="1"/>
    <x v="273"/>
    <x v="164"/>
    <x v="84"/>
    <x v="4"/>
    <x v="60"/>
  </r>
  <r>
    <x v="444"/>
    <x v="55"/>
    <x v="0"/>
    <x v="4"/>
    <x v="1"/>
    <x v="3"/>
    <x v="0"/>
    <x v="3"/>
    <x v="2"/>
    <x v="103"/>
    <x v="397"/>
    <x v="3"/>
    <x v="74"/>
    <x v="87"/>
    <x v="3"/>
    <x v="2"/>
    <x v="1"/>
    <x v="122"/>
    <x v="1"/>
    <x v="2"/>
    <x v="1"/>
    <x v="274"/>
    <x v="14"/>
    <x v="73"/>
    <x v="109"/>
    <x v="59"/>
  </r>
  <r>
    <x v="445"/>
    <x v="34"/>
    <x v="2"/>
    <x v="0"/>
    <x v="0"/>
    <x v="0"/>
    <x v="16"/>
    <x v="3"/>
    <x v="1"/>
    <x v="378"/>
    <x v="325"/>
    <x v="1"/>
    <x v="24"/>
    <x v="34"/>
    <x v="1"/>
    <x v="0"/>
    <x v="0"/>
    <x v="62"/>
    <x v="0"/>
    <x v="4"/>
    <x v="0"/>
    <x v="248"/>
    <x v="226"/>
    <x v="8"/>
    <x v="36"/>
    <x v="31"/>
  </r>
  <r>
    <x v="446"/>
    <x v="10"/>
    <x v="0"/>
    <x v="4"/>
    <x v="3"/>
    <x v="0"/>
    <x v="1"/>
    <x v="1"/>
    <x v="1"/>
    <x v="379"/>
    <x v="398"/>
    <x v="3"/>
    <x v="58"/>
    <x v="163"/>
    <x v="3"/>
    <x v="1"/>
    <x v="3"/>
    <x v="26"/>
    <x v="1"/>
    <x v="1"/>
    <x v="0"/>
    <x v="275"/>
    <x v="273"/>
    <x v="56"/>
    <x v="134"/>
    <x v="128"/>
  </r>
  <r>
    <x v="447"/>
    <x v="50"/>
    <x v="0"/>
    <x v="0"/>
    <x v="3"/>
    <x v="2"/>
    <x v="2"/>
    <x v="2"/>
    <x v="2"/>
    <x v="380"/>
    <x v="399"/>
    <x v="1"/>
    <x v="3"/>
    <x v="78"/>
    <x v="1"/>
    <x v="2"/>
    <x v="3"/>
    <x v="55"/>
    <x v="1"/>
    <x v="3"/>
    <x v="0"/>
    <x v="276"/>
    <x v="170"/>
    <x v="34"/>
    <x v="57"/>
    <x v="80"/>
  </r>
  <r>
    <x v="448"/>
    <x v="30"/>
    <x v="1"/>
    <x v="3"/>
    <x v="0"/>
    <x v="0"/>
    <x v="10"/>
    <x v="0"/>
    <x v="2"/>
    <x v="84"/>
    <x v="400"/>
    <x v="0"/>
    <x v="77"/>
    <x v="89"/>
    <x v="0"/>
    <x v="0"/>
    <x v="3"/>
    <x v="32"/>
    <x v="0"/>
    <x v="1"/>
    <x v="1"/>
    <x v="277"/>
    <x v="110"/>
    <x v="81"/>
    <x v="150"/>
    <x v="38"/>
  </r>
  <r>
    <x v="449"/>
    <x v="67"/>
    <x v="2"/>
    <x v="2"/>
    <x v="1"/>
    <x v="0"/>
    <x v="18"/>
    <x v="1"/>
    <x v="1"/>
    <x v="381"/>
    <x v="401"/>
    <x v="2"/>
    <x v="9"/>
    <x v="23"/>
    <x v="2"/>
    <x v="1"/>
    <x v="0"/>
    <x v="52"/>
    <x v="1"/>
    <x v="3"/>
    <x v="0"/>
    <x v="278"/>
    <x v="141"/>
    <x v="43"/>
    <x v="0"/>
    <x v="13"/>
  </r>
  <r>
    <x v="450"/>
    <x v="45"/>
    <x v="0"/>
    <x v="1"/>
    <x v="0"/>
    <x v="3"/>
    <x v="12"/>
    <x v="0"/>
    <x v="0"/>
    <x v="382"/>
    <x v="402"/>
    <x v="3"/>
    <x v="53"/>
    <x v="117"/>
    <x v="3"/>
    <x v="0"/>
    <x v="4"/>
    <x v="108"/>
    <x v="0"/>
    <x v="4"/>
    <x v="0"/>
    <x v="279"/>
    <x v="274"/>
    <x v="40"/>
    <x v="18"/>
    <x v="130"/>
  </r>
  <r>
    <x v="451"/>
    <x v="2"/>
    <x v="0"/>
    <x v="4"/>
    <x v="1"/>
    <x v="0"/>
    <x v="0"/>
    <x v="1"/>
    <x v="2"/>
    <x v="63"/>
    <x v="403"/>
    <x v="3"/>
    <x v="10"/>
    <x v="156"/>
    <x v="3"/>
    <x v="2"/>
    <x v="2"/>
    <x v="14"/>
    <x v="1"/>
    <x v="2"/>
    <x v="1"/>
    <x v="280"/>
    <x v="275"/>
    <x v="64"/>
    <x v="147"/>
    <x v="32"/>
  </r>
  <r>
    <x v="452"/>
    <x v="34"/>
    <x v="1"/>
    <x v="2"/>
    <x v="4"/>
    <x v="3"/>
    <x v="2"/>
    <x v="0"/>
    <x v="0"/>
    <x v="383"/>
    <x v="41"/>
    <x v="3"/>
    <x v="24"/>
    <x v="174"/>
    <x v="3"/>
    <x v="0"/>
    <x v="2"/>
    <x v="49"/>
    <x v="0"/>
    <x v="3"/>
    <x v="1"/>
    <x v="281"/>
    <x v="276"/>
    <x v="19"/>
    <x v="7"/>
    <x v="121"/>
  </r>
  <r>
    <x v="453"/>
    <x v="11"/>
    <x v="1"/>
    <x v="3"/>
    <x v="1"/>
    <x v="1"/>
    <x v="14"/>
    <x v="2"/>
    <x v="1"/>
    <x v="384"/>
    <x v="404"/>
    <x v="2"/>
    <x v="6"/>
    <x v="176"/>
    <x v="2"/>
    <x v="0"/>
    <x v="1"/>
    <x v="44"/>
    <x v="0"/>
    <x v="3"/>
    <x v="0"/>
    <x v="193"/>
    <x v="100"/>
    <x v="7"/>
    <x v="45"/>
    <x v="0"/>
  </r>
  <r>
    <x v="454"/>
    <x v="7"/>
    <x v="1"/>
    <x v="1"/>
    <x v="0"/>
    <x v="5"/>
    <x v="2"/>
    <x v="1"/>
    <x v="1"/>
    <x v="52"/>
    <x v="405"/>
    <x v="2"/>
    <x v="6"/>
    <x v="137"/>
    <x v="2"/>
    <x v="2"/>
    <x v="1"/>
    <x v="27"/>
    <x v="1"/>
    <x v="0"/>
    <x v="1"/>
    <x v="110"/>
    <x v="171"/>
    <x v="3"/>
    <x v="50"/>
    <x v="117"/>
  </r>
  <r>
    <x v="455"/>
    <x v="52"/>
    <x v="2"/>
    <x v="2"/>
    <x v="4"/>
    <x v="3"/>
    <x v="5"/>
    <x v="3"/>
    <x v="3"/>
    <x v="385"/>
    <x v="406"/>
    <x v="2"/>
    <x v="68"/>
    <x v="147"/>
    <x v="2"/>
    <x v="1"/>
    <x v="2"/>
    <x v="106"/>
    <x v="1"/>
    <x v="3"/>
    <x v="0"/>
    <x v="282"/>
    <x v="277"/>
    <x v="28"/>
    <x v="124"/>
    <x v="159"/>
  </r>
  <r>
    <x v="456"/>
    <x v="21"/>
    <x v="1"/>
    <x v="1"/>
    <x v="3"/>
    <x v="4"/>
    <x v="6"/>
    <x v="2"/>
    <x v="3"/>
    <x v="386"/>
    <x v="366"/>
    <x v="1"/>
    <x v="9"/>
    <x v="15"/>
    <x v="1"/>
    <x v="1"/>
    <x v="0"/>
    <x v="24"/>
    <x v="1"/>
    <x v="3"/>
    <x v="1"/>
    <x v="283"/>
    <x v="175"/>
    <x v="84"/>
    <x v="103"/>
    <x v="144"/>
  </r>
  <r>
    <x v="457"/>
    <x v="0"/>
    <x v="1"/>
    <x v="0"/>
    <x v="0"/>
    <x v="5"/>
    <x v="9"/>
    <x v="0"/>
    <x v="0"/>
    <x v="387"/>
    <x v="407"/>
    <x v="0"/>
    <x v="28"/>
    <x v="162"/>
    <x v="0"/>
    <x v="1"/>
    <x v="1"/>
    <x v="143"/>
    <x v="1"/>
    <x v="2"/>
    <x v="0"/>
    <x v="284"/>
    <x v="192"/>
    <x v="81"/>
    <x v="1"/>
    <x v="85"/>
  </r>
  <r>
    <x v="458"/>
    <x v="5"/>
    <x v="0"/>
    <x v="1"/>
    <x v="2"/>
    <x v="0"/>
    <x v="12"/>
    <x v="0"/>
    <x v="3"/>
    <x v="388"/>
    <x v="408"/>
    <x v="2"/>
    <x v="78"/>
    <x v="164"/>
    <x v="2"/>
    <x v="2"/>
    <x v="3"/>
    <x v="21"/>
    <x v="1"/>
    <x v="2"/>
    <x v="1"/>
    <x v="25"/>
    <x v="16"/>
    <x v="41"/>
    <x v="66"/>
    <x v="109"/>
  </r>
  <r>
    <x v="459"/>
    <x v="45"/>
    <x v="2"/>
    <x v="3"/>
    <x v="3"/>
    <x v="0"/>
    <x v="4"/>
    <x v="0"/>
    <x v="2"/>
    <x v="389"/>
    <x v="409"/>
    <x v="1"/>
    <x v="6"/>
    <x v="102"/>
    <x v="1"/>
    <x v="1"/>
    <x v="3"/>
    <x v="28"/>
    <x v="1"/>
    <x v="2"/>
    <x v="1"/>
    <x v="227"/>
    <x v="146"/>
    <x v="35"/>
    <x v="106"/>
    <x v="30"/>
  </r>
  <r>
    <x v="460"/>
    <x v="1"/>
    <x v="2"/>
    <x v="3"/>
    <x v="4"/>
    <x v="0"/>
    <x v="16"/>
    <x v="0"/>
    <x v="3"/>
    <x v="160"/>
    <x v="398"/>
    <x v="2"/>
    <x v="48"/>
    <x v="140"/>
    <x v="2"/>
    <x v="0"/>
    <x v="0"/>
    <x v="89"/>
    <x v="0"/>
    <x v="1"/>
    <x v="0"/>
    <x v="215"/>
    <x v="240"/>
    <x v="50"/>
    <x v="57"/>
    <x v="113"/>
  </r>
  <r>
    <x v="461"/>
    <x v="25"/>
    <x v="1"/>
    <x v="1"/>
    <x v="1"/>
    <x v="3"/>
    <x v="10"/>
    <x v="0"/>
    <x v="3"/>
    <x v="356"/>
    <x v="410"/>
    <x v="2"/>
    <x v="72"/>
    <x v="37"/>
    <x v="2"/>
    <x v="2"/>
    <x v="1"/>
    <x v="114"/>
    <x v="1"/>
    <x v="2"/>
    <x v="0"/>
    <x v="222"/>
    <x v="278"/>
    <x v="28"/>
    <x v="85"/>
    <x v="118"/>
  </r>
  <r>
    <x v="462"/>
    <x v="7"/>
    <x v="0"/>
    <x v="2"/>
    <x v="1"/>
    <x v="0"/>
    <x v="19"/>
    <x v="0"/>
    <x v="1"/>
    <x v="171"/>
    <x v="411"/>
    <x v="2"/>
    <x v="35"/>
    <x v="153"/>
    <x v="2"/>
    <x v="2"/>
    <x v="3"/>
    <x v="1"/>
    <x v="1"/>
    <x v="4"/>
    <x v="0"/>
    <x v="134"/>
    <x v="18"/>
    <x v="9"/>
    <x v="168"/>
    <x v="132"/>
  </r>
  <r>
    <x v="463"/>
    <x v="67"/>
    <x v="2"/>
    <x v="3"/>
    <x v="4"/>
    <x v="0"/>
    <x v="2"/>
    <x v="2"/>
    <x v="3"/>
    <x v="390"/>
    <x v="412"/>
    <x v="0"/>
    <x v="4"/>
    <x v="67"/>
    <x v="0"/>
    <x v="0"/>
    <x v="3"/>
    <x v="43"/>
    <x v="0"/>
    <x v="2"/>
    <x v="1"/>
    <x v="272"/>
    <x v="279"/>
    <x v="82"/>
    <x v="65"/>
    <x v="36"/>
  </r>
  <r>
    <x v="464"/>
    <x v="2"/>
    <x v="1"/>
    <x v="0"/>
    <x v="3"/>
    <x v="0"/>
    <x v="18"/>
    <x v="1"/>
    <x v="2"/>
    <x v="224"/>
    <x v="347"/>
    <x v="3"/>
    <x v="3"/>
    <x v="48"/>
    <x v="3"/>
    <x v="1"/>
    <x v="2"/>
    <x v="63"/>
    <x v="1"/>
    <x v="2"/>
    <x v="1"/>
    <x v="94"/>
    <x v="280"/>
    <x v="19"/>
    <x v="94"/>
    <x v="96"/>
  </r>
  <r>
    <x v="465"/>
    <x v="14"/>
    <x v="1"/>
    <x v="1"/>
    <x v="4"/>
    <x v="0"/>
    <x v="6"/>
    <x v="3"/>
    <x v="1"/>
    <x v="391"/>
    <x v="413"/>
    <x v="0"/>
    <x v="52"/>
    <x v="101"/>
    <x v="0"/>
    <x v="2"/>
    <x v="2"/>
    <x v="45"/>
    <x v="1"/>
    <x v="1"/>
    <x v="1"/>
    <x v="285"/>
    <x v="220"/>
    <x v="75"/>
    <x v="132"/>
    <x v="73"/>
  </r>
  <r>
    <x v="466"/>
    <x v="17"/>
    <x v="0"/>
    <x v="1"/>
    <x v="2"/>
    <x v="0"/>
    <x v="0"/>
    <x v="2"/>
    <x v="3"/>
    <x v="392"/>
    <x v="60"/>
    <x v="3"/>
    <x v="11"/>
    <x v="177"/>
    <x v="3"/>
    <x v="1"/>
    <x v="3"/>
    <x v="90"/>
    <x v="1"/>
    <x v="2"/>
    <x v="0"/>
    <x v="286"/>
    <x v="64"/>
    <x v="38"/>
    <x v="162"/>
    <x v="59"/>
  </r>
  <r>
    <x v="467"/>
    <x v="32"/>
    <x v="2"/>
    <x v="3"/>
    <x v="0"/>
    <x v="1"/>
    <x v="2"/>
    <x v="2"/>
    <x v="2"/>
    <x v="92"/>
    <x v="414"/>
    <x v="1"/>
    <x v="79"/>
    <x v="79"/>
    <x v="1"/>
    <x v="0"/>
    <x v="3"/>
    <x v="20"/>
    <x v="0"/>
    <x v="1"/>
    <x v="0"/>
    <x v="22"/>
    <x v="170"/>
    <x v="53"/>
    <x v="67"/>
    <x v="160"/>
  </r>
  <r>
    <x v="468"/>
    <x v="41"/>
    <x v="2"/>
    <x v="4"/>
    <x v="1"/>
    <x v="0"/>
    <x v="13"/>
    <x v="2"/>
    <x v="1"/>
    <x v="393"/>
    <x v="415"/>
    <x v="0"/>
    <x v="13"/>
    <x v="135"/>
    <x v="0"/>
    <x v="0"/>
    <x v="1"/>
    <x v="81"/>
    <x v="0"/>
    <x v="0"/>
    <x v="1"/>
    <x v="287"/>
    <x v="198"/>
    <x v="15"/>
    <x v="1"/>
    <x v="34"/>
  </r>
  <r>
    <x v="469"/>
    <x v="29"/>
    <x v="1"/>
    <x v="4"/>
    <x v="3"/>
    <x v="0"/>
    <x v="2"/>
    <x v="0"/>
    <x v="1"/>
    <x v="394"/>
    <x v="416"/>
    <x v="3"/>
    <x v="52"/>
    <x v="178"/>
    <x v="3"/>
    <x v="1"/>
    <x v="0"/>
    <x v="26"/>
    <x v="1"/>
    <x v="1"/>
    <x v="1"/>
    <x v="9"/>
    <x v="281"/>
    <x v="40"/>
    <x v="59"/>
    <x v="36"/>
  </r>
  <r>
    <x v="470"/>
    <x v="52"/>
    <x v="2"/>
    <x v="4"/>
    <x v="1"/>
    <x v="0"/>
    <x v="4"/>
    <x v="1"/>
    <x v="2"/>
    <x v="395"/>
    <x v="417"/>
    <x v="0"/>
    <x v="34"/>
    <x v="93"/>
    <x v="0"/>
    <x v="2"/>
    <x v="2"/>
    <x v="48"/>
    <x v="1"/>
    <x v="3"/>
    <x v="0"/>
    <x v="197"/>
    <x v="103"/>
    <x v="63"/>
    <x v="74"/>
    <x v="26"/>
  </r>
  <r>
    <x v="471"/>
    <x v="20"/>
    <x v="1"/>
    <x v="0"/>
    <x v="4"/>
    <x v="0"/>
    <x v="17"/>
    <x v="3"/>
    <x v="3"/>
    <x v="396"/>
    <x v="418"/>
    <x v="1"/>
    <x v="24"/>
    <x v="76"/>
    <x v="1"/>
    <x v="2"/>
    <x v="1"/>
    <x v="143"/>
    <x v="1"/>
    <x v="2"/>
    <x v="1"/>
    <x v="288"/>
    <x v="107"/>
    <x v="53"/>
    <x v="107"/>
    <x v="120"/>
  </r>
  <r>
    <x v="472"/>
    <x v="48"/>
    <x v="0"/>
    <x v="0"/>
    <x v="2"/>
    <x v="2"/>
    <x v="15"/>
    <x v="3"/>
    <x v="0"/>
    <x v="397"/>
    <x v="419"/>
    <x v="3"/>
    <x v="6"/>
    <x v="7"/>
    <x v="3"/>
    <x v="0"/>
    <x v="1"/>
    <x v="142"/>
    <x v="0"/>
    <x v="2"/>
    <x v="0"/>
    <x v="78"/>
    <x v="282"/>
    <x v="78"/>
    <x v="56"/>
    <x v="109"/>
  </r>
  <r>
    <x v="473"/>
    <x v="22"/>
    <x v="2"/>
    <x v="2"/>
    <x v="0"/>
    <x v="0"/>
    <x v="5"/>
    <x v="1"/>
    <x v="0"/>
    <x v="398"/>
    <x v="420"/>
    <x v="0"/>
    <x v="17"/>
    <x v="74"/>
    <x v="0"/>
    <x v="0"/>
    <x v="3"/>
    <x v="67"/>
    <x v="0"/>
    <x v="1"/>
    <x v="1"/>
    <x v="107"/>
    <x v="245"/>
    <x v="65"/>
    <x v="165"/>
    <x v="10"/>
  </r>
  <r>
    <x v="474"/>
    <x v="46"/>
    <x v="0"/>
    <x v="4"/>
    <x v="2"/>
    <x v="0"/>
    <x v="7"/>
    <x v="0"/>
    <x v="1"/>
    <x v="368"/>
    <x v="421"/>
    <x v="1"/>
    <x v="79"/>
    <x v="49"/>
    <x v="1"/>
    <x v="2"/>
    <x v="2"/>
    <x v="81"/>
    <x v="1"/>
    <x v="4"/>
    <x v="0"/>
    <x v="119"/>
    <x v="283"/>
    <x v="64"/>
    <x v="158"/>
    <x v="107"/>
  </r>
  <r>
    <x v="475"/>
    <x v="60"/>
    <x v="0"/>
    <x v="1"/>
    <x v="2"/>
    <x v="3"/>
    <x v="9"/>
    <x v="1"/>
    <x v="2"/>
    <x v="399"/>
    <x v="422"/>
    <x v="1"/>
    <x v="72"/>
    <x v="179"/>
    <x v="1"/>
    <x v="0"/>
    <x v="0"/>
    <x v="36"/>
    <x v="0"/>
    <x v="0"/>
    <x v="0"/>
    <x v="289"/>
    <x v="284"/>
    <x v="81"/>
    <x v="79"/>
    <x v="30"/>
  </r>
  <r>
    <x v="476"/>
    <x v="39"/>
    <x v="2"/>
    <x v="4"/>
    <x v="4"/>
    <x v="1"/>
    <x v="14"/>
    <x v="2"/>
    <x v="2"/>
    <x v="400"/>
    <x v="423"/>
    <x v="0"/>
    <x v="67"/>
    <x v="137"/>
    <x v="0"/>
    <x v="1"/>
    <x v="2"/>
    <x v="5"/>
    <x v="1"/>
    <x v="4"/>
    <x v="0"/>
    <x v="290"/>
    <x v="73"/>
    <x v="22"/>
    <x v="118"/>
    <x v="119"/>
  </r>
  <r>
    <x v="477"/>
    <x v="51"/>
    <x v="2"/>
    <x v="3"/>
    <x v="3"/>
    <x v="0"/>
    <x v="11"/>
    <x v="0"/>
    <x v="0"/>
    <x v="401"/>
    <x v="424"/>
    <x v="2"/>
    <x v="31"/>
    <x v="180"/>
    <x v="2"/>
    <x v="2"/>
    <x v="0"/>
    <x v="24"/>
    <x v="1"/>
    <x v="0"/>
    <x v="1"/>
    <x v="208"/>
    <x v="150"/>
    <x v="68"/>
    <x v="0"/>
    <x v="161"/>
  </r>
  <r>
    <x v="478"/>
    <x v="48"/>
    <x v="2"/>
    <x v="2"/>
    <x v="2"/>
    <x v="0"/>
    <x v="6"/>
    <x v="3"/>
    <x v="0"/>
    <x v="372"/>
    <x v="310"/>
    <x v="3"/>
    <x v="1"/>
    <x v="177"/>
    <x v="3"/>
    <x v="0"/>
    <x v="2"/>
    <x v="59"/>
    <x v="0"/>
    <x v="4"/>
    <x v="1"/>
    <x v="290"/>
    <x v="93"/>
    <x v="61"/>
    <x v="104"/>
    <x v="3"/>
  </r>
  <r>
    <x v="479"/>
    <x v="64"/>
    <x v="1"/>
    <x v="3"/>
    <x v="3"/>
    <x v="5"/>
    <x v="15"/>
    <x v="3"/>
    <x v="2"/>
    <x v="402"/>
    <x v="425"/>
    <x v="2"/>
    <x v="72"/>
    <x v="77"/>
    <x v="2"/>
    <x v="0"/>
    <x v="2"/>
    <x v="55"/>
    <x v="0"/>
    <x v="3"/>
    <x v="1"/>
    <x v="98"/>
    <x v="233"/>
    <x v="5"/>
    <x v="132"/>
    <x v="41"/>
  </r>
  <r>
    <x v="480"/>
    <x v="34"/>
    <x v="2"/>
    <x v="1"/>
    <x v="4"/>
    <x v="0"/>
    <x v="13"/>
    <x v="3"/>
    <x v="1"/>
    <x v="403"/>
    <x v="426"/>
    <x v="3"/>
    <x v="21"/>
    <x v="24"/>
    <x v="3"/>
    <x v="0"/>
    <x v="1"/>
    <x v="105"/>
    <x v="0"/>
    <x v="1"/>
    <x v="0"/>
    <x v="30"/>
    <x v="196"/>
    <x v="85"/>
    <x v="86"/>
    <x v="113"/>
  </r>
  <r>
    <x v="481"/>
    <x v="51"/>
    <x v="0"/>
    <x v="0"/>
    <x v="2"/>
    <x v="3"/>
    <x v="2"/>
    <x v="1"/>
    <x v="1"/>
    <x v="190"/>
    <x v="246"/>
    <x v="0"/>
    <x v="28"/>
    <x v="67"/>
    <x v="0"/>
    <x v="1"/>
    <x v="3"/>
    <x v="131"/>
    <x v="1"/>
    <x v="0"/>
    <x v="0"/>
    <x v="291"/>
    <x v="122"/>
    <x v="66"/>
    <x v="156"/>
    <x v="162"/>
  </r>
  <r>
    <x v="482"/>
    <x v="17"/>
    <x v="2"/>
    <x v="2"/>
    <x v="3"/>
    <x v="0"/>
    <x v="6"/>
    <x v="0"/>
    <x v="1"/>
    <x v="139"/>
    <x v="427"/>
    <x v="0"/>
    <x v="24"/>
    <x v="114"/>
    <x v="0"/>
    <x v="2"/>
    <x v="2"/>
    <x v="72"/>
    <x v="1"/>
    <x v="3"/>
    <x v="1"/>
    <x v="71"/>
    <x v="207"/>
    <x v="55"/>
    <x v="108"/>
    <x v="61"/>
  </r>
  <r>
    <x v="483"/>
    <x v="61"/>
    <x v="2"/>
    <x v="0"/>
    <x v="2"/>
    <x v="5"/>
    <x v="18"/>
    <x v="0"/>
    <x v="0"/>
    <x v="404"/>
    <x v="197"/>
    <x v="0"/>
    <x v="34"/>
    <x v="43"/>
    <x v="0"/>
    <x v="0"/>
    <x v="0"/>
    <x v="123"/>
    <x v="0"/>
    <x v="4"/>
    <x v="1"/>
    <x v="86"/>
    <x v="246"/>
    <x v="59"/>
    <x v="158"/>
    <x v="135"/>
  </r>
  <r>
    <x v="484"/>
    <x v="45"/>
    <x v="2"/>
    <x v="1"/>
    <x v="0"/>
    <x v="5"/>
    <x v="3"/>
    <x v="3"/>
    <x v="3"/>
    <x v="405"/>
    <x v="428"/>
    <x v="1"/>
    <x v="32"/>
    <x v="109"/>
    <x v="1"/>
    <x v="1"/>
    <x v="0"/>
    <x v="50"/>
    <x v="1"/>
    <x v="3"/>
    <x v="1"/>
    <x v="142"/>
    <x v="285"/>
    <x v="1"/>
    <x v="128"/>
    <x v="160"/>
  </r>
  <r>
    <x v="485"/>
    <x v="2"/>
    <x v="0"/>
    <x v="2"/>
    <x v="4"/>
    <x v="0"/>
    <x v="5"/>
    <x v="3"/>
    <x v="2"/>
    <x v="406"/>
    <x v="429"/>
    <x v="0"/>
    <x v="33"/>
    <x v="88"/>
    <x v="0"/>
    <x v="1"/>
    <x v="4"/>
    <x v="35"/>
    <x v="1"/>
    <x v="4"/>
    <x v="1"/>
    <x v="292"/>
    <x v="158"/>
    <x v="51"/>
    <x v="11"/>
    <x v="124"/>
  </r>
  <r>
    <x v="486"/>
    <x v="53"/>
    <x v="0"/>
    <x v="0"/>
    <x v="0"/>
    <x v="0"/>
    <x v="13"/>
    <x v="0"/>
    <x v="2"/>
    <x v="407"/>
    <x v="430"/>
    <x v="2"/>
    <x v="63"/>
    <x v="170"/>
    <x v="2"/>
    <x v="1"/>
    <x v="2"/>
    <x v="148"/>
    <x v="1"/>
    <x v="3"/>
    <x v="0"/>
    <x v="13"/>
    <x v="286"/>
    <x v="27"/>
    <x v="145"/>
    <x v="97"/>
  </r>
  <r>
    <x v="487"/>
    <x v="29"/>
    <x v="2"/>
    <x v="2"/>
    <x v="3"/>
    <x v="5"/>
    <x v="8"/>
    <x v="1"/>
    <x v="2"/>
    <x v="408"/>
    <x v="431"/>
    <x v="3"/>
    <x v="72"/>
    <x v="36"/>
    <x v="3"/>
    <x v="2"/>
    <x v="0"/>
    <x v="64"/>
    <x v="1"/>
    <x v="2"/>
    <x v="1"/>
    <x v="145"/>
    <x v="120"/>
    <x v="24"/>
    <x v="1"/>
    <x v="15"/>
  </r>
  <r>
    <x v="488"/>
    <x v="8"/>
    <x v="0"/>
    <x v="0"/>
    <x v="4"/>
    <x v="2"/>
    <x v="15"/>
    <x v="0"/>
    <x v="3"/>
    <x v="409"/>
    <x v="432"/>
    <x v="2"/>
    <x v="80"/>
    <x v="133"/>
    <x v="2"/>
    <x v="1"/>
    <x v="0"/>
    <x v="66"/>
    <x v="1"/>
    <x v="0"/>
    <x v="1"/>
    <x v="293"/>
    <x v="86"/>
    <x v="54"/>
    <x v="169"/>
    <x v="92"/>
  </r>
  <r>
    <x v="489"/>
    <x v="58"/>
    <x v="0"/>
    <x v="1"/>
    <x v="3"/>
    <x v="1"/>
    <x v="8"/>
    <x v="2"/>
    <x v="0"/>
    <x v="410"/>
    <x v="433"/>
    <x v="1"/>
    <x v="24"/>
    <x v="24"/>
    <x v="1"/>
    <x v="1"/>
    <x v="4"/>
    <x v="113"/>
    <x v="1"/>
    <x v="3"/>
    <x v="1"/>
    <x v="262"/>
    <x v="151"/>
    <x v="21"/>
    <x v="139"/>
    <x v="106"/>
  </r>
  <r>
    <x v="490"/>
    <x v="44"/>
    <x v="0"/>
    <x v="0"/>
    <x v="0"/>
    <x v="0"/>
    <x v="16"/>
    <x v="1"/>
    <x v="2"/>
    <x v="411"/>
    <x v="425"/>
    <x v="2"/>
    <x v="41"/>
    <x v="127"/>
    <x v="2"/>
    <x v="2"/>
    <x v="2"/>
    <x v="57"/>
    <x v="1"/>
    <x v="3"/>
    <x v="0"/>
    <x v="190"/>
    <x v="287"/>
    <x v="79"/>
    <x v="50"/>
    <x v="48"/>
  </r>
  <r>
    <x v="491"/>
    <x v="49"/>
    <x v="2"/>
    <x v="4"/>
    <x v="2"/>
    <x v="3"/>
    <x v="7"/>
    <x v="2"/>
    <x v="0"/>
    <x v="412"/>
    <x v="434"/>
    <x v="2"/>
    <x v="54"/>
    <x v="138"/>
    <x v="2"/>
    <x v="0"/>
    <x v="1"/>
    <x v="94"/>
    <x v="0"/>
    <x v="3"/>
    <x v="0"/>
    <x v="54"/>
    <x v="220"/>
    <x v="67"/>
    <x v="102"/>
    <x v="76"/>
  </r>
  <r>
    <x v="492"/>
    <x v="42"/>
    <x v="0"/>
    <x v="3"/>
    <x v="4"/>
    <x v="5"/>
    <x v="6"/>
    <x v="3"/>
    <x v="0"/>
    <x v="413"/>
    <x v="435"/>
    <x v="3"/>
    <x v="3"/>
    <x v="172"/>
    <x v="3"/>
    <x v="1"/>
    <x v="0"/>
    <x v="62"/>
    <x v="1"/>
    <x v="4"/>
    <x v="1"/>
    <x v="294"/>
    <x v="140"/>
    <x v="30"/>
    <x v="170"/>
    <x v="137"/>
  </r>
  <r>
    <x v="493"/>
    <x v="18"/>
    <x v="1"/>
    <x v="1"/>
    <x v="4"/>
    <x v="0"/>
    <x v="5"/>
    <x v="2"/>
    <x v="3"/>
    <x v="414"/>
    <x v="436"/>
    <x v="0"/>
    <x v="37"/>
    <x v="176"/>
    <x v="0"/>
    <x v="2"/>
    <x v="4"/>
    <x v="61"/>
    <x v="1"/>
    <x v="3"/>
    <x v="1"/>
    <x v="295"/>
    <x v="217"/>
    <x v="41"/>
    <x v="105"/>
    <x v="163"/>
  </r>
  <r>
    <x v="494"/>
    <x v="65"/>
    <x v="2"/>
    <x v="0"/>
    <x v="3"/>
    <x v="3"/>
    <x v="5"/>
    <x v="3"/>
    <x v="3"/>
    <x v="415"/>
    <x v="437"/>
    <x v="0"/>
    <x v="12"/>
    <x v="1"/>
    <x v="0"/>
    <x v="2"/>
    <x v="4"/>
    <x v="130"/>
    <x v="1"/>
    <x v="3"/>
    <x v="1"/>
    <x v="182"/>
    <x v="288"/>
    <x v="76"/>
    <x v="80"/>
    <x v="65"/>
  </r>
  <r>
    <x v="495"/>
    <x v="35"/>
    <x v="2"/>
    <x v="2"/>
    <x v="0"/>
    <x v="2"/>
    <x v="3"/>
    <x v="3"/>
    <x v="1"/>
    <x v="416"/>
    <x v="438"/>
    <x v="3"/>
    <x v="74"/>
    <x v="163"/>
    <x v="3"/>
    <x v="1"/>
    <x v="2"/>
    <x v="34"/>
    <x v="1"/>
    <x v="3"/>
    <x v="1"/>
    <x v="207"/>
    <x v="59"/>
    <x v="82"/>
    <x v="147"/>
    <x v="164"/>
  </r>
  <r>
    <x v="496"/>
    <x v="22"/>
    <x v="2"/>
    <x v="4"/>
    <x v="1"/>
    <x v="0"/>
    <x v="6"/>
    <x v="1"/>
    <x v="0"/>
    <x v="417"/>
    <x v="439"/>
    <x v="3"/>
    <x v="35"/>
    <x v="83"/>
    <x v="3"/>
    <x v="2"/>
    <x v="2"/>
    <x v="125"/>
    <x v="1"/>
    <x v="4"/>
    <x v="1"/>
    <x v="296"/>
    <x v="289"/>
    <x v="70"/>
    <x v="115"/>
    <x v="117"/>
  </r>
  <r>
    <x v="497"/>
    <x v="4"/>
    <x v="2"/>
    <x v="0"/>
    <x v="0"/>
    <x v="1"/>
    <x v="1"/>
    <x v="1"/>
    <x v="1"/>
    <x v="418"/>
    <x v="440"/>
    <x v="2"/>
    <x v="9"/>
    <x v="181"/>
    <x v="2"/>
    <x v="0"/>
    <x v="4"/>
    <x v="47"/>
    <x v="0"/>
    <x v="2"/>
    <x v="1"/>
    <x v="194"/>
    <x v="39"/>
    <x v="69"/>
    <x v="169"/>
    <x v="5"/>
  </r>
  <r>
    <x v="498"/>
    <x v="15"/>
    <x v="2"/>
    <x v="2"/>
    <x v="2"/>
    <x v="2"/>
    <x v="7"/>
    <x v="0"/>
    <x v="0"/>
    <x v="419"/>
    <x v="441"/>
    <x v="0"/>
    <x v="24"/>
    <x v="43"/>
    <x v="0"/>
    <x v="0"/>
    <x v="3"/>
    <x v="9"/>
    <x v="0"/>
    <x v="4"/>
    <x v="0"/>
    <x v="297"/>
    <x v="22"/>
    <x v="10"/>
    <x v="64"/>
    <x v="7"/>
  </r>
  <r>
    <x v="499"/>
    <x v="4"/>
    <x v="0"/>
    <x v="4"/>
    <x v="2"/>
    <x v="4"/>
    <x v="18"/>
    <x v="2"/>
    <x v="2"/>
    <x v="420"/>
    <x v="442"/>
    <x v="2"/>
    <x v="6"/>
    <x v="13"/>
    <x v="2"/>
    <x v="2"/>
    <x v="4"/>
    <x v="35"/>
    <x v="1"/>
    <x v="0"/>
    <x v="0"/>
    <x v="298"/>
    <x v="117"/>
    <x v="0"/>
    <x v="162"/>
    <x v="51"/>
  </r>
  <r>
    <x v="500"/>
    <x v="17"/>
    <x v="0"/>
    <x v="4"/>
    <x v="2"/>
    <x v="1"/>
    <x v="15"/>
    <x v="1"/>
    <x v="0"/>
    <x v="421"/>
    <x v="443"/>
    <x v="0"/>
    <x v="70"/>
    <x v="182"/>
    <x v="0"/>
    <x v="0"/>
    <x v="2"/>
    <x v="98"/>
    <x v="0"/>
    <x v="0"/>
    <x v="1"/>
    <x v="299"/>
    <x v="115"/>
    <x v="40"/>
    <x v="14"/>
    <x v="25"/>
  </r>
  <r>
    <x v="501"/>
    <x v="21"/>
    <x v="2"/>
    <x v="0"/>
    <x v="1"/>
    <x v="3"/>
    <x v="14"/>
    <x v="0"/>
    <x v="1"/>
    <x v="102"/>
    <x v="444"/>
    <x v="0"/>
    <x v="47"/>
    <x v="106"/>
    <x v="0"/>
    <x v="2"/>
    <x v="1"/>
    <x v="62"/>
    <x v="1"/>
    <x v="0"/>
    <x v="1"/>
    <x v="300"/>
    <x v="264"/>
    <x v="82"/>
    <x v="8"/>
    <x v="139"/>
  </r>
  <r>
    <x v="502"/>
    <x v="28"/>
    <x v="1"/>
    <x v="1"/>
    <x v="3"/>
    <x v="0"/>
    <x v="9"/>
    <x v="0"/>
    <x v="1"/>
    <x v="422"/>
    <x v="445"/>
    <x v="0"/>
    <x v="58"/>
    <x v="57"/>
    <x v="0"/>
    <x v="1"/>
    <x v="4"/>
    <x v="144"/>
    <x v="1"/>
    <x v="1"/>
    <x v="0"/>
    <x v="109"/>
    <x v="38"/>
    <x v="0"/>
    <x v="87"/>
    <x v="38"/>
  </r>
  <r>
    <x v="503"/>
    <x v="63"/>
    <x v="1"/>
    <x v="1"/>
    <x v="3"/>
    <x v="0"/>
    <x v="1"/>
    <x v="3"/>
    <x v="0"/>
    <x v="423"/>
    <x v="446"/>
    <x v="2"/>
    <x v="31"/>
    <x v="68"/>
    <x v="2"/>
    <x v="0"/>
    <x v="2"/>
    <x v="21"/>
    <x v="0"/>
    <x v="1"/>
    <x v="1"/>
    <x v="88"/>
    <x v="189"/>
    <x v="14"/>
    <x v="83"/>
    <x v="107"/>
  </r>
  <r>
    <x v="504"/>
    <x v="17"/>
    <x v="2"/>
    <x v="3"/>
    <x v="0"/>
    <x v="3"/>
    <x v="8"/>
    <x v="0"/>
    <x v="2"/>
    <x v="424"/>
    <x v="447"/>
    <x v="2"/>
    <x v="24"/>
    <x v="116"/>
    <x v="2"/>
    <x v="0"/>
    <x v="4"/>
    <x v="121"/>
    <x v="0"/>
    <x v="1"/>
    <x v="0"/>
    <x v="198"/>
    <x v="182"/>
    <x v="86"/>
    <x v="46"/>
    <x v="98"/>
  </r>
  <r>
    <x v="505"/>
    <x v="3"/>
    <x v="0"/>
    <x v="4"/>
    <x v="1"/>
    <x v="0"/>
    <x v="18"/>
    <x v="0"/>
    <x v="1"/>
    <x v="425"/>
    <x v="448"/>
    <x v="0"/>
    <x v="9"/>
    <x v="107"/>
    <x v="0"/>
    <x v="2"/>
    <x v="2"/>
    <x v="99"/>
    <x v="1"/>
    <x v="3"/>
    <x v="1"/>
    <x v="241"/>
    <x v="290"/>
    <x v="45"/>
    <x v="8"/>
    <x v="55"/>
  </r>
  <r>
    <x v="506"/>
    <x v="44"/>
    <x v="1"/>
    <x v="2"/>
    <x v="3"/>
    <x v="0"/>
    <x v="11"/>
    <x v="2"/>
    <x v="0"/>
    <x v="426"/>
    <x v="449"/>
    <x v="3"/>
    <x v="8"/>
    <x v="134"/>
    <x v="3"/>
    <x v="0"/>
    <x v="0"/>
    <x v="43"/>
    <x v="0"/>
    <x v="4"/>
    <x v="1"/>
    <x v="129"/>
    <x v="2"/>
    <x v="65"/>
    <x v="63"/>
    <x v="165"/>
  </r>
  <r>
    <x v="507"/>
    <x v="12"/>
    <x v="2"/>
    <x v="2"/>
    <x v="2"/>
    <x v="3"/>
    <x v="13"/>
    <x v="2"/>
    <x v="2"/>
    <x v="427"/>
    <x v="450"/>
    <x v="3"/>
    <x v="54"/>
    <x v="9"/>
    <x v="3"/>
    <x v="0"/>
    <x v="1"/>
    <x v="68"/>
    <x v="0"/>
    <x v="0"/>
    <x v="0"/>
    <x v="232"/>
    <x v="182"/>
    <x v="84"/>
    <x v="83"/>
    <x v="125"/>
  </r>
  <r>
    <x v="508"/>
    <x v="14"/>
    <x v="1"/>
    <x v="3"/>
    <x v="4"/>
    <x v="4"/>
    <x v="1"/>
    <x v="2"/>
    <x v="3"/>
    <x v="307"/>
    <x v="320"/>
    <x v="3"/>
    <x v="72"/>
    <x v="154"/>
    <x v="3"/>
    <x v="1"/>
    <x v="2"/>
    <x v="21"/>
    <x v="1"/>
    <x v="1"/>
    <x v="0"/>
    <x v="297"/>
    <x v="108"/>
    <x v="57"/>
    <x v="126"/>
    <x v="70"/>
  </r>
  <r>
    <x v="509"/>
    <x v="21"/>
    <x v="2"/>
    <x v="2"/>
    <x v="3"/>
    <x v="0"/>
    <x v="13"/>
    <x v="2"/>
    <x v="3"/>
    <x v="428"/>
    <x v="451"/>
    <x v="0"/>
    <x v="4"/>
    <x v="12"/>
    <x v="0"/>
    <x v="2"/>
    <x v="0"/>
    <x v="6"/>
    <x v="1"/>
    <x v="3"/>
    <x v="1"/>
    <x v="12"/>
    <x v="253"/>
    <x v="42"/>
    <x v="48"/>
    <x v="87"/>
  </r>
  <r>
    <x v="510"/>
    <x v="29"/>
    <x v="1"/>
    <x v="2"/>
    <x v="0"/>
    <x v="0"/>
    <x v="19"/>
    <x v="0"/>
    <x v="0"/>
    <x v="429"/>
    <x v="452"/>
    <x v="1"/>
    <x v="41"/>
    <x v="136"/>
    <x v="1"/>
    <x v="0"/>
    <x v="1"/>
    <x v="91"/>
    <x v="0"/>
    <x v="4"/>
    <x v="1"/>
    <x v="74"/>
    <x v="130"/>
    <x v="58"/>
    <x v="162"/>
    <x v="103"/>
  </r>
  <r>
    <x v="511"/>
    <x v="50"/>
    <x v="2"/>
    <x v="1"/>
    <x v="3"/>
    <x v="1"/>
    <x v="18"/>
    <x v="1"/>
    <x v="1"/>
    <x v="430"/>
    <x v="453"/>
    <x v="2"/>
    <x v="31"/>
    <x v="136"/>
    <x v="2"/>
    <x v="1"/>
    <x v="3"/>
    <x v="78"/>
    <x v="1"/>
    <x v="4"/>
    <x v="0"/>
    <x v="194"/>
    <x v="86"/>
    <x v="27"/>
    <x v="78"/>
    <x v="145"/>
  </r>
  <r>
    <x v="512"/>
    <x v="51"/>
    <x v="1"/>
    <x v="3"/>
    <x v="4"/>
    <x v="2"/>
    <x v="9"/>
    <x v="1"/>
    <x v="3"/>
    <x v="431"/>
    <x v="454"/>
    <x v="1"/>
    <x v="24"/>
    <x v="183"/>
    <x v="1"/>
    <x v="0"/>
    <x v="1"/>
    <x v="114"/>
    <x v="0"/>
    <x v="1"/>
    <x v="1"/>
    <x v="100"/>
    <x v="111"/>
    <x v="80"/>
    <x v="14"/>
    <x v="129"/>
  </r>
  <r>
    <x v="513"/>
    <x v="9"/>
    <x v="1"/>
    <x v="3"/>
    <x v="0"/>
    <x v="3"/>
    <x v="4"/>
    <x v="3"/>
    <x v="1"/>
    <x v="432"/>
    <x v="455"/>
    <x v="1"/>
    <x v="25"/>
    <x v="126"/>
    <x v="1"/>
    <x v="0"/>
    <x v="4"/>
    <x v="137"/>
    <x v="0"/>
    <x v="1"/>
    <x v="1"/>
    <x v="270"/>
    <x v="291"/>
    <x v="4"/>
    <x v="81"/>
    <x v="134"/>
  </r>
  <r>
    <x v="514"/>
    <x v="63"/>
    <x v="0"/>
    <x v="0"/>
    <x v="4"/>
    <x v="0"/>
    <x v="1"/>
    <x v="1"/>
    <x v="2"/>
    <x v="433"/>
    <x v="456"/>
    <x v="1"/>
    <x v="18"/>
    <x v="184"/>
    <x v="1"/>
    <x v="0"/>
    <x v="0"/>
    <x v="120"/>
    <x v="0"/>
    <x v="0"/>
    <x v="1"/>
    <x v="57"/>
    <x v="165"/>
    <x v="0"/>
    <x v="102"/>
    <x v="68"/>
  </r>
  <r>
    <x v="515"/>
    <x v="47"/>
    <x v="2"/>
    <x v="2"/>
    <x v="0"/>
    <x v="4"/>
    <x v="18"/>
    <x v="0"/>
    <x v="1"/>
    <x v="434"/>
    <x v="457"/>
    <x v="0"/>
    <x v="63"/>
    <x v="140"/>
    <x v="0"/>
    <x v="2"/>
    <x v="4"/>
    <x v="113"/>
    <x v="1"/>
    <x v="0"/>
    <x v="0"/>
    <x v="298"/>
    <x v="283"/>
    <x v="57"/>
    <x v="37"/>
    <x v="46"/>
  </r>
  <r>
    <x v="516"/>
    <x v="63"/>
    <x v="2"/>
    <x v="0"/>
    <x v="1"/>
    <x v="2"/>
    <x v="12"/>
    <x v="3"/>
    <x v="0"/>
    <x v="435"/>
    <x v="402"/>
    <x v="0"/>
    <x v="2"/>
    <x v="52"/>
    <x v="0"/>
    <x v="1"/>
    <x v="0"/>
    <x v="72"/>
    <x v="1"/>
    <x v="1"/>
    <x v="1"/>
    <x v="58"/>
    <x v="259"/>
    <x v="81"/>
    <x v="79"/>
    <x v="157"/>
  </r>
  <r>
    <x v="517"/>
    <x v="31"/>
    <x v="2"/>
    <x v="4"/>
    <x v="3"/>
    <x v="5"/>
    <x v="4"/>
    <x v="1"/>
    <x v="0"/>
    <x v="436"/>
    <x v="458"/>
    <x v="2"/>
    <x v="43"/>
    <x v="145"/>
    <x v="2"/>
    <x v="2"/>
    <x v="0"/>
    <x v="60"/>
    <x v="1"/>
    <x v="0"/>
    <x v="0"/>
    <x v="301"/>
    <x v="292"/>
    <x v="82"/>
    <x v="56"/>
    <x v="19"/>
  </r>
  <r>
    <x v="518"/>
    <x v="25"/>
    <x v="2"/>
    <x v="3"/>
    <x v="3"/>
    <x v="0"/>
    <x v="13"/>
    <x v="0"/>
    <x v="0"/>
    <x v="414"/>
    <x v="459"/>
    <x v="0"/>
    <x v="64"/>
    <x v="31"/>
    <x v="0"/>
    <x v="0"/>
    <x v="3"/>
    <x v="87"/>
    <x v="0"/>
    <x v="4"/>
    <x v="0"/>
    <x v="302"/>
    <x v="205"/>
    <x v="14"/>
    <x v="131"/>
    <x v="30"/>
  </r>
  <r>
    <x v="519"/>
    <x v="44"/>
    <x v="2"/>
    <x v="3"/>
    <x v="0"/>
    <x v="4"/>
    <x v="1"/>
    <x v="0"/>
    <x v="3"/>
    <x v="437"/>
    <x v="460"/>
    <x v="2"/>
    <x v="54"/>
    <x v="27"/>
    <x v="2"/>
    <x v="1"/>
    <x v="0"/>
    <x v="13"/>
    <x v="1"/>
    <x v="1"/>
    <x v="0"/>
    <x v="299"/>
    <x v="156"/>
    <x v="75"/>
    <x v="97"/>
    <x v="109"/>
  </r>
  <r>
    <x v="520"/>
    <x v="15"/>
    <x v="1"/>
    <x v="0"/>
    <x v="4"/>
    <x v="0"/>
    <x v="0"/>
    <x v="3"/>
    <x v="2"/>
    <x v="148"/>
    <x v="153"/>
    <x v="0"/>
    <x v="72"/>
    <x v="38"/>
    <x v="0"/>
    <x v="0"/>
    <x v="2"/>
    <x v="42"/>
    <x v="0"/>
    <x v="0"/>
    <x v="0"/>
    <x v="91"/>
    <x v="293"/>
    <x v="52"/>
    <x v="161"/>
    <x v="12"/>
  </r>
  <r>
    <x v="521"/>
    <x v="64"/>
    <x v="0"/>
    <x v="0"/>
    <x v="0"/>
    <x v="3"/>
    <x v="3"/>
    <x v="1"/>
    <x v="3"/>
    <x v="438"/>
    <x v="461"/>
    <x v="0"/>
    <x v="33"/>
    <x v="146"/>
    <x v="0"/>
    <x v="1"/>
    <x v="1"/>
    <x v="46"/>
    <x v="1"/>
    <x v="1"/>
    <x v="0"/>
    <x v="77"/>
    <x v="294"/>
    <x v="82"/>
    <x v="79"/>
    <x v="166"/>
  </r>
  <r>
    <x v="522"/>
    <x v="28"/>
    <x v="0"/>
    <x v="0"/>
    <x v="4"/>
    <x v="0"/>
    <x v="5"/>
    <x v="3"/>
    <x v="0"/>
    <x v="439"/>
    <x v="462"/>
    <x v="1"/>
    <x v="4"/>
    <x v="84"/>
    <x v="1"/>
    <x v="2"/>
    <x v="3"/>
    <x v="130"/>
    <x v="1"/>
    <x v="0"/>
    <x v="0"/>
    <x v="118"/>
    <x v="133"/>
    <x v="79"/>
    <x v="20"/>
    <x v="153"/>
  </r>
  <r>
    <x v="523"/>
    <x v="65"/>
    <x v="2"/>
    <x v="2"/>
    <x v="4"/>
    <x v="0"/>
    <x v="1"/>
    <x v="3"/>
    <x v="0"/>
    <x v="230"/>
    <x v="463"/>
    <x v="3"/>
    <x v="40"/>
    <x v="108"/>
    <x v="3"/>
    <x v="2"/>
    <x v="3"/>
    <x v="27"/>
    <x v="1"/>
    <x v="1"/>
    <x v="0"/>
    <x v="46"/>
    <x v="157"/>
    <x v="82"/>
    <x v="81"/>
    <x v="159"/>
  </r>
  <r>
    <x v="524"/>
    <x v="32"/>
    <x v="1"/>
    <x v="1"/>
    <x v="3"/>
    <x v="5"/>
    <x v="7"/>
    <x v="2"/>
    <x v="3"/>
    <x v="440"/>
    <x v="211"/>
    <x v="2"/>
    <x v="1"/>
    <x v="129"/>
    <x v="2"/>
    <x v="1"/>
    <x v="1"/>
    <x v="56"/>
    <x v="1"/>
    <x v="3"/>
    <x v="1"/>
    <x v="124"/>
    <x v="218"/>
    <x v="32"/>
    <x v="50"/>
    <x v="70"/>
  </r>
  <r>
    <x v="525"/>
    <x v="67"/>
    <x v="1"/>
    <x v="3"/>
    <x v="1"/>
    <x v="0"/>
    <x v="0"/>
    <x v="0"/>
    <x v="0"/>
    <x v="441"/>
    <x v="464"/>
    <x v="2"/>
    <x v="13"/>
    <x v="158"/>
    <x v="2"/>
    <x v="1"/>
    <x v="3"/>
    <x v="8"/>
    <x v="1"/>
    <x v="4"/>
    <x v="1"/>
    <x v="303"/>
    <x v="71"/>
    <x v="27"/>
    <x v="1"/>
    <x v="4"/>
  </r>
  <r>
    <x v="526"/>
    <x v="51"/>
    <x v="1"/>
    <x v="4"/>
    <x v="0"/>
    <x v="0"/>
    <x v="3"/>
    <x v="3"/>
    <x v="3"/>
    <x v="442"/>
    <x v="465"/>
    <x v="1"/>
    <x v="3"/>
    <x v="23"/>
    <x v="1"/>
    <x v="1"/>
    <x v="4"/>
    <x v="131"/>
    <x v="1"/>
    <x v="3"/>
    <x v="0"/>
    <x v="205"/>
    <x v="271"/>
    <x v="2"/>
    <x v="145"/>
    <x v="153"/>
  </r>
  <r>
    <x v="527"/>
    <x v="20"/>
    <x v="0"/>
    <x v="1"/>
    <x v="4"/>
    <x v="3"/>
    <x v="17"/>
    <x v="3"/>
    <x v="0"/>
    <x v="443"/>
    <x v="326"/>
    <x v="1"/>
    <x v="60"/>
    <x v="25"/>
    <x v="1"/>
    <x v="1"/>
    <x v="0"/>
    <x v="146"/>
    <x v="1"/>
    <x v="2"/>
    <x v="1"/>
    <x v="113"/>
    <x v="246"/>
    <x v="55"/>
    <x v="9"/>
    <x v="119"/>
  </r>
  <r>
    <x v="528"/>
    <x v="15"/>
    <x v="1"/>
    <x v="3"/>
    <x v="4"/>
    <x v="0"/>
    <x v="10"/>
    <x v="0"/>
    <x v="2"/>
    <x v="259"/>
    <x v="466"/>
    <x v="2"/>
    <x v="21"/>
    <x v="185"/>
    <x v="2"/>
    <x v="1"/>
    <x v="2"/>
    <x v="119"/>
    <x v="1"/>
    <x v="2"/>
    <x v="0"/>
    <x v="24"/>
    <x v="295"/>
    <x v="24"/>
    <x v="92"/>
    <x v="91"/>
  </r>
  <r>
    <x v="529"/>
    <x v="50"/>
    <x v="1"/>
    <x v="2"/>
    <x v="3"/>
    <x v="0"/>
    <x v="0"/>
    <x v="1"/>
    <x v="3"/>
    <x v="444"/>
    <x v="467"/>
    <x v="3"/>
    <x v="4"/>
    <x v="123"/>
    <x v="3"/>
    <x v="2"/>
    <x v="1"/>
    <x v="128"/>
    <x v="1"/>
    <x v="4"/>
    <x v="0"/>
    <x v="120"/>
    <x v="26"/>
    <x v="9"/>
    <x v="28"/>
    <x v="54"/>
  </r>
  <r>
    <x v="530"/>
    <x v="40"/>
    <x v="0"/>
    <x v="3"/>
    <x v="1"/>
    <x v="3"/>
    <x v="15"/>
    <x v="0"/>
    <x v="1"/>
    <x v="445"/>
    <x v="468"/>
    <x v="1"/>
    <x v="65"/>
    <x v="37"/>
    <x v="1"/>
    <x v="0"/>
    <x v="2"/>
    <x v="84"/>
    <x v="0"/>
    <x v="1"/>
    <x v="1"/>
    <x v="259"/>
    <x v="218"/>
    <x v="70"/>
    <x v="132"/>
    <x v="123"/>
  </r>
  <r>
    <x v="531"/>
    <x v="54"/>
    <x v="2"/>
    <x v="2"/>
    <x v="2"/>
    <x v="0"/>
    <x v="10"/>
    <x v="2"/>
    <x v="0"/>
    <x v="446"/>
    <x v="469"/>
    <x v="1"/>
    <x v="3"/>
    <x v="92"/>
    <x v="1"/>
    <x v="0"/>
    <x v="2"/>
    <x v="102"/>
    <x v="0"/>
    <x v="4"/>
    <x v="0"/>
    <x v="137"/>
    <x v="88"/>
    <x v="32"/>
    <x v="138"/>
    <x v="95"/>
  </r>
  <r>
    <x v="532"/>
    <x v="60"/>
    <x v="0"/>
    <x v="3"/>
    <x v="1"/>
    <x v="0"/>
    <x v="12"/>
    <x v="3"/>
    <x v="1"/>
    <x v="447"/>
    <x v="258"/>
    <x v="0"/>
    <x v="80"/>
    <x v="108"/>
    <x v="0"/>
    <x v="2"/>
    <x v="4"/>
    <x v="109"/>
    <x v="1"/>
    <x v="4"/>
    <x v="0"/>
    <x v="304"/>
    <x v="169"/>
    <x v="54"/>
    <x v="45"/>
    <x v="98"/>
  </r>
  <r>
    <x v="533"/>
    <x v="1"/>
    <x v="1"/>
    <x v="1"/>
    <x v="0"/>
    <x v="1"/>
    <x v="7"/>
    <x v="2"/>
    <x v="0"/>
    <x v="239"/>
    <x v="427"/>
    <x v="0"/>
    <x v="9"/>
    <x v="118"/>
    <x v="0"/>
    <x v="1"/>
    <x v="4"/>
    <x v="113"/>
    <x v="1"/>
    <x v="1"/>
    <x v="1"/>
    <x v="305"/>
    <x v="296"/>
    <x v="75"/>
    <x v="171"/>
    <x v="28"/>
  </r>
  <r>
    <x v="534"/>
    <x v="24"/>
    <x v="0"/>
    <x v="2"/>
    <x v="1"/>
    <x v="3"/>
    <x v="18"/>
    <x v="0"/>
    <x v="0"/>
    <x v="448"/>
    <x v="332"/>
    <x v="1"/>
    <x v="71"/>
    <x v="83"/>
    <x v="1"/>
    <x v="1"/>
    <x v="1"/>
    <x v="95"/>
    <x v="1"/>
    <x v="2"/>
    <x v="0"/>
    <x v="306"/>
    <x v="215"/>
    <x v="26"/>
    <x v="168"/>
    <x v="119"/>
  </r>
  <r>
    <x v="535"/>
    <x v="28"/>
    <x v="2"/>
    <x v="3"/>
    <x v="0"/>
    <x v="0"/>
    <x v="15"/>
    <x v="2"/>
    <x v="3"/>
    <x v="130"/>
    <x v="470"/>
    <x v="2"/>
    <x v="43"/>
    <x v="145"/>
    <x v="2"/>
    <x v="1"/>
    <x v="0"/>
    <x v="50"/>
    <x v="1"/>
    <x v="1"/>
    <x v="1"/>
    <x v="23"/>
    <x v="84"/>
    <x v="37"/>
    <x v="115"/>
    <x v="0"/>
  </r>
  <r>
    <x v="536"/>
    <x v="30"/>
    <x v="1"/>
    <x v="2"/>
    <x v="3"/>
    <x v="4"/>
    <x v="19"/>
    <x v="0"/>
    <x v="1"/>
    <x v="449"/>
    <x v="471"/>
    <x v="2"/>
    <x v="58"/>
    <x v="186"/>
    <x v="2"/>
    <x v="1"/>
    <x v="0"/>
    <x v="43"/>
    <x v="1"/>
    <x v="2"/>
    <x v="0"/>
    <x v="52"/>
    <x v="297"/>
    <x v="0"/>
    <x v="81"/>
    <x v="125"/>
  </r>
  <r>
    <x v="537"/>
    <x v="14"/>
    <x v="2"/>
    <x v="1"/>
    <x v="3"/>
    <x v="0"/>
    <x v="7"/>
    <x v="1"/>
    <x v="2"/>
    <x v="450"/>
    <x v="330"/>
    <x v="0"/>
    <x v="4"/>
    <x v="66"/>
    <x v="0"/>
    <x v="2"/>
    <x v="0"/>
    <x v="28"/>
    <x v="1"/>
    <x v="4"/>
    <x v="1"/>
    <x v="191"/>
    <x v="298"/>
    <x v="74"/>
    <x v="72"/>
    <x v="40"/>
  </r>
  <r>
    <x v="538"/>
    <x v="33"/>
    <x v="0"/>
    <x v="2"/>
    <x v="2"/>
    <x v="2"/>
    <x v="19"/>
    <x v="0"/>
    <x v="1"/>
    <x v="451"/>
    <x v="472"/>
    <x v="2"/>
    <x v="57"/>
    <x v="92"/>
    <x v="2"/>
    <x v="1"/>
    <x v="2"/>
    <x v="57"/>
    <x v="1"/>
    <x v="2"/>
    <x v="0"/>
    <x v="189"/>
    <x v="63"/>
    <x v="78"/>
    <x v="16"/>
    <x v="10"/>
  </r>
  <r>
    <x v="539"/>
    <x v="66"/>
    <x v="0"/>
    <x v="0"/>
    <x v="0"/>
    <x v="0"/>
    <x v="15"/>
    <x v="0"/>
    <x v="1"/>
    <x v="452"/>
    <x v="473"/>
    <x v="2"/>
    <x v="72"/>
    <x v="57"/>
    <x v="2"/>
    <x v="1"/>
    <x v="0"/>
    <x v="131"/>
    <x v="1"/>
    <x v="1"/>
    <x v="1"/>
    <x v="288"/>
    <x v="47"/>
    <x v="37"/>
    <x v="63"/>
    <x v="124"/>
  </r>
  <r>
    <x v="540"/>
    <x v="2"/>
    <x v="0"/>
    <x v="0"/>
    <x v="2"/>
    <x v="0"/>
    <x v="13"/>
    <x v="2"/>
    <x v="1"/>
    <x v="453"/>
    <x v="73"/>
    <x v="0"/>
    <x v="3"/>
    <x v="32"/>
    <x v="0"/>
    <x v="2"/>
    <x v="4"/>
    <x v="125"/>
    <x v="1"/>
    <x v="2"/>
    <x v="1"/>
    <x v="247"/>
    <x v="181"/>
    <x v="63"/>
    <x v="60"/>
    <x v="134"/>
  </r>
  <r>
    <x v="541"/>
    <x v="0"/>
    <x v="2"/>
    <x v="0"/>
    <x v="0"/>
    <x v="3"/>
    <x v="0"/>
    <x v="1"/>
    <x v="1"/>
    <x v="454"/>
    <x v="474"/>
    <x v="3"/>
    <x v="70"/>
    <x v="42"/>
    <x v="3"/>
    <x v="2"/>
    <x v="1"/>
    <x v="81"/>
    <x v="1"/>
    <x v="1"/>
    <x v="1"/>
    <x v="221"/>
    <x v="132"/>
    <x v="20"/>
    <x v="44"/>
    <x v="166"/>
  </r>
  <r>
    <x v="542"/>
    <x v="65"/>
    <x v="1"/>
    <x v="4"/>
    <x v="2"/>
    <x v="3"/>
    <x v="0"/>
    <x v="3"/>
    <x v="0"/>
    <x v="148"/>
    <x v="250"/>
    <x v="3"/>
    <x v="50"/>
    <x v="71"/>
    <x v="3"/>
    <x v="1"/>
    <x v="0"/>
    <x v="72"/>
    <x v="1"/>
    <x v="4"/>
    <x v="0"/>
    <x v="244"/>
    <x v="71"/>
    <x v="17"/>
    <x v="52"/>
    <x v="37"/>
  </r>
  <r>
    <x v="543"/>
    <x v="28"/>
    <x v="2"/>
    <x v="3"/>
    <x v="1"/>
    <x v="0"/>
    <x v="4"/>
    <x v="0"/>
    <x v="2"/>
    <x v="455"/>
    <x v="124"/>
    <x v="1"/>
    <x v="24"/>
    <x v="183"/>
    <x v="1"/>
    <x v="2"/>
    <x v="3"/>
    <x v="132"/>
    <x v="1"/>
    <x v="2"/>
    <x v="1"/>
    <x v="49"/>
    <x v="299"/>
    <x v="85"/>
    <x v="169"/>
    <x v="70"/>
  </r>
  <r>
    <x v="544"/>
    <x v="57"/>
    <x v="1"/>
    <x v="0"/>
    <x v="1"/>
    <x v="0"/>
    <x v="5"/>
    <x v="0"/>
    <x v="2"/>
    <x v="264"/>
    <x v="475"/>
    <x v="2"/>
    <x v="9"/>
    <x v="53"/>
    <x v="2"/>
    <x v="0"/>
    <x v="0"/>
    <x v="116"/>
    <x v="0"/>
    <x v="1"/>
    <x v="0"/>
    <x v="14"/>
    <x v="288"/>
    <x v="87"/>
    <x v="12"/>
    <x v="35"/>
  </r>
  <r>
    <x v="545"/>
    <x v="43"/>
    <x v="0"/>
    <x v="3"/>
    <x v="3"/>
    <x v="4"/>
    <x v="11"/>
    <x v="1"/>
    <x v="1"/>
    <x v="456"/>
    <x v="476"/>
    <x v="3"/>
    <x v="9"/>
    <x v="94"/>
    <x v="3"/>
    <x v="1"/>
    <x v="2"/>
    <x v="52"/>
    <x v="1"/>
    <x v="4"/>
    <x v="1"/>
    <x v="28"/>
    <x v="133"/>
    <x v="74"/>
    <x v="62"/>
    <x v="61"/>
  </r>
  <r>
    <x v="546"/>
    <x v="61"/>
    <x v="0"/>
    <x v="2"/>
    <x v="0"/>
    <x v="2"/>
    <x v="17"/>
    <x v="1"/>
    <x v="0"/>
    <x v="457"/>
    <x v="477"/>
    <x v="0"/>
    <x v="35"/>
    <x v="21"/>
    <x v="0"/>
    <x v="1"/>
    <x v="3"/>
    <x v="100"/>
    <x v="1"/>
    <x v="4"/>
    <x v="0"/>
    <x v="10"/>
    <x v="300"/>
    <x v="7"/>
    <x v="5"/>
    <x v="149"/>
  </r>
  <r>
    <x v="547"/>
    <x v="16"/>
    <x v="2"/>
    <x v="3"/>
    <x v="3"/>
    <x v="2"/>
    <x v="0"/>
    <x v="1"/>
    <x v="2"/>
    <x v="458"/>
    <x v="417"/>
    <x v="1"/>
    <x v="45"/>
    <x v="101"/>
    <x v="1"/>
    <x v="0"/>
    <x v="3"/>
    <x v="110"/>
    <x v="0"/>
    <x v="4"/>
    <x v="1"/>
    <x v="143"/>
    <x v="107"/>
    <x v="78"/>
    <x v="122"/>
    <x v="167"/>
  </r>
  <r>
    <x v="548"/>
    <x v="36"/>
    <x v="0"/>
    <x v="3"/>
    <x v="1"/>
    <x v="3"/>
    <x v="6"/>
    <x v="2"/>
    <x v="3"/>
    <x v="459"/>
    <x v="478"/>
    <x v="1"/>
    <x v="31"/>
    <x v="85"/>
    <x v="1"/>
    <x v="2"/>
    <x v="4"/>
    <x v="60"/>
    <x v="1"/>
    <x v="3"/>
    <x v="1"/>
    <x v="64"/>
    <x v="147"/>
    <x v="34"/>
    <x v="52"/>
    <x v="157"/>
  </r>
  <r>
    <x v="549"/>
    <x v="22"/>
    <x v="1"/>
    <x v="2"/>
    <x v="1"/>
    <x v="0"/>
    <x v="9"/>
    <x v="3"/>
    <x v="2"/>
    <x v="45"/>
    <x v="273"/>
    <x v="1"/>
    <x v="4"/>
    <x v="118"/>
    <x v="1"/>
    <x v="0"/>
    <x v="0"/>
    <x v="66"/>
    <x v="0"/>
    <x v="1"/>
    <x v="1"/>
    <x v="33"/>
    <x v="279"/>
    <x v="68"/>
    <x v="73"/>
    <x v="55"/>
  </r>
  <r>
    <x v="550"/>
    <x v="58"/>
    <x v="2"/>
    <x v="2"/>
    <x v="2"/>
    <x v="2"/>
    <x v="6"/>
    <x v="0"/>
    <x v="3"/>
    <x v="460"/>
    <x v="479"/>
    <x v="0"/>
    <x v="12"/>
    <x v="157"/>
    <x v="0"/>
    <x v="0"/>
    <x v="2"/>
    <x v="37"/>
    <x v="0"/>
    <x v="0"/>
    <x v="0"/>
    <x v="39"/>
    <x v="222"/>
    <x v="25"/>
    <x v="71"/>
    <x v="52"/>
  </r>
  <r>
    <x v="551"/>
    <x v="16"/>
    <x v="2"/>
    <x v="2"/>
    <x v="3"/>
    <x v="3"/>
    <x v="7"/>
    <x v="2"/>
    <x v="2"/>
    <x v="461"/>
    <x v="480"/>
    <x v="2"/>
    <x v="31"/>
    <x v="11"/>
    <x v="2"/>
    <x v="0"/>
    <x v="4"/>
    <x v="6"/>
    <x v="0"/>
    <x v="4"/>
    <x v="0"/>
    <x v="187"/>
    <x v="93"/>
    <x v="22"/>
    <x v="64"/>
    <x v="14"/>
  </r>
  <r>
    <x v="552"/>
    <x v="0"/>
    <x v="2"/>
    <x v="3"/>
    <x v="4"/>
    <x v="0"/>
    <x v="8"/>
    <x v="1"/>
    <x v="2"/>
    <x v="462"/>
    <x v="481"/>
    <x v="2"/>
    <x v="3"/>
    <x v="108"/>
    <x v="2"/>
    <x v="1"/>
    <x v="4"/>
    <x v="54"/>
    <x v="1"/>
    <x v="2"/>
    <x v="1"/>
    <x v="74"/>
    <x v="150"/>
    <x v="62"/>
    <x v="12"/>
    <x v="133"/>
  </r>
  <r>
    <x v="553"/>
    <x v="27"/>
    <x v="0"/>
    <x v="3"/>
    <x v="0"/>
    <x v="1"/>
    <x v="7"/>
    <x v="0"/>
    <x v="3"/>
    <x v="463"/>
    <x v="234"/>
    <x v="0"/>
    <x v="75"/>
    <x v="187"/>
    <x v="0"/>
    <x v="2"/>
    <x v="4"/>
    <x v="31"/>
    <x v="1"/>
    <x v="4"/>
    <x v="1"/>
    <x v="307"/>
    <x v="273"/>
    <x v="10"/>
    <x v="84"/>
    <x v="17"/>
  </r>
  <r>
    <x v="554"/>
    <x v="22"/>
    <x v="2"/>
    <x v="4"/>
    <x v="4"/>
    <x v="1"/>
    <x v="7"/>
    <x v="1"/>
    <x v="3"/>
    <x v="464"/>
    <x v="482"/>
    <x v="0"/>
    <x v="21"/>
    <x v="165"/>
    <x v="0"/>
    <x v="0"/>
    <x v="1"/>
    <x v="8"/>
    <x v="0"/>
    <x v="3"/>
    <x v="0"/>
    <x v="199"/>
    <x v="202"/>
    <x v="39"/>
    <x v="26"/>
    <x v="161"/>
  </r>
  <r>
    <x v="555"/>
    <x v="25"/>
    <x v="2"/>
    <x v="1"/>
    <x v="1"/>
    <x v="0"/>
    <x v="17"/>
    <x v="1"/>
    <x v="3"/>
    <x v="161"/>
    <x v="479"/>
    <x v="1"/>
    <x v="0"/>
    <x v="102"/>
    <x v="1"/>
    <x v="0"/>
    <x v="2"/>
    <x v="42"/>
    <x v="0"/>
    <x v="0"/>
    <x v="1"/>
    <x v="219"/>
    <x v="175"/>
    <x v="16"/>
    <x v="46"/>
    <x v="133"/>
  </r>
  <r>
    <x v="556"/>
    <x v="50"/>
    <x v="1"/>
    <x v="2"/>
    <x v="3"/>
    <x v="3"/>
    <x v="1"/>
    <x v="3"/>
    <x v="0"/>
    <x v="461"/>
    <x v="483"/>
    <x v="3"/>
    <x v="6"/>
    <x v="170"/>
    <x v="3"/>
    <x v="2"/>
    <x v="4"/>
    <x v="110"/>
    <x v="1"/>
    <x v="2"/>
    <x v="0"/>
    <x v="308"/>
    <x v="139"/>
    <x v="77"/>
    <x v="130"/>
    <x v="151"/>
  </r>
  <r>
    <x v="557"/>
    <x v="33"/>
    <x v="1"/>
    <x v="4"/>
    <x v="1"/>
    <x v="4"/>
    <x v="2"/>
    <x v="3"/>
    <x v="2"/>
    <x v="465"/>
    <x v="484"/>
    <x v="1"/>
    <x v="28"/>
    <x v="60"/>
    <x v="1"/>
    <x v="0"/>
    <x v="0"/>
    <x v="133"/>
    <x v="0"/>
    <x v="2"/>
    <x v="0"/>
    <x v="110"/>
    <x v="301"/>
    <x v="33"/>
    <x v="58"/>
    <x v="58"/>
  </r>
  <r>
    <x v="558"/>
    <x v="31"/>
    <x v="1"/>
    <x v="4"/>
    <x v="2"/>
    <x v="0"/>
    <x v="13"/>
    <x v="1"/>
    <x v="3"/>
    <x v="466"/>
    <x v="485"/>
    <x v="0"/>
    <x v="4"/>
    <x v="6"/>
    <x v="0"/>
    <x v="0"/>
    <x v="2"/>
    <x v="71"/>
    <x v="0"/>
    <x v="0"/>
    <x v="0"/>
    <x v="65"/>
    <x v="177"/>
    <x v="88"/>
    <x v="145"/>
    <x v="164"/>
  </r>
  <r>
    <x v="559"/>
    <x v="1"/>
    <x v="1"/>
    <x v="2"/>
    <x v="3"/>
    <x v="0"/>
    <x v="15"/>
    <x v="1"/>
    <x v="0"/>
    <x v="467"/>
    <x v="486"/>
    <x v="0"/>
    <x v="0"/>
    <x v="150"/>
    <x v="0"/>
    <x v="2"/>
    <x v="2"/>
    <x v="115"/>
    <x v="1"/>
    <x v="0"/>
    <x v="1"/>
    <x v="65"/>
    <x v="164"/>
    <x v="27"/>
    <x v="127"/>
    <x v="76"/>
  </r>
  <r>
    <x v="560"/>
    <x v="60"/>
    <x v="1"/>
    <x v="2"/>
    <x v="4"/>
    <x v="0"/>
    <x v="15"/>
    <x v="0"/>
    <x v="3"/>
    <x v="468"/>
    <x v="487"/>
    <x v="2"/>
    <x v="47"/>
    <x v="55"/>
    <x v="2"/>
    <x v="2"/>
    <x v="0"/>
    <x v="128"/>
    <x v="1"/>
    <x v="2"/>
    <x v="1"/>
    <x v="282"/>
    <x v="302"/>
    <x v="10"/>
    <x v="101"/>
    <x v="116"/>
  </r>
  <r>
    <x v="561"/>
    <x v="26"/>
    <x v="2"/>
    <x v="3"/>
    <x v="2"/>
    <x v="1"/>
    <x v="14"/>
    <x v="3"/>
    <x v="0"/>
    <x v="469"/>
    <x v="329"/>
    <x v="3"/>
    <x v="46"/>
    <x v="21"/>
    <x v="3"/>
    <x v="2"/>
    <x v="2"/>
    <x v="108"/>
    <x v="1"/>
    <x v="1"/>
    <x v="0"/>
    <x v="99"/>
    <x v="160"/>
    <x v="32"/>
    <x v="93"/>
    <x v="151"/>
  </r>
  <r>
    <x v="562"/>
    <x v="21"/>
    <x v="2"/>
    <x v="3"/>
    <x v="3"/>
    <x v="0"/>
    <x v="17"/>
    <x v="1"/>
    <x v="0"/>
    <x v="470"/>
    <x v="55"/>
    <x v="1"/>
    <x v="6"/>
    <x v="55"/>
    <x v="1"/>
    <x v="1"/>
    <x v="0"/>
    <x v="60"/>
    <x v="1"/>
    <x v="1"/>
    <x v="1"/>
    <x v="73"/>
    <x v="303"/>
    <x v="79"/>
    <x v="65"/>
    <x v="116"/>
  </r>
  <r>
    <x v="563"/>
    <x v="25"/>
    <x v="2"/>
    <x v="0"/>
    <x v="2"/>
    <x v="0"/>
    <x v="2"/>
    <x v="0"/>
    <x v="0"/>
    <x v="471"/>
    <x v="488"/>
    <x v="2"/>
    <x v="9"/>
    <x v="72"/>
    <x v="2"/>
    <x v="2"/>
    <x v="4"/>
    <x v="58"/>
    <x v="1"/>
    <x v="4"/>
    <x v="0"/>
    <x v="86"/>
    <x v="223"/>
    <x v="85"/>
    <x v="23"/>
    <x v="6"/>
  </r>
  <r>
    <x v="564"/>
    <x v="41"/>
    <x v="0"/>
    <x v="0"/>
    <x v="2"/>
    <x v="0"/>
    <x v="2"/>
    <x v="0"/>
    <x v="3"/>
    <x v="472"/>
    <x v="489"/>
    <x v="0"/>
    <x v="41"/>
    <x v="91"/>
    <x v="0"/>
    <x v="0"/>
    <x v="0"/>
    <x v="57"/>
    <x v="0"/>
    <x v="4"/>
    <x v="1"/>
    <x v="309"/>
    <x v="172"/>
    <x v="61"/>
    <x v="56"/>
    <x v="107"/>
  </r>
  <r>
    <x v="565"/>
    <x v="21"/>
    <x v="1"/>
    <x v="3"/>
    <x v="2"/>
    <x v="0"/>
    <x v="8"/>
    <x v="0"/>
    <x v="1"/>
    <x v="391"/>
    <x v="490"/>
    <x v="2"/>
    <x v="19"/>
    <x v="188"/>
    <x v="2"/>
    <x v="2"/>
    <x v="3"/>
    <x v="47"/>
    <x v="1"/>
    <x v="3"/>
    <x v="0"/>
    <x v="112"/>
    <x v="216"/>
    <x v="44"/>
    <x v="150"/>
    <x v="63"/>
  </r>
  <r>
    <x v="566"/>
    <x v="8"/>
    <x v="1"/>
    <x v="4"/>
    <x v="2"/>
    <x v="0"/>
    <x v="11"/>
    <x v="2"/>
    <x v="0"/>
    <x v="473"/>
    <x v="491"/>
    <x v="2"/>
    <x v="40"/>
    <x v="71"/>
    <x v="2"/>
    <x v="1"/>
    <x v="3"/>
    <x v="128"/>
    <x v="1"/>
    <x v="2"/>
    <x v="0"/>
    <x v="310"/>
    <x v="246"/>
    <x v="28"/>
    <x v="19"/>
    <x v="82"/>
  </r>
  <r>
    <x v="567"/>
    <x v="9"/>
    <x v="0"/>
    <x v="3"/>
    <x v="1"/>
    <x v="0"/>
    <x v="2"/>
    <x v="2"/>
    <x v="2"/>
    <x v="17"/>
    <x v="280"/>
    <x v="1"/>
    <x v="6"/>
    <x v="129"/>
    <x v="1"/>
    <x v="0"/>
    <x v="2"/>
    <x v="77"/>
    <x v="0"/>
    <x v="1"/>
    <x v="1"/>
    <x v="235"/>
    <x v="240"/>
    <x v="65"/>
    <x v="160"/>
    <x v="86"/>
  </r>
  <r>
    <x v="568"/>
    <x v="61"/>
    <x v="1"/>
    <x v="4"/>
    <x v="0"/>
    <x v="0"/>
    <x v="4"/>
    <x v="3"/>
    <x v="3"/>
    <x v="474"/>
    <x v="492"/>
    <x v="2"/>
    <x v="6"/>
    <x v="153"/>
    <x v="2"/>
    <x v="1"/>
    <x v="3"/>
    <x v="2"/>
    <x v="1"/>
    <x v="4"/>
    <x v="0"/>
    <x v="28"/>
    <x v="162"/>
    <x v="19"/>
    <x v="37"/>
    <x v="72"/>
  </r>
  <r>
    <x v="569"/>
    <x v="34"/>
    <x v="0"/>
    <x v="1"/>
    <x v="3"/>
    <x v="0"/>
    <x v="7"/>
    <x v="2"/>
    <x v="3"/>
    <x v="475"/>
    <x v="493"/>
    <x v="3"/>
    <x v="41"/>
    <x v="185"/>
    <x v="3"/>
    <x v="2"/>
    <x v="0"/>
    <x v="31"/>
    <x v="1"/>
    <x v="0"/>
    <x v="0"/>
    <x v="311"/>
    <x v="69"/>
    <x v="81"/>
    <x v="159"/>
    <x v="62"/>
  </r>
  <r>
    <x v="570"/>
    <x v="27"/>
    <x v="2"/>
    <x v="2"/>
    <x v="2"/>
    <x v="4"/>
    <x v="10"/>
    <x v="0"/>
    <x v="1"/>
    <x v="476"/>
    <x v="494"/>
    <x v="3"/>
    <x v="78"/>
    <x v="111"/>
    <x v="3"/>
    <x v="0"/>
    <x v="0"/>
    <x v="94"/>
    <x v="0"/>
    <x v="1"/>
    <x v="1"/>
    <x v="312"/>
    <x v="37"/>
    <x v="52"/>
    <x v="21"/>
    <x v="30"/>
  </r>
  <r>
    <x v="571"/>
    <x v="20"/>
    <x v="1"/>
    <x v="4"/>
    <x v="0"/>
    <x v="0"/>
    <x v="17"/>
    <x v="3"/>
    <x v="2"/>
    <x v="477"/>
    <x v="495"/>
    <x v="3"/>
    <x v="18"/>
    <x v="94"/>
    <x v="3"/>
    <x v="0"/>
    <x v="2"/>
    <x v="31"/>
    <x v="0"/>
    <x v="2"/>
    <x v="1"/>
    <x v="313"/>
    <x v="91"/>
    <x v="89"/>
    <x v="138"/>
    <x v="103"/>
  </r>
  <r>
    <x v="572"/>
    <x v="44"/>
    <x v="2"/>
    <x v="4"/>
    <x v="1"/>
    <x v="0"/>
    <x v="8"/>
    <x v="2"/>
    <x v="1"/>
    <x v="478"/>
    <x v="398"/>
    <x v="3"/>
    <x v="4"/>
    <x v="77"/>
    <x v="3"/>
    <x v="2"/>
    <x v="0"/>
    <x v="20"/>
    <x v="1"/>
    <x v="1"/>
    <x v="1"/>
    <x v="50"/>
    <x v="266"/>
    <x v="86"/>
    <x v="27"/>
    <x v="128"/>
  </r>
  <r>
    <x v="573"/>
    <x v="58"/>
    <x v="1"/>
    <x v="4"/>
    <x v="4"/>
    <x v="4"/>
    <x v="1"/>
    <x v="0"/>
    <x v="0"/>
    <x v="479"/>
    <x v="496"/>
    <x v="1"/>
    <x v="6"/>
    <x v="9"/>
    <x v="1"/>
    <x v="2"/>
    <x v="3"/>
    <x v="127"/>
    <x v="1"/>
    <x v="1"/>
    <x v="0"/>
    <x v="118"/>
    <x v="304"/>
    <x v="58"/>
    <x v="32"/>
    <x v="90"/>
  </r>
  <r>
    <x v="574"/>
    <x v="23"/>
    <x v="1"/>
    <x v="2"/>
    <x v="0"/>
    <x v="3"/>
    <x v="9"/>
    <x v="0"/>
    <x v="1"/>
    <x v="480"/>
    <x v="427"/>
    <x v="3"/>
    <x v="31"/>
    <x v="117"/>
    <x v="3"/>
    <x v="2"/>
    <x v="2"/>
    <x v="99"/>
    <x v="1"/>
    <x v="3"/>
    <x v="0"/>
    <x v="314"/>
    <x v="40"/>
    <x v="58"/>
    <x v="116"/>
    <x v="74"/>
  </r>
  <r>
    <x v="575"/>
    <x v="61"/>
    <x v="2"/>
    <x v="1"/>
    <x v="3"/>
    <x v="4"/>
    <x v="16"/>
    <x v="1"/>
    <x v="2"/>
    <x v="8"/>
    <x v="497"/>
    <x v="0"/>
    <x v="38"/>
    <x v="117"/>
    <x v="0"/>
    <x v="2"/>
    <x v="3"/>
    <x v="105"/>
    <x v="1"/>
    <x v="3"/>
    <x v="1"/>
    <x v="200"/>
    <x v="305"/>
    <x v="63"/>
    <x v="20"/>
    <x v="157"/>
  </r>
  <r>
    <x v="576"/>
    <x v="51"/>
    <x v="0"/>
    <x v="0"/>
    <x v="1"/>
    <x v="0"/>
    <x v="8"/>
    <x v="1"/>
    <x v="0"/>
    <x v="308"/>
    <x v="498"/>
    <x v="2"/>
    <x v="41"/>
    <x v="109"/>
    <x v="2"/>
    <x v="0"/>
    <x v="2"/>
    <x v="31"/>
    <x v="0"/>
    <x v="4"/>
    <x v="0"/>
    <x v="120"/>
    <x v="182"/>
    <x v="11"/>
    <x v="66"/>
    <x v="41"/>
  </r>
  <r>
    <x v="577"/>
    <x v="32"/>
    <x v="0"/>
    <x v="4"/>
    <x v="3"/>
    <x v="1"/>
    <x v="9"/>
    <x v="0"/>
    <x v="1"/>
    <x v="310"/>
    <x v="499"/>
    <x v="3"/>
    <x v="18"/>
    <x v="30"/>
    <x v="3"/>
    <x v="2"/>
    <x v="2"/>
    <x v="45"/>
    <x v="1"/>
    <x v="1"/>
    <x v="0"/>
    <x v="175"/>
    <x v="133"/>
    <x v="10"/>
    <x v="25"/>
    <x v="104"/>
  </r>
  <r>
    <x v="578"/>
    <x v="45"/>
    <x v="1"/>
    <x v="4"/>
    <x v="3"/>
    <x v="0"/>
    <x v="18"/>
    <x v="3"/>
    <x v="0"/>
    <x v="481"/>
    <x v="500"/>
    <x v="3"/>
    <x v="35"/>
    <x v="89"/>
    <x v="3"/>
    <x v="1"/>
    <x v="2"/>
    <x v="17"/>
    <x v="1"/>
    <x v="4"/>
    <x v="1"/>
    <x v="37"/>
    <x v="34"/>
    <x v="64"/>
    <x v="16"/>
    <x v="115"/>
  </r>
  <r>
    <x v="579"/>
    <x v="45"/>
    <x v="2"/>
    <x v="2"/>
    <x v="0"/>
    <x v="0"/>
    <x v="5"/>
    <x v="1"/>
    <x v="3"/>
    <x v="153"/>
    <x v="501"/>
    <x v="1"/>
    <x v="37"/>
    <x v="117"/>
    <x v="1"/>
    <x v="0"/>
    <x v="4"/>
    <x v="140"/>
    <x v="0"/>
    <x v="0"/>
    <x v="1"/>
    <x v="186"/>
    <x v="306"/>
    <x v="59"/>
    <x v="81"/>
    <x v="34"/>
  </r>
  <r>
    <x v="580"/>
    <x v="11"/>
    <x v="2"/>
    <x v="3"/>
    <x v="0"/>
    <x v="0"/>
    <x v="8"/>
    <x v="0"/>
    <x v="1"/>
    <x v="482"/>
    <x v="502"/>
    <x v="1"/>
    <x v="37"/>
    <x v="162"/>
    <x v="1"/>
    <x v="1"/>
    <x v="1"/>
    <x v="87"/>
    <x v="1"/>
    <x v="2"/>
    <x v="0"/>
    <x v="65"/>
    <x v="153"/>
    <x v="6"/>
    <x v="16"/>
    <x v="18"/>
  </r>
  <r>
    <x v="581"/>
    <x v="13"/>
    <x v="1"/>
    <x v="4"/>
    <x v="4"/>
    <x v="0"/>
    <x v="13"/>
    <x v="2"/>
    <x v="3"/>
    <x v="483"/>
    <x v="503"/>
    <x v="2"/>
    <x v="28"/>
    <x v="7"/>
    <x v="2"/>
    <x v="2"/>
    <x v="1"/>
    <x v="40"/>
    <x v="1"/>
    <x v="1"/>
    <x v="1"/>
    <x v="271"/>
    <x v="229"/>
    <x v="6"/>
    <x v="31"/>
    <x v="15"/>
  </r>
  <r>
    <x v="582"/>
    <x v="31"/>
    <x v="2"/>
    <x v="0"/>
    <x v="3"/>
    <x v="0"/>
    <x v="1"/>
    <x v="3"/>
    <x v="0"/>
    <x v="484"/>
    <x v="504"/>
    <x v="0"/>
    <x v="51"/>
    <x v="36"/>
    <x v="0"/>
    <x v="2"/>
    <x v="0"/>
    <x v="85"/>
    <x v="1"/>
    <x v="1"/>
    <x v="0"/>
    <x v="210"/>
    <x v="118"/>
    <x v="47"/>
    <x v="121"/>
    <x v="107"/>
  </r>
  <r>
    <x v="583"/>
    <x v="26"/>
    <x v="0"/>
    <x v="2"/>
    <x v="4"/>
    <x v="1"/>
    <x v="10"/>
    <x v="2"/>
    <x v="3"/>
    <x v="231"/>
    <x v="505"/>
    <x v="0"/>
    <x v="29"/>
    <x v="67"/>
    <x v="0"/>
    <x v="2"/>
    <x v="4"/>
    <x v="21"/>
    <x v="1"/>
    <x v="3"/>
    <x v="1"/>
    <x v="315"/>
    <x v="49"/>
    <x v="46"/>
    <x v="133"/>
    <x v="94"/>
  </r>
  <r>
    <x v="584"/>
    <x v="50"/>
    <x v="0"/>
    <x v="1"/>
    <x v="3"/>
    <x v="3"/>
    <x v="9"/>
    <x v="3"/>
    <x v="0"/>
    <x v="485"/>
    <x v="506"/>
    <x v="0"/>
    <x v="24"/>
    <x v="134"/>
    <x v="0"/>
    <x v="2"/>
    <x v="3"/>
    <x v="25"/>
    <x v="1"/>
    <x v="1"/>
    <x v="1"/>
    <x v="209"/>
    <x v="307"/>
    <x v="61"/>
    <x v="25"/>
    <x v="161"/>
  </r>
  <r>
    <x v="585"/>
    <x v="66"/>
    <x v="2"/>
    <x v="4"/>
    <x v="3"/>
    <x v="0"/>
    <x v="9"/>
    <x v="2"/>
    <x v="2"/>
    <x v="486"/>
    <x v="507"/>
    <x v="1"/>
    <x v="1"/>
    <x v="137"/>
    <x v="1"/>
    <x v="1"/>
    <x v="1"/>
    <x v="4"/>
    <x v="1"/>
    <x v="1"/>
    <x v="1"/>
    <x v="310"/>
    <x v="209"/>
    <x v="35"/>
    <x v="2"/>
    <x v="154"/>
  </r>
  <r>
    <x v="586"/>
    <x v="53"/>
    <x v="1"/>
    <x v="1"/>
    <x v="4"/>
    <x v="4"/>
    <x v="0"/>
    <x v="3"/>
    <x v="1"/>
    <x v="487"/>
    <x v="508"/>
    <x v="2"/>
    <x v="45"/>
    <x v="52"/>
    <x v="2"/>
    <x v="0"/>
    <x v="3"/>
    <x v="31"/>
    <x v="0"/>
    <x v="1"/>
    <x v="0"/>
    <x v="107"/>
    <x v="308"/>
    <x v="65"/>
    <x v="124"/>
    <x v="78"/>
  </r>
  <r>
    <x v="587"/>
    <x v="4"/>
    <x v="2"/>
    <x v="0"/>
    <x v="2"/>
    <x v="5"/>
    <x v="2"/>
    <x v="1"/>
    <x v="0"/>
    <x v="488"/>
    <x v="509"/>
    <x v="3"/>
    <x v="24"/>
    <x v="30"/>
    <x v="3"/>
    <x v="2"/>
    <x v="3"/>
    <x v="129"/>
    <x v="1"/>
    <x v="1"/>
    <x v="1"/>
    <x v="246"/>
    <x v="52"/>
    <x v="80"/>
    <x v="91"/>
    <x v="29"/>
  </r>
  <r>
    <x v="588"/>
    <x v="45"/>
    <x v="2"/>
    <x v="1"/>
    <x v="3"/>
    <x v="4"/>
    <x v="3"/>
    <x v="0"/>
    <x v="3"/>
    <x v="489"/>
    <x v="195"/>
    <x v="2"/>
    <x v="9"/>
    <x v="144"/>
    <x v="2"/>
    <x v="2"/>
    <x v="1"/>
    <x v="17"/>
    <x v="1"/>
    <x v="4"/>
    <x v="0"/>
    <x v="316"/>
    <x v="137"/>
    <x v="22"/>
    <x v="117"/>
    <x v="131"/>
  </r>
  <r>
    <x v="589"/>
    <x v="6"/>
    <x v="2"/>
    <x v="2"/>
    <x v="3"/>
    <x v="0"/>
    <x v="6"/>
    <x v="1"/>
    <x v="0"/>
    <x v="490"/>
    <x v="510"/>
    <x v="0"/>
    <x v="6"/>
    <x v="141"/>
    <x v="0"/>
    <x v="1"/>
    <x v="0"/>
    <x v="38"/>
    <x v="1"/>
    <x v="1"/>
    <x v="1"/>
    <x v="137"/>
    <x v="167"/>
    <x v="79"/>
    <x v="160"/>
    <x v="139"/>
  </r>
  <r>
    <x v="590"/>
    <x v="66"/>
    <x v="1"/>
    <x v="3"/>
    <x v="2"/>
    <x v="1"/>
    <x v="6"/>
    <x v="2"/>
    <x v="2"/>
    <x v="491"/>
    <x v="511"/>
    <x v="1"/>
    <x v="15"/>
    <x v="189"/>
    <x v="1"/>
    <x v="1"/>
    <x v="4"/>
    <x v="16"/>
    <x v="1"/>
    <x v="0"/>
    <x v="1"/>
    <x v="148"/>
    <x v="274"/>
    <x v="23"/>
    <x v="93"/>
    <x v="128"/>
  </r>
  <r>
    <x v="591"/>
    <x v="42"/>
    <x v="1"/>
    <x v="2"/>
    <x v="0"/>
    <x v="0"/>
    <x v="18"/>
    <x v="3"/>
    <x v="1"/>
    <x v="13"/>
    <x v="512"/>
    <x v="1"/>
    <x v="20"/>
    <x v="181"/>
    <x v="1"/>
    <x v="0"/>
    <x v="1"/>
    <x v="140"/>
    <x v="0"/>
    <x v="2"/>
    <x v="0"/>
    <x v="145"/>
    <x v="279"/>
    <x v="86"/>
    <x v="52"/>
    <x v="129"/>
  </r>
  <r>
    <x v="592"/>
    <x v="17"/>
    <x v="2"/>
    <x v="1"/>
    <x v="1"/>
    <x v="0"/>
    <x v="4"/>
    <x v="2"/>
    <x v="2"/>
    <x v="75"/>
    <x v="513"/>
    <x v="1"/>
    <x v="58"/>
    <x v="46"/>
    <x v="1"/>
    <x v="0"/>
    <x v="3"/>
    <x v="107"/>
    <x v="0"/>
    <x v="3"/>
    <x v="0"/>
    <x v="81"/>
    <x v="68"/>
    <x v="19"/>
    <x v="110"/>
    <x v="120"/>
  </r>
  <r>
    <x v="593"/>
    <x v="11"/>
    <x v="1"/>
    <x v="2"/>
    <x v="2"/>
    <x v="0"/>
    <x v="16"/>
    <x v="2"/>
    <x v="2"/>
    <x v="492"/>
    <x v="514"/>
    <x v="2"/>
    <x v="7"/>
    <x v="139"/>
    <x v="2"/>
    <x v="2"/>
    <x v="1"/>
    <x v="27"/>
    <x v="1"/>
    <x v="4"/>
    <x v="0"/>
    <x v="12"/>
    <x v="250"/>
    <x v="9"/>
    <x v="131"/>
    <x v="67"/>
  </r>
  <r>
    <x v="594"/>
    <x v="44"/>
    <x v="0"/>
    <x v="4"/>
    <x v="3"/>
    <x v="3"/>
    <x v="1"/>
    <x v="2"/>
    <x v="0"/>
    <x v="493"/>
    <x v="515"/>
    <x v="3"/>
    <x v="27"/>
    <x v="17"/>
    <x v="3"/>
    <x v="0"/>
    <x v="1"/>
    <x v="49"/>
    <x v="0"/>
    <x v="1"/>
    <x v="1"/>
    <x v="27"/>
    <x v="120"/>
    <x v="25"/>
    <x v="157"/>
    <x v="161"/>
  </r>
  <r>
    <x v="595"/>
    <x v="52"/>
    <x v="0"/>
    <x v="2"/>
    <x v="0"/>
    <x v="0"/>
    <x v="16"/>
    <x v="3"/>
    <x v="2"/>
    <x v="494"/>
    <x v="516"/>
    <x v="2"/>
    <x v="35"/>
    <x v="112"/>
    <x v="2"/>
    <x v="0"/>
    <x v="1"/>
    <x v="109"/>
    <x v="0"/>
    <x v="1"/>
    <x v="0"/>
    <x v="60"/>
    <x v="192"/>
    <x v="36"/>
    <x v="141"/>
    <x v="59"/>
  </r>
  <r>
    <x v="596"/>
    <x v="56"/>
    <x v="2"/>
    <x v="4"/>
    <x v="2"/>
    <x v="5"/>
    <x v="16"/>
    <x v="3"/>
    <x v="1"/>
    <x v="495"/>
    <x v="517"/>
    <x v="2"/>
    <x v="8"/>
    <x v="158"/>
    <x v="2"/>
    <x v="0"/>
    <x v="0"/>
    <x v="23"/>
    <x v="0"/>
    <x v="0"/>
    <x v="0"/>
    <x v="32"/>
    <x v="36"/>
    <x v="5"/>
    <x v="54"/>
    <x v="93"/>
  </r>
  <r>
    <x v="597"/>
    <x v="10"/>
    <x v="2"/>
    <x v="0"/>
    <x v="2"/>
    <x v="1"/>
    <x v="0"/>
    <x v="1"/>
    <x v="3"/>
    <x v="496"/>
    <x v="518"/>
    <x v="3"/>
    <x v="3"/>
    <x v="100"/>
    <x v="3"/>
    <x v="2"/>
    <x v="2"/>
    <x v="125"/>
    <x v="1"/>
    <x v="4"/>
    <x v="1"/>
    <x v="227"/>
    <x v="309"/>
    <x v="56"/>
    <x v="107"/>
    <x v="49"/>
  </r>
  <r>
    <x v="598"/>
    <x v="50"/>
    <x v="1"/>
    <x v="3"/>
    <x v="3"/>
    <x v="2"/>
    <x v="11"/>
    <x v="0"/>
    <x v="3"/>
    <x v="497"/>
    <x v="519"/>
    <x v="2"/>
    <x v="6"/>
    <x v="14"/>
    <x v="2"/>
    <x v="1"/>
    <x v="2"/>
    <x v="134"/>
    <x v="1"/>
    <x v="1"/>
    <x v="1"/>
    <x v="192"/>
    <x v="300"/>
    <x v="37"/>
    <x v="130"/>
    <x v="103"/>
  </r>
  <r>
    <x v="599"/>
    <x v="17"/>
    <x v="0"/>
    <x v="3"/>
    <x v="4"/>
    <x v="0"/>
    <x v="0"/>
    <x v="1"/>
    <x v="1"/>
    <x v="498"/>
    <x v="520"/>
    <x v="1"/>
    <x v="28"/>
    <x v="77"/>
    <x v="1"/>
    <x v="0"/>
    <x v="3"/>
    <x v="117"/>
    <x v="0"/>
    <x v="3"/>
    <x v="0"/>
    <x v="265"/>
    <x v="95"/>
    <x v="64"/>
    <x v="19"/>
    <x v="70"/>
  </r>
  <r>
    <x v="600"/>
    <x v="1"/>
    <x v="2"/>
    <x v="2"/>
    <x v="1"/>
    <x v="0"/>
    <x v="19"/>
    <x v="0"/>
    <x v="1"/>
    <x v="499"/>
    <x v="48"/>
    <x v="1"/>
    <x v="24"/>
    <x v="57"/>
    <x v="1"/>
    <x v="0"/>
    <x v="3"/>
    <x v="75"/>
    <x v="0"/>
    <x v="1"/>
    <x v="0"/>
    <x v="269"/>
    <x v="216"/>
    <x v="6"/>
    <x v="61"/>
    <x v="115"/>
  </r>
  <r>
    <x v="601"/>
    <x v="31"/>
    <x v="0"/>
    <x v="2"/>
    <x v="3"/>
    <x v="3"/>
    <x v="5"/>
    <x v="3"/>
    <x v="2"/>
    <x v="93"/>
    <x v="521"/>
    <x v="0"/>
    <x v="51"/>
    <x v="181"/>
    <x v="0"/>
    <x v="0"/>
    <x v="2"/>
    <x v="91"/>
    <x v="0"/>
    <x v="3"/>
    <x v="0"/>
    <x v="317"/>
    <x v="122"/>
    <x v="31"/>
    <x v="95"/>
    <x v="32"/>
  </r>
  <r>
    <x v="602"/>
    <x v="50"/>
    <x v="1"/>
    <x v="4"/>
    <x v="0"/>
    <x v="0"/>
    <x v="5"/>
    <x v="1"/>
    <x v="1"/>
    <x v="500"/>
    <x v="522"/>
    <x v="1"/>
    <x v="4"/>
    <x v="38"/>
    <x v="1"/>
    <x v="2"/>
    <x v="4"/>
    <x v="35"/>
    <x v="1"/>
    <x v="2"/>
    <x v="1"/>
    <x v="88"/>
    <x v="172"/>
    <x v="84"/>
    <x v="115"/>
    <x v="144"/>
  </r>
  <r>
    <x v="603"/>
    <x v="14"/>
    <x v="1"/>
    <x v="0"/>
    <x v="2"/>
    <x v="0"/>
    <x v="17"/>
    <x v="1"/>
    <x v="3"/>
    <x v="53"/>
    <x v="388"/>
    <x v="3"/>
    <x v="58"/>
    <x v="188"/>
    <x v="3"/>
    <x v="1"/>
    <x v="3"/>
    <x v="101"/>
    <x v="1"/>
    <x v="3"/>
    <x v="0"/>
    <x v="43"/>
    <x v="65"/>
    <x v="88"/>
    <x v="118"/>
    <x v="159"/>
  </r>
  <r>
    <x v="604"/>
    <x v="48"/>
    <x v="2"/>
    <x v="0"/>
    <x v="0"/>
    <x v="0"/>
    <x v="10"/>
    <x v="0"/>
    <x v="3"/>
    <x v="501"/>
    <x v="523"/>
    <x v="0"/>
    <x v="31"/>
    <x v="134"/>
    <x v="0"/>
    <x v="1"/>
    <x v="4"/>
    <x v="145"/>
    <x v="1"/>
    <x v="0"/>
    <x v="0"/>
    <x v="71"/>
    <x v="275"/>
    <x v="58"/>
    <x v="63"/>
    <x v="35"/>
  </r>
  <r>
    <x v="605"/>
    <x v="4"/>
    <x v="0"/>
    <x v="0"/>
    <x v="3"/>
    <x v="1"/>
    <x v="0"/>
    <x v="3"/>
    <x v="0"/>
    <x v="489"/>
    <x v="141"/>
    <x v="0"/>
    <x v="28"/>
    <x v="52"/>
    <x v="0"/>
    <x v="1"/>
    <x v="1"/>
    <x v="58"/>
    <x v="1"/>
    <x v="4"/>
    <x v="0"/>
    <x v="281"/>
    <x v="122"/>
    <x v="65"/>
    <x v="108"/>
    <x v="123"/>
  </r>
  <r>
    <x v="606"/>
    <x v="60"/>
    <x v="2"/>
    <x v="4"/>
    <x v="1"/>
    <x v="0"/>
    <x v="8"/>
    <x v="2"/>
    <x v="1"/>
    <x v="502"/>
    <x v="59"/>
    <x v="2"/>
    <x v="0"/>
    <x v="185"/>
    <x v="2"/>
    <x v="1"/>
    <x v="1"/>
    <x v="137"/>
    <x v="1"/>
    <x v="2"/>
    <x v="1"/>
    <x v="232"/>
    <x v="115"/>
    <x v="60"/>
    <x v="99"/>
    <x v="101"/>
  </r>
  <r>
    <x v="607"/>
    <x v="7"/>
    <x v="0"/>
    <x v="3"/>
    <x v="0"/>
    <x v="0"/>
    <x v="1"/>
    <x v="3"/>
    <x v="2"/>
    <x v="503"/>
    <x v="524"/>
    <x v="3"/>
    <x v="6"/>
    <x v="111"/>
    <x v="3"/>
    <x v="1"/>
    <x v="2"/>
    <x v="27"/>
    <x v="1"/>
    <x v="0"/>
    <x v="0"/>
    <x v="318"/>
    <x v="35"/>
    <x v="74"/>
    <x v="8"/>
    <x v="32"/>
  </r>
  <r>
    <x v="608"/>
    <x v="18"/>
    <x v="1"/>
    <x v="4"/>
    <x v="3"/>
    <x v="2"/>
    <x v="8"/>
    <x v="0"/>
    <x v="3"/>
    <x v="504"/>
    <x v="525"/>
    <x v="1"/>
    <x v="77"/>
    <x v="25"/>
    <x v="1"/>
    <x v="2"/>
    <x v="1"/>
    <x v="10"/>
    <x v="1"/>
    <x v="2"/>
    <x v="1"/>
    <x v="265"/>
    <x v="310"/>
    <x v="43"/>
    <x v="18"/>
    <x v="5"/>
  </r>
  <r>
    <x v="609"/>
    <x v="57"/>
    <x v="0"/>
    <x v="3"/>
    <x v="2"/>
    <x v="4"/>
    <x v="0"/>
    <x v="2"/>
    <x v="3"/>
    <x v="505"/>
    <x v="526"/>
    <x v="2"/>
    <x v="38"/>
    <x v="49"/>
    <x v="2"/>
    <x v="2"/>
    <x v="1"/>
    <x v="1"/>
    <x v="1"/>
    <x v="0"/>
    <x v="1"/>
    <x v="70"/>
    <x v="125"/>
    <x v="16"/>
    <x v="99"/>
    <x v="132"/>
  </r>
  <r>
    <x v="610"/>
    <x v="62"/>
    <x v="0"/>
    <x v="0"/>
    <x v="0"/>
    <x v="0"/>
    <x v="11"/>
    <x v="2"/>
    <x v="3"/>
    <x v="59"/>
    <x v="527"/>
    <x v="2"/>
    <x v="4"/>
    <x v="90"/>
    <x v="2"/>
    <x v="0"/>
    <x v="4"/>
    <x v="138"/>
    <x v="0"/>
    <x v="4"/>
    <x v="0"/>
    <x v="205"/>
    <x v="83"/>
    <x v="29"/>
    <x v="21"/>
    <x v="39"/>
  </r>
  <r>
    <x v="611"/>
    <x v="62"/>
    <x v="0"/>
    <x v="4"/>
    <x v="4"/>
    <x v="3"/>
    <x v="3"/>
    <x v="2"/>
    <x v="3"/>
    <x v="506"/>
    <x v="528"/>
    <x v="1"/>
    <x v="62"/>
    <x v="168"/>
    <x v="1"/>
    <x v="0"/>
    <x v="1"/>
    <x v="135"/>
    <x v="0"/>
    <x v="2"/>
    <x v="1"/>
    <x v="121"/>
    <x v="266"/>
    <x v="16"/>
    <x v="22"/>
    <x v="158"/>
  </r>
  <r>
    <x v="612"/>
    <x v="40"/>
    <x v="1"/>
    <x v="3"/>
    <x v="4"/>
    <x v="4"/>
    <x v="6"/>
    <x v="0"/>
    <x v="1"/>
    <x v="507"/>
    <x v="529"/>
    <x v="0"/>
    <x v="6"/>
    <x v="42"/>
    <x v="0"/>
    <x v="0"/>
    <x v="0"/>
    <x v="49"/>
    <x v="0"/>
    <x v="2"/>
    <x v="0"/>
    <x v="189"/>
    <x v="271"/>
    <x v="56"/>
    <x v="86"/>
    <x v="158"/>
  </r>
  <r>
    <x v="613"/>
    <x v="66"/>
    <x v="1"/>
    <x v="2"/>
    <x v="2"/>
    <x v="4"/>
    <x v="12"/>
    <x v="3"/>
    <x v="3"/>
    <x v="308"/>
    <x v="530"/>
    <x v="3"/>
    <x v="24"/>
    <x v="28"/>
    <x v="3"/>
    <x v="2"/>
    <x v="0"/>
    <x v="10"/>
    <x v="1"/>
    <x v="0"/>
    <x v="1"/>
    <x v="319"/>
    <x v="311"/>
    <x v="9"/>
    <x v="90"/>
    <x v="5"/>
  </r>
  <r>
    <x v="614"/>
    <x v="43"/>
    <x v="2"/>
    <x v="2"/>
    <x v="3"/>
    <x v="0"/>
    <x v="11"/>
    <x v="2"/>
    <x v="3"/>
    <x v="508"/>
    <x v="531"/>
    <x v="2"/>
    <x v="22"/>
    <x v="40"/>
    <x v="2"/>
    <x v="2"/>
    <x v="1"/>
    <x v="68"/>
    <x v="1"/>
    <x v="3"/>
    <x v="0"/>
    <x v="146"/>
    <x v="30"/>
    <x v="59"/>
    <x v="3"/>
    <x v="82"/>
  </r>
  <r>
    <x v="615"/>
    <x v="58"/>
    <x v="0"/>
    <x v="2"/>
    <x v="0"/>
    <x v="4"/>
    <x v="10"/>
    <x v="0"/>
    <x v="3"/>
    <x v="509"/>
    <x v="532"/>
    <x v="3"/>
    <x v="16"/>
    <x v="105"/>
    <x v="3"/>
    <x v="1"/>
    <x v="0"/>
    <x v="126"/>
    <x v="1"/>
    <x v="2"/>
    <x v="0"/>
    <x v="69"/>
    <x v="312"/>
    <x v="16"/>
    <x v="42"/>
    <x v="163"/>
  </r>
  <r>
    <x v="616"/>
    <x v="31"/>
    <x v="1"/>
    <x v="4"/>
    <x v="4"/>
    <x v="0"/>
    <x v="15"/>
    <x v="2"/>
    <x v="2"/>
    <x v="510"/>
    <x v="533"/>
    <x v="3"/>
    <x v="9"/>
    <x v="22"/>
    <x v="3"/>
    <x v="0"/>
    <x v="3"/>
    <x v="8"/>
    <x v="0"/>
    <x v="0"/>
    <x v="0"/>
    <x v="163"/>
    <x v="116"/>
    <x v="18"/>
    <x v="60"/>
    <x v="152"/>
  </r>
  <r>
    <x v="617"/>
    <x v="58"/>
    <x v="2"/>
    <x v="0"/>
    <x v="2"/>
    <x v="1"/>
    <x v="13"/>
    <x v="0"/>
    <x v="0"/>
    <x v="511"/>
    <x v="534"/>
    <x v="0"/>
    <x v="46"/>
    <x v="92"/>
    <x v="0"/>
    <x v="0"/>
    <x v="1"/>
    <x v="131"/>
    <x v="0"/>
    <x v="2"/>
    <x v="1"/>
    <x v="320"/>
    <x v="250"/>
    <x v="61"/>
    <x v="17"/>
    <x v="112"/>
  </r>
  <r>
    <x v="618"/>
    <x v="30"/>
    <x v="1"/>
    <x v="2"/>
    <x v="0"/>
    <x v="0"/>
    <x v="17"/>
    <x v="2"/>
    <x v="0"/>
    <x v="512"/>
    <x v="15"/>
    <x v="2"/>
    <x v="29"/>
    <x v="165"/>
    <x v="2"/>
    <x v="1"/>
    <x v="1"/>
    <x v="57"/>
    <x v="1"/>
    <x v="2"/>
    <x v="1"/>
    <x v="164"/>
    <x v="235"/>
    <x v="41"/>
    <x v="172"/>
    <x v="77"/>
  </r>
  <r>
    <x v="619"/>
    <x v="2"/>
    <x v="0"/>
    <x v="0"/>
    <x v="2"/>
    <x v="2"/>
    <x v="19"/>
    <x v="1"/>
    <x v="0"/>
    <x v="513"/>
    <x v="535"/>
    <x v="0"/>
    <x v="9"/>
    <x v="3"/>
    <x v="0"/>
    <x v="0"/>
    <x v="0"/>
    <x v="21"/>
    <x v="0"/>
    <x v="0"/>
    <x v="0"/>
    <x v="268"/>
    <x v="52"/>
    <x v="10"/>
    <x v="93"/>
    <x v="103"/>
  </r>
  <r>
    <x v="620"/>
    <x v="20"/>
    <x v="2"/>
    <x v="4"/>
    <x v="0"/>
    <x v="0"/>
    <x v="16"/>
    <x v="3"/>
    <x v="1"/>
    <x v="104"/>
    <x v="106"/>
    <x v="1"/>
    <x v="76"/>
    <x v="31"/>
    <x v="1"/>
    <x v="0"/>
    <x v="4"/>
    <x v="55"/>
    <x v="0"/>
    <x v="1"/>
    <x v="1"/>
    <x v="18"/>
    <x v="313"/>
    <x v="63"/>
    <x v="120"/>
    <x v="116"/>
  </r>
  <r>
    <x v="621"/>
    <x v="28"/>
    <x v="1"/>
    <x v="3"/>
    <x v="0"/>
    <x v="0"/>
    <x v="3"/>
    <x v="3"/>
    <x v="3"/>
    <x v="514"/>
    <x v="279"/>
    <x v="3"/>
    <x v="3"/>
    <x v="190"/>
    <x v="3"/>
    <x v="0"/>
    <x v="4"/>
    <x v="75"/>
    <x v="0"/>
    <x v="4"/>
    <x v="1"/>
    <x v="321"/>
    <x v="306"/>
    <x v="90"/>
    <x v="91"/>
    <x v="164"/>
  </r>
  <r>
    <x v="622"/>
    <x v="43"/>
    <x v="2"/>
    <x v="1"/>
    <x v="1"/>
    <x v="2"/>
    <x v="5"/>
    <x v="2"/>
    <x v="0"/>
    <x v="515"/>
    <x v="234"/>
    <x v="3"/>
    <x v="47"/>
    <x v="149"/>
    <x v="3"/>
    <x v="0"/>
    <x v="4"/>
    <x v="71"/>
    <x v="0"/>
    <x v="0"/>
    <x v="0"/>
    <x v="229"/>
    <x v="236"/>
    <x v="89"/>
    <x v="68"/>
    <x v="122"/>
  </r>
  <r>
    <x v="623"/>
    <x v="22"/>
    <x v="1"/>
    <x v="4"/>
    <x v="4"/>
    <x v="4"/>
    <x v="19"/>
    <x v="0"/>
    <x v="3"/>
    <x v="516"/>
    <x v="536"/>
    <x v="3"/>
    <x v="26"/>
    <x v="80"/>
    <x v="3"/>
    <x v="2"/>
    <x v="0"/>
    <x v="60"/>
    <x v="1"/>
    <x v="3"/>
    <x v="1"/>
    <x v="29"/>
    <x v="314"/>
    <x v="59"/>
    <x v="103"/>
    <x v="120"/>
  </r>
  <r>
    <x v="624"/>
    <x v="60"/>
    <x v="1"/>
    <x v="3"/>
    <x v="1"/>
    <x v="0"/>
    <x v="4"/>
    <x v="1"/>
    <x v="1"/>
    <x v="517"/>
    <x v="537"/>
    <x v="0"/>
    <x v="6"/>
    <x v="78"/>
    <x v="0"/>
    <x v="2"/>
    <x v="4"/>
    <x v="54"/>
    <x v="1"/>
    <x v="0"/>
    <x v="1"/>
    <x v="299"/>
    <x v="107"/>
    <x v="66"/>
    <x v="73"/>
    <x v="102"/>
  </r>
  <r>
    <x v="625"/>
    <x v="30"/>
    <x v="2"/>
    <x v="2"/>
    <x v="0"/>
    <x v="0"/>
    <x v="1"/>
    <x v="3"/>
    <x v="2"/>
    <x v="208"/>
    <x v="455"/>
    <x v="2"/>
    <x v="72"/>
    <x v="25"/>
    <x v="2"/>
    <x v="2"/>
    <x v="4"/>
    <x v="142"/>
    <x v="1"/>
    <x v="2"/>
    <x v="0"/>
    <x v="87"/>
    <x v="315"/>
    <x v="67"/>
    <x v="103"/>
    <x v="55"/>
  </r>
  <r>
    <x v="626"/>
    <x v="28"/>
    <x v="2"/>
    <x v="0"/>
    <x v="3"/>
    <x v="1"/>
    <x v="16"/>
    <x v="3"/>
    <x v="3"/>
    <x v="518"/>
    <x v="538"/>
    <x v="0"/>
    <x v="78"/>
    <x v="135"/>
    <x v="0"/>
    <x v="0"/>
    <x v="2"/>
    <x v="86"/>
    <x v="0"/>
    <x v="0"/>
    <x v="1"/>
    <x v="235"/>
    <x v="57"/>
    <x v="83"/>
    <x v="164"/>
    <x v="168"/>
  </r>
  <r>
    <x v="627"/>
    <x v="25"/>
    <x v="2"/>
    <x v="3"/>
    <x v="3"/>
    <x v="0"/>
    <x v="8"/>
    <x v="1"/>
    <x v="3"/>
    <x v="519"/>
    <x v="539"/>
    <x v="2"/>
    <x v="26"/>
    <x v="16"/>
    <x v="2"/>
    <x v="1"/>
    <x v="3"/>
    <x v="108"/>
    <x v="1"/>
    <x v="3"/>
    <x v="0"/>
    <x v="322"/>
    <x v="295"/>
    <x v="53"/>
    <x v="162"/>
    <x v="58"/>
  </r>
  <r>
    <x v="628"/>
    <x v="18"/>
    <x v="0"/>
    <x v="1"/>
    <x v="4"/>
    <x v="3"/>
    <x v="8"/>
    <x v="2"/>
    <x v="3"/>
    <x v="520"/>
    <x v="540"/>
    <x v="2"/>
    <x v="20"/>
    <x v="95"/>
    <x v="2"/>
    <x v="1"/>
    <x v="0"/>
    <x v="21"/>
    <x v="1"/>
    <x v="0"/>
    <x v="1"/>
    <x v="156"/>
    <x v="240"/>
    <x v="31"/>
    <x v="167"/>
    <x v="92"/>
  </r>
  <r>
    <x v="629"/>
    <x v="53"/>
    <x v="2"/>
    <x v="4"/>
    <x v="4"/>
    <x v="0"/>
    <x v="17"/>
    <x v="1"/>
    <x v="0"/>
    <x v="521"/>
    <x v="541"/>
    <x v="1"/>
    <x v="1"/>
    <x v="153"/>
    <x v="1"/>
    <x v="2"/>
    <x v="3"/>
    <x v="54"/>
    <x v="1"/>
    <x v="3"/>
    <x v="0"/>
    <x v="70"/>
    <x v="79"/>
    <x v="13"/>
    <x v="160"/>
    <x v="83"/>
  </r>
  <r>
    <x v="630"/>
    <x v="22"/>
    <x v="1"/>
    <x v="2"/>
    <x v="1"/>
    <x v="5"/>
    <x v="10"/>
    <x v="0"/>
    <x v="0"/>
    <x v="522"/>
    <x v="542"/>
    <x v="0"/>
    <x v="3"/>
    <x v="6"/>
    <x v="0"/>
    <x v="1"/>
    <x v="0"/>
    <x v="99"/>
    <x v="1"/>
    <x v="0"/>
    <x v="1"/>
    <x v="116"/>
    <x v="127"/>
    <x v="1"/>
    <x v="137"/>
    <x v="73"/>
  </r>
  <r>
    <x v="631"/>
    <x v="29"/>
    <x v="2"/>
    <x v="1"/>
    <x v="3"/>
    <x v="0"/>
    <x v="4"/>
    <x v="1"/>
    <x v="0"/>
    <x v="523"/>
    <x v="39"/>
    <x v="3"/>
    <x v="49"/>
    <x v="166"/>
    <x v="3"/>
    <x v="2"/>
    <x v="3"/>
    <x v="6"/>
    <x v="1"/>
    <x v="2"/>
    <x v="1"/>
    <x v="74"/>
    <x v="97"/>
    <x v="21"/>
    <x v="122"/>
    <x v="143"/>
  </r>
  <r>
    <x v="632"/>
    <x v="19"/>
    <x v="0"/>
    <x v="3"/>
    <x v="4"/>
    <x v="0"/>
    <x v="10"/>
    <x v="3"/>
    <x v="3"/>
    <x v="524"/>
    <x v="543"/>
    <x v="3"/>
    <x v="31"/>
    <x v="130"/>
    <x v="3"/>
    <x v="2"/>
    <x v="0"/>
    <x v="92"/>
    <x v="1"/>
    <x v="4"/>
    <x v="1"/>
    <x v="260"/>
    <x v="181"/>
    <x v="56"/>
    <x v="107"/>
    <x v="66"/>
  </r>
  <r>
    <x v="633"/>
    <x v="27"/>
    <x v="0"/>
    <x v="1"/>
    <x v="3"/>
    <x v="4"/>
    <x v="4"/>
    <x v="1"/>
    <x v="0"/>
    <x v="525"/>
    <x v="544"/>
    <x v="2"/>
    <x v="81"/>
    <x v="12"/>
    <x v="2"/>
    <x v="2"/>
    <x v="3"/>
    <x v="86"/>
    <x v="1"/>
    <x v="2"/>
    <x v="0"/>
    <x v="296"/>
    <x v="59"/>
    <x v="26"/>
    <x v="143"/>
    <x v="75"/>
  </r>
  <r>
    <x v="634"/>
    <x v="18"/>
    <x v="1"/>
    <x v="4"/>
    <x v="3"/>
    <x v="4"/>
    <x v="9"/>
    <x v="0"/>
    <x v="3"/>
    <x v="526"/>
    <x v="545"/>
    <x v="3"/>
    <x v="4"/>
    <x v="179"/>
    <x v="3"/>
    <x v="0"/>
    <x v="3"/>
    <x v="17"/>
    <x v="0"/>
    <x v="0"/>
    <x v="1"/>
    <x v="156"/>
    <x v="316"/>
    <x v="39"/>
    <x v="140"/>
    <x v="110"/>
  </r>
  <r>
    <x v="635"/>
    <x v="13"/>
    <x v="1"/>
    <x v="4"/>
    <x v="1"/>
    <x v="3"/>
    <x v="3"/>
    <x v="2"/>
    <x v="0"/>
    <x v="527"/>
    <x v="546"/>
    <x v="1"/>
    <x v="40"/>
    <x v="185"/>
    <x v="1"/>
    <x v="1"/>
    <x v="0"/>
    <x v="129"/>
    <x v="1"/>
    <x v="2"/>
    <x v="1"/>
    <x v="252"/>
    <x v="317"/>
    <x v="89"/>
    <x v="68"/>
    <x v="124"/>
  </r>
  <r>
    <x v="636"/>
    <x v="49"/>
    <x v="1"/>
    <x v="3"/>
    <x v="4"/>
    <x v="3"/>
    <x v="1"/>
    <x v="1"/>
    <x v="1"/>
    <x v="528"/>
    <x v="547"/>
    <x v="0"/>
    <x v="12"/>
    <x v="13"/>
    <x v="0"/>
    <x v="0"/>
    <x v="3"/>
    <x v="144"/>
    <x v="0"/>
    <x v="3"/>
    <x v="0"/>
    <x v="235"/>
    <x v="272"/>
    <x v="73"/>
    <x v="31"/>
    <x v="134"/>
  </r>
  <r>
    <x v="637"/>
    <x v="50"/>
    <x v="1"/>
    <x v="1"/>
    <x v="2"/>
    <x v="0"/>
    <x v="3"/>
    <x v="1"/>
    <x v="2"/>
    <x v="529"/>
    <x v="548"/>
    <x v="3"/>
    <x v="9"/>
    <x v="110"/>
    <x v="3"/>
    <x v="1"/>
    <x v="1"/>
    <x v="30"/>
    <x v="1"/>
    <x v="3"/>
    <x v="1"/>
    <x v="315"/>
    <x v="318"/>
    <x v="88"/>
    <x v="83"/>
    <x v="47"/>
  </r>
  <r>
    <x v="638"/>
    <x v="33"/>
    <x v="2"/>
    <x v="2"/>
    <x v="4"/>
    <x v="0"/>
    <x v="15"/>
    <x v="1"/>
    <x v="3"/>
    <x v="78"/>
    <x v="549"/>
    <x v="1"/>
    <x v="4"/>
    <x v="22"/>
    <x v="1"/>
    <x v="1"/>
    <x v="1"/>
    <x v="93"/>
    <x v="1"/>
    <x v="0"/>
    <x v="1"/>
    <x v="190"/>
    <x v="319"/>
    <x v="73"/>
    <x v="133"/>
    <x v="11"/>
  </r>
  <r>
    <x v="639"/>
    <x v="67"/>
    <x v="0"/>
    <x v="4"/>
    <x v="0"/>
    <x v="5"/>
    <x v="3"/>
    <x v="1"/>
    <x v="2"/>
    <x v="530"/>
    <x v="550"/>
    <x v="2"/>
    <x v="6"/>
    <x v="177"/>
    <x v="2"/>
    <x v="0"/>
    <x v="0"/>
    <x v="85"/>
    <x v="0"/>
    <x v="4"/>
    <x v="1"/>
    <x v="149"/>
    <x v="320"/>
    <x v="9"/>
    <x v="98"/>
    <x v="87"/>
  </r>
  <r>
    <x v="640"/>
    <x v="22"/>
    <x v="0"/>
    <x v="0"/>
    <x v="3"/>
    <x v="4"/>
    <x v="6"/>
    <x v="3"/>
    <x v="0"/>
    <x v="531"/>
    <x v="461"/>
    <x v="2"/>
    <x v="10"/>
    <x v="156"/>
    <x v="2"/>
    <x v="0"/>
    <x v="0"/>
    <x v="31"/>
    <x v="0"/>
    <x v="2"/>
    <x v="0"/>
    <x v="2"/>
    <x v="251"/>
    <x v="60"/>
    <x v="95"/>
    <x v="46"/>
  </r>
  <r>
    <x v="641"/>
    <x v="42"/>
    <x v="2"/>
    <x v="2"/>
    <x v="2"/>
    <x v="2"/>
    <x v="19"/>
    <x v="0"/>
    <x v="3"/>
    <x v="278"/>
    <x v="551"/>
    <x v="0"/>
    <x v="39"/>
    <x v="92"/>
    <x v="0"/>
    <x v="2"/>
    <x v="2"/>
    <x v="87"/>
    <x v="1"/>
    <x v="0"/>
    <x v="1"/>
    <x v="323"/>
    <x v="260"/>
    <x v="5"/>
    <x v="165"/>
    <x v="114"/>
  </r>
  <r>
    <x v="642"/>
    <x v="1"/>
    <x v="0"/>
    <x v="3"/>
    <x v="2"/>
    <x v="0"/>
    <x v="12"/>
    <x v="1"/>
    <x v="3"/>
    <x v="532"/>
    <x v="552"/>
    <x v="1"/>
    <x v="1"/>
    <x v="30"/>
    <x v="1"/>
    <x v="0"/>
    <x v="4"/>
    <x v="16"/>
    <x v="0"/>
    <x v="0"/>
    <x v="1"/>
    <x v="82"/>
    <x v="70"/>
    <x v="79"/>
    <x v="14"/>
    <x v="84"/>
  </r>
  <r>
    <x v="643"/>
    <x v="18"/>
    <x v="2"/>
    <x v="3"/>
    <x v="2"/>
    <x v="1"/>
    <x v="5"/>
    <x v="2"/>
    <x v="3"/>
    <x v="533"/>
    <x v="553"/>
    <x v="2"/>
    <x v="4"/>
    <x v="121"/>
    <x v="2"/>
    <x v="2"/>
    <x v="1"/>
    <x v="76"/>
    <x v="1"/>
    <x v="4"/>
    <x v="0"/>
    <x v="160"/>
    <x v="97"/>
    <x v="27"/>
    <x v="124"/>
    <x v="12"/>
  </r>
  <r>
    <x v="644"/>
    <x v="31"/>
    <x v="2"/>
    <x v="0"/>
    <x v="1"/>
    <x v="0"/>
    <x v="3"/>
    <x v="0"/>
    <x v="2"/>
    <x v="426"/>
    <x v="521"/>
    <x v="0"/>
    <x v="56"/>
    <x v="87"/>
    <x v="0"/>
    <x v="0"/>
    <x v="4"/>
    <x v="133"/>
    <x v="0"/>
    <x v="1"/>
    <x v="1"/>
    <x v="316"/>
    <x v="80"/>
    <x v="2"/>
    <x v="128"/>
    <x v="160"/>
  </r>
  <r>
    <x v="645"/>
    <x v="30"/>
    <x v="0"/>
    <x v="4"/>
    <x v="2"/>
    <x v="0"/>
    <x v="19"/>
    <x v="0"/>
    <x v="0"/>
    <x v="534"/>
    <x v="554"/>
    <x v="0"/>
    <x v="59"/>
    <x v="90"/>
    <x v="0"/>
    <x v="1"/>
    <x v="3"/>
    <x v="64"/>
    <x v="1"/>
    <x v="0"/>
    <x v="0"/>
    <x v="251"/>
    <x v="183"/>
    <x v="87"/>
    <x v="168"/>
    <x v="57"/>
  </r>
  <r>
    <x v="646"/>
    <x v="32"/>
    <x v="0"/>
    <x v="2"/>
    <x v="4"/>
    <x v="3"/>
    <x v="14"/>
    <x v="0"/>
    <x v="2"/>
    <x v="535"/>
    <x v="555"/>
    <x v="1"/>
    <x v="3"/>
    <x v="32"/>
    <x v="1"/>
    <x v="0"/>
    <x v="3"/>
    <x v="127"/>
    <x v="0"/>
    <x v="2"/>
    <x v="1"/>
    <x v="53"/>
    <x v="257"/>
    <x v="71"/>
    <x v="45"/>
    <x v="102"/>
  </r>
  <r>
    <x v="647"/>
    <x v="45"/>
    <x v="1"/>
    <x v="4"/>
    <x v="1"/>
    <x v="3"/>
    <x v="4"/>
    <x v="0"/>
    <x v="3"/>
    <x v="327"/>
    <x v="556"/>
    <x v="2"/>
    <x v="9"/>
    <x v="182"/>
    <x v="2"/>
    <x v="0"/>
    <x v="2"/>
    <x v="125"/>
    <x v="0"/>
    <x v="0"/>
    <x v="0"/>
    <x v="225"/>
    <x v="64"/>
    <x v="65"/>
    <x v="11"/>
    <x v="34"/>
  </r>
  <r>
    <x v="648"/>
    <x v="17"/>
    <x v="1"/>
    <x v="2"/>
    <x v="4"/>
    <x v="1"/>
    <x v="2"/>
    <x v="2"/>
    <x v="0"/>
    <x v="536"/>
    <x v="371"/>
    <x v="2"/>
    <x v="24"/>
    <x v="130"/>
    <x v="2"/>
    <x v="2"/>
    <x v="4"/>
    <x v="100"/>
    <x v="1"/>
    <x v="2"/>
    <x v="1"/>
    <x v="324"/>
    <x v="76"/>
    <x v="65"/>
    <x v="5"/>
    <x v="146"/>
  </r>
  <r>
    <x v="649"/>
    <x v="27"/>
    <x v="0"/>
    <x v="4"/>
    <x v="4"/>
    <x v="0"/>
    <x v="1"/>
    <x v="3"/>
    <x v="0"/>
    <x v="537"/>
    <x v="119"/>
    <x v="0"/>
    <x v="3"/>
    <x v="134"/>
    <x v="0"/>
    <x v="1"/>
    <x v="1"/>
    <x v="104"/>
    <x v="1"/>
    <x v="1"/>
    <x v="1"/>
    <x v="165"/>
    <x v="64"/>
    <x v="68"/>
    <x v="48"/>
    <x v="140"/>
  </r>
  <r>
    <x v="650"/>
    <x v="28"/>
    <x v="0"/>
    <x v="3"/>
    <x v="0"/>
    <x v="0"/>
    <x v="19"/>
    <x v="2"/>
    <x v="3"/>
    <x v="368"/>
    <x v="557"/>
    <x v="0"/>
    <x v="4"/>
    <x v="141"/>
    <x v="0"/>
    <x v="0"/>
    <x v="4"/>
    <x v="90"/>
    <x v="0"/>
    <x v="1"/>
    <x v="1"/>
    <x v="119"/>
    <x v="1"/>
    <x v="0"/>
    <x v="112"/>
    <x v="91"/>
  </r>
  <r>
    <x v="651"/>
    <x v="40"/>
    <x v="2"/>
    <x v="0"/>
    <x v="1"/>
    <x v="1"/>
    <x v="13"/>
    <x v="2"/>
    <x v="1"/>
    <x v="20"/>
    <x v="558"/>
    <x v="0"/>
    <x v="79"/>
    <x v="98"/>
    <x v="0"/>
    <x v="1"/>
    <x v="0"/>
    <x v="101"/>
    <x v="1"/>
    <x v="1"/>
    <x v="0"/>
    <x v="66"/>
    <x v="214"/>
    <x v="42"/>
    <x v="132"/>
    <x v="79"/>
  </r>
  <r>
    <x v="652"/>
    <x v="60"/>
    <x v="1"/>
    <x v="0"/>
    <x v="1"/>
    <x v="2"/>
    <x v="3"/>
    <x v="2"/>
    <x v="2"/>
    <x v="538"/>
    <x v="559"/>
    <x v="1"/>
    <x v="4"/>
    <x v="104"/>
    <x v="1"/>
    <x v="0"/>
    <x v="1"/>
    <x v="74"/>
    <x v="0"/>
    <x v="0"/>
    <x v="0"/>
    <x v="237"/>
    <x v="321"/>
    <x v="36"/>
    <x v="162"/>
    <x v="163"/>
  </r>
  <r>
    <x v="653"/>
    <x v="11"/>
    <x v="1"/>
    <x v="2"/>
    <x v="0"/>
    <x v="0"/>
    <x v="19"/>
    <x v="2"/>
    <x v="3"/>
    <x v="191"/>
    <x v="560"/>
    <x v="1"/>
    <x v="1"/>
    <x v="158"/>
    <x v="1"/>
    <x v="0"/>
    <x v="1"/>
    <x v="74"/>
    <x v="0"/>
    <x v="2"/>
    <x v="0"/>
    <x v="273"/>
    <x v="40"/>
    <x v="13"/>
    <x v="75"/>
    <x v="22"/>
  </r>
  <r>
    <x v="654"/>
    <x v="15"/>
    <x v="1"/>
    <x v="1"/>
    <x v="3"/>
    <x v="0"/>
    <x v="8"/>
    <x v="2"/>
    <x v="1"/>
    <x v="539"/>
    <x v="222"/>
    <x v="3"/>
    <x v="6"/>
    <x v="93"/>
    <x v="3"/>
    <x v="2"/>
    <x v="3"/>
    <x v="66"/>
    <x v="1"/>
    <x v="2"/>
    <x v="1"/>
    <x v="309"/>
    <x v="194"/>
    <x v="42"/>
    <x v="80"/>
    <x v="103"/>
  </r>
  <r>
    <x v="655"/>
    <x v="15"/>
    <x v="0"/>
    <x v="1"/>
    <x v="1"/>
    <x v="5"/>
    <x v="0"/>
    <x v="2"/>
    <x v="3"/>
    <x v="237"/>
    <x v="3"/>
    <x v="3"/>
    <x v="36"/>
    <x v="190"/>
    <x v="3"/>
    <x v="1"/>
    <x v="1"/>
    <x v="37"/>
    <x v="1"/>
    <x v="0"/>
    <x v="1"/>
    <x v="206"/>
    <x v="249"/>
    <x v="41"/>
    <x v="104"/>
    <x v="115"/>
  </r>
  <r>
    <x v="656"/>
    <x v="9"/>
    <x v="1"/>
    <x v="4"/>
    <x v="3"/>
    <x v="5"/>
    <x v="2"/>
    <x v="2"/>
    <x v="1"/>
    <x v="540"/>
    <x v="54"/>
    <x v="2"/>
    <x v="41"/>
    <x v="46"/>
    <x v="2"/>
    <x v="1"/>
    <x v="2"/>
    <x v="78"/>
    <x v="1"/>
    <x v="1"/>
    <x v="1"/>
    <x v="157"/>
    <x v="322"/>
    <x v="82"/>
    <x v="72"/>
    <x v="43"/>
  </r>
  <r>
    <x v="657"/>
    <x v="18"/>
    <x v="1"/>
    <x v="1"/>
    <x v="0"/>
    <x v="0"/>
    <x v="11"/>
    <x v="0"/>
    <x v="0"/>
    <x v="541"/>
    <x v="561"/>
    <x v="1"/>
    <x v="9"/>
    <x v="97"/>
    <x v="1"/>
    <x v="2"/>
    <x v="4"/>
    <x v="109"/>
    <x v="1"/>
    <x v="3"/>
    <x v="1"/>
    <x v="126"/>
    <x v="141"/>
    <x v="31"/>
    <x v="71"/>
    <x v="131"/>
  </r>
  <r>
    <x v="658"/>
    <x v="43"/>
    <x v="1"/>
    <x v="0"/>
    <x v="2"/>
    <x v="1"/>
    <x v="5"/>
    <x v="1"/>
    <x v="2"/>
    <x v="181"/>
    <x v="415"/>
    <x v="0"/>
    <x v="63"/>
    <x v="129"/>
    <x v="0"/>
    <x v="0"/>
    <x v="3"/>
    <x v="131"/>
    <x v="0"/>
    <x v="1"/>
    <x v="1"/>
    <x v="312"/>
    <x v="172"/>
    <x v="80"/>
    <x v="42"/>
    <x v="41"/>
  </r>
  <r>
    <x v="659"/>
    <x v="19"/>
    <x v="1"/>
    <x v="3"/>
    <x v="3"/>
    <x v="4"/>
    <x v="19"/>
    <x v="2"/>
    <x v="0"/>
    <x v="54"/>
    <x v="562"/>
    <x v="3"/>
    <x v="58"/>
    <x v="137"/>
    <x v="3"/>
    <x v="1"/>
    <x v="0"/>
    <x v="143"/>
    <x v="1"/>
    <x v="3"/>
    <x v="1"/>
    <x v="197"/>
    <x v="27"/>
    <x v="75"/>
    <x v="137"/>
    <x v="25"/>
  </r>
  <r>
    <x v="660"/>
    <x v="25"/>
    <x v="2"/>
    <x v="1"/>
    <x v="3"/>
    <x v="1"/>
    <x v="10"/>
    <x v="0"/>
    <x v="3"/>
    <x v="542"/>
    <x v="563"/>
    <x v="3"/>
    <x v="9"/>
    <x v="114"/>
    <x v="3"/>
    <x v="2"/>
    <x v="2"/>
    <x v="15"/>
    <x v="1"/>
    <x v="3"/>
    <x v="0"/>
    <x v="100"/>
    <x v="88"/>
    <x v="1"/>
    <x v="106"/>
    <x v="12"/>
  </r>
  <r>
    <x v="661"/>
    <x v="55"/>
    <x v="0"/>
    <x v="1"/>
    <x v="2"/>
    <x v="1"/>
    <x v="0"/>
    <x v="3"/>
    <x v="3"/>
    <x v="543"/>
    <x v="148"/>
    <x v="3"/>
    <x v="40"/>
    <x v="11"/>
    <x v="3"/>
    <x v="1"/>
    <x v="0"/>
    <x v="82"/>
    <x v="1"/>
    <x v="3"/>
    <x v="0"/>
    <x v="150"/>
    <x v="147"/>
    <x v="42"/>
    <x v="151"/>
    <x v="139"/>
  </r>
  <r>
    <x v="662"/>
    <x v="53"/>
    <x v="1"/>
    <x v="0"/>
    <x v="3"/>
    <x v="0"/>
    <x v="15"/>
    <x v="2"/>
    <x v="2"/>
    <x v="514"/>
    <x v="564"/>
    <x v="2"/>
    <x v="0"/>
    <x v="191"/>
    <x v="2"/>
    <x v="1"/>
    <x v="3"/>
    <x v="2"/>
    <x v="1"/>
    <x v="0"/>
    <x v="1"/>
    <x v="172"/>
    <x v="323"/>
    <x v="66"/>
    <x v="122"/>
    <x v="19"/>
  </r>
  <r>
    <x v="663"/>
    <x v="61"/>
    <x v="1"/>
    <x v="4"/>
    <x v="3"/>
    <x v="0"/>
    <x v="15"/>
    <x v="2"/>
    <x v="1"/>
    <x v="311"/>
    <x v="565"/>
    <x v="2"/>
    <x v="50"/>
    <x v="42"/>
    <x v="2"/>
    <x v="0"/>
    <x v="0"/>
    <x v="24"/>
    <x v="0"/>
    <x v="3"/>
    <x v="1"/>
    <x v="173"/>
    <x v="268"/>
    <x v="1"/>
    <x v="138"/>
    <x v="72"/>
  </r>
  <r>
    <x v="664"/>
    <x v="1"/>
    <x v="2"/>
    <x v="0"/>
    <x v="3"/>
    <x v="0"/>
    <x v="15"/>
    <x v="0"/>
    <x v="3"/>
    <x v="544"/>
    <x v="566"/>
    <x v="2"/>
    <x v="26"/>
    <x v="176"/>
    <x v="2"/>
    <x v="1"/>
    <x v="4"/>
    <x v="130"/>
    <x v="1"/>
    <x v="2"/>
    <x v="1"/>
    <x v="99"/>
    <x v="247"/>
    <x v="3"/>
    <x v="16"/>
    <x v="159"/>
  </r>
  <r>
    <x v="665"/>
    <x v="41"/>
    <x v="2"/>
    <x v="3"/>
    <x v="4"/>
    <x v="0"/>
    <x v="18"/>
    <x v="0"/>
    <x v="1"/>
    <x v="545"/>
    <x v="74"/>
    <x v="1"/>
    <x v="4"/>
    <x v="107"/>
    <x v="1"/>
    <x v="0"/>
    <x v="2"/>
    <x v="3"/>
    <x v="0"/>
    <x v="4"/>
    <x v="1"/>
    <x v="192"/>
    <x v="324"/>
    <x v="72"/>
    <x v="131"/>
    <x v="61"/>
  </r>
  <r>
    <x v="666"/>
    <x v="8"/>
    <x v="1"/>
    <x v="1"/>
    <x v="2"/>
    <x v="4"/>
    <x v="8"/>
    <x v="3"/>
    <x v="1"/>
    <x v="546"/>
    <x v="532"/>
    <x v="0"/>
    <x v="4"/>
    <x v="184"/>
    <x v="0"/>
    <x v="0"/>
    <x v="4"/>
    <x v="10"/>
    <x v="0"/>
    <x v="3"/>
    <x v="1"/>
    <x v="182"/>
    <x v="158"/>
    <x v="1"/>
    <x v="148"/>
    <x v="158"/>
  </r>
  <r>
    <x v="667"/>
    <x v="10"/>
    <x v="1"/>
    <x v="3"/>
    <x v="3"/>
    <x v="0"/>
    <x v="11"/>
    <x v="3"/>
    <x v="2"/>
    <x v="119"/>
    <x v="567"/>
    <x v="1"/>
    <x v="8"/>
    <x v="120"/>
    <x v="1"/>
    <x v="1"/>
    <x v="3"/>
    <x v="93"/>
    <x v="1"/>
    <x v="3"/>
    <x v="0"/>
    <x v="248"/>
    <x v="56"/>
    <x v="38"/>
    <x v="98"/>
    <x v="0"/>
  </r>
  <r>
    <x v="668"/>
    <x v="37"/>
    <x v="0"/>
    <x v="1"/>
    <x v="3"/>
    <x v="5"/>
    <x v="6"/>
    <x v="1"/>
    <x v="1"/>
    <x v="547"/>
    <x v="568"/>
    <x v="2"/>
    <x v="58"/>
    <x v="68"/>
    <x v="2"/>
    <x v="0"/>
    <x v="4"/>
    <x v="130"/>
    <x v="0"/>
    <x v="3"/>
    <x v="0"/>
    <x v="39"/>
    <x v="325"/>
    <x v="72"/>
    <x v="126"/>
    <x v="88"/>
  </r>
  <r>
    <x v="669"/>
    <x v="16"/>
    <x v="0"/>
    <x v="1"/>
    <x v="4"/>
    <x v="0"/>
    <x v="5"/>
    <x v="2"/>
    <x v="0"/>
    <x v="548"/>
    <x v="35"/>
    <x v="2"/>
    <x v="22"/>
    <x v="67"/>
    <x v="2"/>
    <x v="0"/>
    <x v="3"/>
    <x v="66"/>
    <x v="0"/>
    <x v="2"/>
    <x v="1"/>
    <x v="197"/>
    <x v="108"/>
    <x v="41"/>
    <x v="169"/>
    <x v="119"/>
  </r>
  <r>
    <x v="670"/>
    <x v="44"/>
    <x v="2"/>
    <x v="1"/>
    <x v="4"/>
    <x v="4"/>
    <x v="18"/>
    <x v="1"/>
    <x v="0"/>
    <x v="247"/>
    <x v="569"/>
    <x v="0"/>
    <x v="43"/>
    <x v="74"/>
    <x v="0"/>
    <x v="2"/>
    <x v="0"/>
    <x v="108"/>
    <x v="1"/>
    <x v="0"/>
    <x v="1"/>
    <x v="266"/>
    <x v="326"/>
    <x v="25"/>
    <x v="173"/>
    <x v="104"/>
  </r>
  <r>
    <x v="671"/>
    <x v="28"/>
    <x v="0"/>
    <x v="4"/>
    <x v="3"/>
    <x v="4"/>
    <x v="9"/>
    <x v="1"/>
    <x v="1"/>
    <x v="549"/>
    <x v="195"/>
    <x v="0"/>
    <x v="9"/>
    <x v="126"/>
    <x v="0"/>
    <x v="0"/>
    <x v="4"/>
    <x v="111"/>
    <x v="0"/>
    <x v="4"/>
    <x v="0"/>
    <x v="313"/>
    <x v="309"/>
    <x v="10"/>
    <x v="126"/>
    <x v="161"/>
  </r>
  <r>
    <x v="672"/>
    <x v="52"/>
    <x v="1"/>
    <x v="3"/>
    <x v="4"/>
    <x v="0"/>
    <x v="14"/>
    <x v="0"/>
    <x v="2"/>
    <x v="503"/>
    <x v="524"/>
    <x v="1"/>
    <x v="8"/>
    <x v="118"/>
    <x v="1"/>
    <x v="0"/>
    <x v="3"/>
    <x v="86"/>
    <x v="0"/>
    <x v="1"/>
    <x v="0"/>
    <x v="106"/>
    <x v="105"/>
    <x v="89"/>
    <x v="39"/>
    <x v="20"/>
  </r>
  <r>
    <x v="673"/>
    <x v="41"/>
    <x v="1"/>
    <x v="3"/>
    <x v="2"/>
    <x v="2"/>
    <x v="1"/>
    <x v="0"/>
    <x v="2"/>
    <x v="479"/>
    <x v="496"/>
    <x v="3"/>
    <x v="1"/>
    <x v="68"/>
    <x v="3"/>
    <x v="0"/>
    <x v="1"/>
    <x v="82"/>
    <x v="0"/>
    <x v="2"/>
    <x v="1"/>
    <x v="31"/>
    <x v="327"/>
    <x v="23"/>
    <x v="104"/>
    <x v="119"/>
  </r>
  <r>
    <x v="674"/>
    <x v="9"/>
    <x v="0"/>
    <x v="4"/>
    <x v="3"/>
    <x v="5"/>
    <x v="16"/>
    <x v="0"/>
    <x v="3"/>
    <x v="550"/>
    <x v="570"/>
    <x v="1"/>
    <x v="9"/>
    <x v="151"/>
    <x v="1"/>
    <x v="2"/>
    <x v="2"/>
    <x v="120"/>
    <x v="1"/>
    <x v="2"/>
    <x v="1"/>
    <x v="152"/>
    <x v="139"/>
    <x v="26"/>
    <x v="72"/>
    <x v="15"/>
  </r>
  <r>
    <x v="675"/>
    <x v="23"/>
    <x v="2"/>
    <x v="1"/>
    <x v="0"/>
    <x v="5"/>
    <x v="19"/>
    <x v="0"/>
    <x v="0"/>
    <x v="155"/>
    <x v="571"/>
    <x v="0"/>
    <x v="59"/>
    <x v="140"/>
    <x v="0"/>
    <x v="2"/>
    <x v="2"/>
    <x v="44"/>
    <x v="1"/>
    <x v="4"/>
    <x v="0"/>
    <x v="62"/>
    <x v="136"/>
    <x v="37"/>
    <x v="6"/>
    <x v="37"/>
  </r>
  <r>
    <x v="676"/>
    <x v="27"/>
    <x v="1"/>
    <x v="0"/>
    <x v="4"/>
    <x v="0"/>
    <x v="4"/>
    <x v="0"/>
    <x v="0"/>
    <x v="551"/>
    <x v="451"/>
    <x v="3"/>
    <x v="4"/>
    <x v="130"/>
    <x v="3"/>
    <x v="1"/>
    <x v="3"/>
    <x v="143"/>
    <x v="1"/>
    <x v="3"/>
    <x v="0"/>
    <x v="325"/>
    <x v="189"/>
    <x v="78"/>
    <x v="94"/>
    <x v="82"/>
  </r>
  <r>
    <x v="677"/>
    <x v="9"/>
    <x v="2"/>
    <x v="1"/>
    <x v="3"/>
    <x v="2"/>
    <x v="12"/>
    <x v="1"/>
    <x v="0"/>
    <x v="67"/>
    <x v="474"/>
    <x v="2"/>
    <x v="9"/>
    <x v="90"/>
    <x v="2"/>
    <x v="2"/>
    <x v="4"/>
    <x v="61"/>
    <x v="1"/>
    <x v="2"/>
    <x v="0"/>
    <x v="326"/>
    <x v="92"/>
    <x v="19"/>
    <x v="84"/>
    <x v="152"/>
  </r>
  <r>
    <x v="678"/>
    <x v="37"/>
    <x v="2"/>
    <x v="3"/>
    <x v="4"/>
    <x v="4"/>
    <x v="3"/>
    <x v="1"/>
    <x v="1"/>
    <x v="91"/>
    <x v="572"/>
    <x v="1"/>
    <x v="79"/>
    <x v="154"/>
    <x v="1"/>
    <x v="1"/>
    <x v="1"/>
    <x v="144"/>
    <x v="1"/>
    <x v="4"/>
    <x v="0"/>
    <x v="112"/>
    <x v="27"/>
    <x v="23"/>
    <x v="132"/>
    <x v="33"/>
  </r>
  <r>
    <x v="679"/>
    <x v="45"/>
    <x v="1"/>
    <x v="1"/>
    <x v="0"/>
    <x v="0"/>
    <x v="10"/>
    <x v="2"/>
    <x v="1"/>
    <x v="552"/>
    <x v="573"/>
    <x v="2"/>
    <x v="24"/>
    <x v="134"/>
    <x v="2"/>
    <x v="1"/>
    <x v="4"/>
    <x v="133"/>
    <x v="1"/>
    <x v="2"/>
    <x v="1"/>
    <x v="111"/>
    <x v="15"/>
    <x v="48"/>
    <x v="92"/>
    <x v="138"/>
  </r>
  <r>
    <x v="680"/>
    <x v="55"/>
    <x v="0"/>
    <x v="3"/>
    <x v="0"/>
    <x v="5"/>
    <x v="16"/>
    <x v="1"/>
    <x v="3"/>
    <x v="553"/>
    <x v="574"/>
    <x v="2"/>
    <x v="46"/>
    <x v="154"/>
    <x v="2"/>
    <x v="0"/>
    <x v="4"/>
    <x v="144"/>
    <x v="0"/>
    <x v="2"/>
    <x v="0"/>
    <x v="282"/>
    <x v="4"/>
    <x v="52"/>
    <x v="81"/>
    <x v="138"/>
  </r>
  <r>
    <x v="681"/>
    <x v="52"/>
    <x v="2"/>
    <x v="0"/>
    <x v="4"/>
    <x v="1"/>
    <x v="1"/>
    <x v="1"/>
    <x v="0"/>
    <x v="455"/>
    <x v="575"/>
    <x v="0"/>
    <x v="61"/>
    <x v="62"/>
    <x v="0"/>
    <x v="1"/>
    <x v="2"/>
    <x v="121"/>
    <x v="1"/>
    <x v="1"/>
    <x v="1"/>
    <x v="322"/>
    <x v="151"/>
    <x v="0"/>
    <x v="125"/>
    <x v="96"/>
  </r>
  <r>
    <x v="682"/>
    <x v="6"/>
    <x v="0"/>
    <x v="2"/>
    <x v="4"/>
    <x v="5"/>
    <x v="4"/>
    <x v="0"/>
    <x v="1"/>
    <x v="554"/>
    <x v="528"/>
    <x v="3"/>
    <x v="16"/>
    <x v="29"/>
    <x v="3"/>
    <x v="0"/>
    <x v="2"/>
    <x v="45"/>
    <x v="0"/>
    <x v="2"/>
    <x v="0"/>
    <x v="21"/>
    <x v="266"/>
    <x v="82"/>
    <x v="170"/>
    <x v="114"/>
  </r>
  <r>
    <x v="683"/>
    <x v="58"/>
    <x v="1"/>
    <x v="3"/>
    <x v="0"/>
    <x v="0"/>
    <x v="0"/>
    <x v="1"/>
    <x v="1"/>
    <x v="121"/>
    <x v="576"/>
    <x v="0"/>
    <x v="47"/>
    <x v="40"/>
    <x v="0"/>
    <x v="1"/>
    <x v="1"/>
    <x v="40"/>
    <x v="1"/>
    <x v="1"/>
    <x v="0"/>
    <x v="152"/>
    <x v="217"/>
    <x v="42"/>
    <x v="8"/>
    <x v="76"/>
  </r>
  <r>
    <x v="684"/>
    <x v="9"/>
    <x v="1"/>
    <x v="3"/>
    <x v="4"/>
    <x v="0"/>
    <x v="16"/>
    <x v="1"/>
    <x v="0"/>
    <x v="517"/>
    <x v="577"/>
    <x v="3"/>
    <x v="6"/>
    <x v="28"/>
    <x v="3"/>
    <x v="0"/>
    <x v="3"/>
    <x v="64"/>
    <x v="0"/>
    <x v="2"/>
    <x v="0"/>
    <x v="327"/>
    <x v="174"/>
    <x v="73"/>
    <x v="27"/>
    <x v="84"/>
  </r>
  <r>
    <x v="685"/>
    <x v="32"/>
    <x v="0"/>
    <x v="2"/>
    <x v="2"/>
    <x v="0"/>
    <x v="0"/>
    <x v="1"/>
    <x v="2"/>
    <x v="555"/>
    <x v="495"/>
    <x v="3"/>
    <x v="24"/>
    <x v="60"/>
    <x v="3"/>
    <x v="1"/>
    <x v="2"/>
    <x v="78"/>
    <x v="1"/>
    <x v="3"/>
    <x v="1"/>
    <x v="207"/>
    <x v="86"/>
    <x v="46"/>
    <x v="112"/>
    <x v="22"/>
  </r>
  <r>
    <x v="686"/>
    <x v="20"/>
    <x v="0"/>
    <x v="3"/>
    <x v="4"/>
    <x v="1"/>
    <x v="10"/>
    <x v="0"/>
    <x v="3"/>
    <x v="556"/>
    <x v="578"/>
    <x v="3"/>
    <x v="4"/>
    <x v="68"/>
    <x v="3"/>
    <x v="1"/>
    <x v="4"/>
    <x v="73"/>
    <x v="1"/>
    <x v="2"/>
    <x v="0"/>
    <x v="43"/>
    <x v="42"/>
    <x v="35"/>
    <x v="94"/>
    <x v="162"/>
  </r>
  <r>
    <x v="687"/>
    <x v="46"/>
    <x v="0"/>
    <x v="1"/>
    <x v="0"/>
    <x v="0"/>
    <x v="2"/>
    <x v="1"/>
    <x v="3"/>
    <x v="557"/>
    <x v="579"/>
    <x v="3"/>
    <x v="32"/>
    <x v="164"/>
    <x v="3"/>
    <x v="2"/>
    <x v="1"/>
    <x v="146"/>
    <x v="1"/>
    <x v="2"/>
    <x v="0"/>
    <x v="309"/>
    <x v="2"/>
    <x v="26"/>
    <x v="137"/>
    <x v="69"/>
  </r>
  <r>
    <x v="688"/>
    <x v="64"/>
    <x v="0"/>
    <x v="1"/>
    <x v="2"/>
    <x v="0"/>
    <x v="5"/>
    <x v="3"/>
    <x v="2"/>
    <x v="268"/>
    <x v="580"/>
    <x v="0"/>
    <x v="3"/>
    <x v="23"/>
    <x v="0"/>
    <x v="1"/>
    <x v="1"/>
    <x v="73"/>
    <x v="1"/>
    <x v="2"/>
    <x v="1"/>
    <x v="115"/>
    <x v="34"/>
    <x v="87"/>
    <x v="64"/>
    <x v="26"/>
  </r>
  <r>
    <x v="689"/>
    <x v="45"/>
    <x v="1"/>
    <x v="4"/>
    <x v="0"/>
    <x v="0"/>
    <x v="7"/>
    <x v="3"/>
    <x v="3"/>
    <x v="558"/>
    <x v="359"/>
    <x v="0"/>
    <x v="80"/>
    <x v="157"/>
    <x v="0"/>
    <x v="2"/>
    <x v="1"/>
    <x v="84"/>
    <x v="1"/>
    <x v="3"/>
    <x v="0"/>
    <x v="328"/>
    <x v="64"/>
    <x v="80"/>
    <x v="168"/>
    <x v="101"/>
  </r>
  <r>
    <x v="690"/>
    <x v="34"/>
    <x v="2"/>
    <x v="2"/>
    <x v="1"/>
    <x v="0"/>
    <x v="9"/>
    <x v="1"/>
    <x v="0"/>
    <x v="273"/>
    <x v="581"/>
    <x v="3"/>
    <x v="70"/>
    <x v="20"/>
    <x v="3"/>
    <x v="1"/>
    <x v="3"/>
    <x v="53"/>
    <x v="1"/>
    <x v="0"/>
    <x v="1"/>
    <x v="79"/>
    <x v="80"/>
    <x v="84"/>
    <x v="38"/>
    <x v="37"/>
  </r>
  <r>
    <x v="691"/>
    <x v="42"/>
    <x v="0"/>
    <x v="2"/>
    <x v="2"/>
    <x v="1"/>
    <x v="11"/>
    <x v="0"/>
    <x v="0"/>
    <x v="559"/>
    <x v="582"/>
    <x v="0"/>
    <x v="36"/>
    <x v="61"/>
    <x v="0"/>
    <x v="1"/>
    <x v="4"/>
    <x v="100"/>
    <x v="1"/>
    <x v="3"/>
    <x v="1"/>
    <x v="78"/>
    <x v="296"/>
    <x v="62"/>
    <x v="151"/>
    <x v="15"/>
  </r>
  <r>
    <x v="692"/>
    <x v="30"/>
    <x v="1"/>
    <x v="3"/>
    <x v="1"/>
    <x v="5"/>
    <x v="19"/>
    <x v="0"/>
    <x v="2"/>
    <x v="18"/>
    <x v="18"/>
    <x v="2"/>
    <x v="48"/>
    <x v="88"/>
    <x v="2"/>
    <x v="0"/>
    <x v="0"/>
    <x v="141"/>
    <x v="0"/>
    <x v="3"/>
    <x v="1"/>
    <x v="329"/>
    <x v="13"/>
    <x v="11"/>
    <x v="56"/>
    <x v="94"/>
  </r>
  <r>
    <x v="693"/>
    <x v="21"/>
    <x v="1"/>
    <x v="4"/>
    <x v="3"/>
    <x v="2"/>
    <x v="3"/>
    <x v="3"/>
    <x v="3"/>
    <x v="560"/>
    <x v="424"/>
    <x v="1"/>
    <x v="9"/>
    <x v="9"/>
    <x v="1"/>
    <x v="1"/>
    <x v="0"/>
    <x v="8"/>
    <x v="1"/>
    <x v="2"/>
    <x v="0"/>
    <x v="102"/>
    <x v="152"/>
    <x v="53"/>
    <x v="79"/>
    <x v="59"/>
  </r>
  <r>
    <x v="694"/>
    <x v="56"/>
    <x v="1"/>
    <x v="0"/>
    <x v="0"/>
    <x v="5"/>
    <x v="15"/>
    <x v="0"/>
    <x v="0"/>
    <x v="561"/>
    <x v="583"/>
    <x v="1"/>
    <x v="1"/>
    <x v="17"/>
    <x v="1"/>
    <x v="2"/>
    <x v="2"/>
    <x v="122"/>
    <x v="1"/>
    <x v="2"/>
    <x v="0"/>
    <x v="330"/>
    <x v="328"/>
    <x v="5"/>
    <x v="174"/>
    <x v="91"/>
  </r>
  <r>
    <x v="695"/>
    <x v="41"/>
    <x v="2"/>
    <x v="2"/>
    <x v="1"/>
    <x v="0"/>
    <x v="0"/>
    <x v="3"/>
    <x v="3"/>
    <x v="562"/>
    <x v="420"/>
    <x v="3"/>
    <x v="7"/>
    <x v="15"/>
    <x v="3"/>
    <x v="1"/>
    <x v="2"/>
    <x v="57"/>
    <x v="1"/>
    <x v="1"/>
    <x v="1"/>
    <x v="324"/>
    <x v="329"/>
    <x v="34"/>
    <x v="151"/>
    <x v="49"/>
  </r>
  <r>
    <x v="696"/>
    <x v="54"/>
    <x v="1"/>
    <x v="3"/>
    <x v="0"/>
    <x v="4"/>
    <x v="0"/>
    <x v="1"/>
    <x v="3"/>
    <x v="563"/>
    <x v="37"/>
    <x v="2"/>
    <x v="48"/>
    <x v="89"/>
    <x v="2"/>
    <x v="0"/>
    <x v="3"/>
    <x v="34"/>
    <x v="0"/>
    <x v="2"/>
    <x v="0"/>
    <x v="300"/>
    <x v="167"/>
    <x v="66"/>
    <x v="152"/>
    <x v="74"/>
  </r>
  <r>
    <x v="697"/>
    <x v="7"/>
    <x v="1"/>
    <x v="2"/>
    <x v="1"/>
    <x v="3"/>
    <x v="10"/>
    <x v="1"/>
    <x v="0"/>
    <x v="564"/>
    <x v="584"/>
    <x v="1"/>
    <x v="47"/>
    <x v="127"/>
    <x v="1"/>
    <x v="0"/>
    <x v="2"/>
    <x v="20"/>
    <x v="0"/>
    <x v="3"/>
    <x v="1"/>
    <x v="42"/>
    <x v="153"/>
    <x v="83"/>
    <x v="114"/>
    <x v="51"/>
  </r>
  <r>
    <x v="698"/>
    <x v="27"/>
    <x v="0"/>
    <x v="2"/>
    <x v="2"/>
    <x v="0"/>
    <x v="12"/>
    <x v="1"/>
    <x v="1"/>
    <x v="565"/>
    <x v="585"/>
    <x v="1"/>
    <x v="4"/>
    <x v="66"/>
    <x v="1"/>
    <x v="1"/>
    <x v="2"/>
    <x v="41"/>
    <x v="1"/>
    <x v="3"/>
    <x v="1"/>
    <x v="85"/>
    <x v="24"/>
    <x v="65"/>
    <x v="151"/>
    <x v="163"/>
  </r>
  <r>
    <x v="699"/>
    <x v="14"/>
    <x v="1"/>
    <x v="0"/>
    <x v="4"/>
    <x v="3"/>
    <x v="2"/>
    <x v="0"/>
    <x v="1"/>
    <x v="173"/>
    <x v="586"/>
    <x v="0"/>
    <x v="70"/>
    <x v="26"/>
    <x v="0"/>
    <x v="2"/>
    <x v="2"/>
    <x v="129"/>
    <x v="1"/>
    <x v="4"/>
    <x v="0"/>
    <x v="331"/>
    <x v="210"/>
    <x v="14"/>
    <x v="70"/>
    <x v="88"/>
  </r>
  <r>
    <x v="700"/>
    <x v="15"/>
    <x v="0"/>
    <x v="4"/>
    <x v="4"/>
    <x v="0"/>
    <x v="5"/>
    <x v="2"/>
    <x v="2"/>
    <x v="566"/>
    <x v="488"/>
    <x v="0"/>
    <x v="3"/>
    <x v="29"/>
    <x v="0"/>
    <x v="0"/>
    <x v="3"/>
    <x v="55"/>
    <x v="0"/>
    <x v="4"/>
    <x v="1"/>
    <x v="229"/>
    <x v="167"/>
    <x v="65"/>
    <x v="37"/>
    <x v="56"/>
  </r>
  <r>
    <x v="701"/>
    <x v="60"/>
    <x v="0"/>
    <x v="2"/>
    <x v="1"/>
    <x v="5"/>
    <x v="8"/>
    <x v="0"/>
    <x v="1"/>
    <x v="544"/>
    <x v="587"/>
    <x v="3"/>
    <x v="9"/>
    <x v="48"/>
    <x v="3"/>
    <x v="0"/>
    <x v="1"/>
    <x v="38"/>
    <x v="0"/>
    <x v="3"/>
    <x v="1"/>
    <x v="270"/>
    <x v="268"/>
    <x v="68"/>
    <x v="96"/>
    <x v="98"/>
  </r>
  <r>
    <x v="702"/>
    <x v="7"/>
    <x v="2"/>
    <x v="4"/>
    <x v="2"/>
    <x v="0"/>
    <x v="14"/>
    <x v="0"/>
    <x v="0"/>
    <x v="567"/>
    <x v="96"/>
    <x v="1"/>
    <x v="72"/>
    <x v="73"/>
    <x v="1"/>
    <x v="1"/>
    <x v="4"/>
    <x v="70"/>
    <x v="1"/>
    <x v="4"/>
    <x v="0"/>
    <x v="180"/>
    <x v="13"/>
    <x v="70"/>
    <x v="19"/>
    <x v="44"/>
  </r>
  <r>
    <x v="703"/>
    <x v="63"/>
    <x v="0"/>
    <x v="3"/>
    <x v="2"/>
    <x v="3"/>
    <x v="19"/>
    <x v="1"/>
    <x v="1"/>
    <x v="333"/>
    <x v="588"/>
    <x v="3"/>
    <x v="39"/>
    <x v="121"/>
    <x v="3"/>
    <x v="2"/>
    <x v="1"/>
    <x v="79"/>
    <x v="1"/>
    <x v="2"/>
    <x v="0"/>
    <x v="211"/>
    <x v="206"/>
    <x v="49"/>
    <x v="99"/>
    <x v="37"/>
  </r>
  <r>
    <x v="704"/>
    <x v="7"/>
    <x v="0"/>
    <x v="4"/>
    <x v="4"/>
    <x v="0"/>
    <x v="12"/>
    <x v="1"/>
    <x v="2"/>
    <x v="568"/>
    <x v="589"/>
    <x v="3"/>
    <x v="43"/>
    <x v="189"/>
    <x v="3"/>
    <x v="0"/>
    <x v="1"/>
    <x v="149"/>
    <x v="0"/>
    <x v="1"/>
    <x v="1"/>
    <x v="332"/>
    <x v="103"/>
    <x v="23"/>
    <x v="72"/>
    <x v="63"/>
  </r>
  <r>
    <x v="705"/>
    <x v="31"/>
    <x v="0"/>
    <x v="4"/>
    <x v="4"/>
    <x v="0"/>
    <x v="12"/>
    <x v="3"/>
    <x v="1"/>
    <x v="89"/>
    <x v="590"/>
    <x v="3"/>
    <x v="44"/>
    <x v="102"/>
    <x v="3"/>
    <x v="1"/>
    <x v="4"/>
    <x v="60"/>
    <x v="1"/>
    <x v="3"/>
    <x v="0"/>
    <x v="111"/>
    <x v="127"/>
    <x v="26"/>
    <x v="42"/>
    <x v="36"/>
  </r>
  <r>
    <x v="706"/>
    <x v="22"/>
    <x v="2"/>
    <x v="2"/>
    <x v="4"/>
    <x v="4"/>
    <x v="4"/>
    <x v="1"/>
    <x v="1"/>
    <x v="569"/>
    <x v="591"/>
    <x v="0"/>
    <x v="37"/>
    <x v="192"/>
    <x v="0"/>
    <x v="2"/>
    <x v="3"/>
    <x v="72"/>
    <x v="1"/>
    <x v="4"/>
    <x v="1"/>
    <x v="299"/>
    <x v="69"/>
    <x v="27"/>
    <x v="117"/>
    <x v="88"/>
  </r>
  <r>
    <x v="707"/>
    <x v="43"/>
    <x v="2"/>
    <x v="2"/>
    <x v="0"/>
    <x v="0"/>
    <x v="18"/>
    <x v="0"/>
    <x v="2"/>
    <x v="570"/>
    <x v="345"/>
    <x v="0"/>
    <x v="16"/>
    <x v="8"/>
    <x v="0"/>
    <x v="0"/>
    <x v="4"/>
    <x v="106"/>
    <x v="0"/>
    <x v="2"/>
    <x v="0"/>
    <x v="333"/>
    <x v="156"/>
    <x v="76"/>
    <x v="116"/>
    <x v="34"/>
  </r>
  <r>
    <x v="708"/>
    <x v="48"/>
    <x v="1"/>
    <x v="3"/>
    <x v="4"/>
    <x v="0"/>
    <x v="19"/>
    <x v="1"/>
    <x v="1"/>
    <x v="571"/>
    <x v="592"/>
    <x v="2"/>
    <x v="4"/>
    <x v="39"/>
    <x v="2"/>
    <x v="2"/>
    <x v="4"/>
    <x v="112"/>
    <x v="1"/>
    <x v="4"/>
    <x v="1"/>
    <x v="298"/>
    <x v="297"/>
    <x v="31"/>
    <x v="122"/>
    <x v="28"/>
  </r>
  <r>
    <x v="709"/>
    <x v="23"/>
    <x v="0"/>
    <x v="3"/>
    <x v="3"/>
    <x v="0"/>
    <x v="2"/>
    <x v="3"/>
    <x v="2"/>
    <x v="572"/>
    <x v="593"/>
    <x v="2"/>
    <x v="2"/>
    <x v="138"/>
    <x v="2"/>
    <x v="2"/>
    <x v="0"/>
    <x v="85"/>
    <x v="1"/>
    <x v="2"/>
    <x v="0"/>
    <x v="101"/>
    <x v="330"/>
    <x v="41"/>
    <x v="95"/>
    <x v="153"/>
  </r>
  <r>
    <x v="710"/>
    <x v="62"/>
    <x v="0"/>
    <x v="3"/>
    <x v="1"/>
    <x v="3"/>
    <x v="12"/>
    <x v="3"/>
    <x v="3"/>
    <x v="206"/>
    <x v="594"/>
    <x v="1"/>
    <x v="24"/>
    <x v="32"/>
    <x v="1"/>
    <x v="1"/>
    <x v="3"/>
    <x v="133"/>
    <x v="1"/>
    <x v="1"/>
    <x v="1"/>
    <x v="326"/>
    <x v="155"/>
    <x v="1"/>
    <x v="6"/>
    <x v="107"/>
  </r>
  <r>
    <x v="711"/>
    <x v="23"/>
    <x v="0"/>
    <x v="1"/>
    <x v="0"/>
    <x v="0"/>
    <x v="15"/>
    <x v="0"/>
    <x v="2"/>
    <x v="573"/>
    <x v="0"/>
    <x v="1"/>
    <x v="0"/>
    <x v="119"/>
    <x v="1"/>
    <x v="1"/>
    <x v="1"/>
    <x v="126"/>
    <x v="1"/>
    <x v="3"/>
    <x v="0"/>
    <x v="334"/>
    <x v="76"/>
    <x v="53"/>
    <x v="144"/>
    <x v="85"/>
  </r>
  <r>
    <x v="712"/>
    <x v="8"/>
    <x v="2"/>
    <x v="0"/>
    <x v="1"/>
    <x v="0"/>
    <x v="18"/>
    <x v="3"/>
    <x v="3"/>
    <x v="333"/>
    <x v="350"/>
    <x v="1"/>
    <x v="41"/>
    <x v="48"/>
    <x v="1"/>
    <x v="0"/>
    <x v="4"/>
    <x v="86"/>
    <x v="0"/>
    <x v="3"/>
    <x v="1"/>
    <x v="256"/>
    <x v="24"/>
    <x v="61"/>
    <x v="39"/>
    <x v="5"/>
  </r>
  <r>
    <x v="713"/>
    <x v="13"/>
    <x v="1"/>
    <x v="0"/>
    <x v="3"/>
    <x v="2"/>
    <x v="18"/>
    <x v="1"/>
    <x v="2"/>
    <x v="574"/>
    <x v="595"/>
    <x v="2"/>
    <x v="12"/>
    <x v="74"/>
    <x v="2"/>
    <x v="0"/>
    <x v="3"/>
    <x v="107"/>
    <x v="0"/>
    <x v="1"/>
    <x v="1"/>
    <x v="262"/>
    <x v="272"/>
    <x v="84"/>
    <x v="8"/>
    <x v="138"/>
  </r>
  <r>
    <x v="714"/>
    <x v="5"/>
    <x v="1"/>
    <x v="0"/>
    <x v="2"/>
    <x v="0"/>
    <x v="17"/>
    <x v="1"/>
    <x v="2"/>
    <x v="575"/>
    <x v="596"/>
    <x v="1"/>
    <x v="1"/>
    <x v="42"/>
    <x v="1"/>
    <x v="2"/>
    <x v="3"/>
    <x v="53"/>
    <x v="1"/>
    <x v="3"/>
    <x v="1"/>
    <x v="142"/>
    <x v="251"/>
    <x v="24"/>
    <x v="53"/>
    <x v="0"/>
  </r>
  <r>
    <x v="715"/>
    <x v="33"/>
    <x v="1"/>
    <x v="4"/>
    <x v="1"/>
    <x v="0"/>
    <x v="5"/>
    <x v="0"/>
    <x v="2"/>
    <x v="576"/>
    <x v="597"/>
    <x v="3"/>
    <x v="36"/>
    <x v="161"/>
    <x v="3"/>
    <x v="0"/>
    <x v="3"/>
    <x v="71"/>
    <x v="0"/>
    <x v="2"/>
    <x v="1"/>
    <x v="329"/>
    <x v="147"/>
    <x v="5"/>
    <x v="171"/>
    <x v="61"/>
  </r>
  <r>
    <x v="716"/>
    <x v="38"/>
    <x v="2"/>
    <x v="2"/>
    <x v="0"/>
    <x v="0"/>
    <x v="2"/>
    <x v="1"/>
    <x v="2"/>
    <x v="229"/>
    <x v="141"/>
    <x v="2"/>
    <x v="24"/>
    <x v="177"/>
    <x v="2"/>
    <x v="0"/>
    <x v="3"/>
    <x v="107"/>
    <x v="0"/>
    <x v="2"/>
    <x v="1"/>
    <x v="172"/>
    <x v="99"/>
    <x v="35"/>
    <x v="29"/>
    <x v="116"/>
  </r>
  <r>
    <x v="717"/>
    <x v="28"/>
    <x v="1"/>
    <x v="2"/>
    <x v="3"/>
    <x v="0"/>
    <x v="1"/>
    <x v="1"/>
    <x v="1"/>
    <x v="577"/>
    <x v="598"/>
    <x v="3"/>
    <x v="2"/>
    <x v="3"/>
    <x v="3"/>
    <x v="2"/>
    <x v="1"/>
    <x v="135"/>
    <x v="1"/>
    <x v="3"/>
    <x v="0"/>
    <x v="159"/>
    <x v="118"/>
    <x v="25"/>
    <x v="95"/>
    <x v="2"/>
  </r>
  <r>
    <x v="718"/>
    <x v="43"/>
    <x v="1"/>
    <x v="3"/>
    <x v="3"/>
    <x v="2"/>
    <x v="12"/>
    <x v="1"/>
    <x v="0"/>
    <x v="366"/>
    <x v="599"/>
    <x v="0"/>
    <x v="29"/>
    <x v="29"/>
    <x v="0"/>
    <x v="0"/>
    <x v="3"/>
    <x v="39"/>
    <x v="0"/>
    <x v="2"/>
    <x v="0"/>
    <x v="335"/>
    <x v="121"/>
    <x v="72"/>
    <x v="91"/>
    <x v="108"/>
  </r>
  <r>
    <x v="719"/>
    <x v="38"/>
    <x v="2"/>
    <x v="1"/>
    <x v="2"/>
    <x v="2"/>
    <x v="2"/>
    <x v="2"/>
    <x v="0"/>
    <x v="578"/>
    <x v="202"/>
    <x v="1"/>
    <x v="36"/>
    <x v="126"/>
    <x v="1"/>
    <x v="0"/>
    <x v="1"/>
    <x v="3"/>
    <x v="0"/>
    <x v="0"/>
    <x v="0"/>
    <x v="177"/>
    <x v="232"/>
    <x v="27"/>
    <x v="66"/>
    <x v="73"/>
  </r>
  <r>
    <x v="720"/>
    <x v="10"/>
    <x v="1"/>
    <x v="0"/>
    <x v="2"/>
    <x v="5"/>
    <x v="10"/>
    <x v="0"/>
    <x v="1"/>
    <x v="579"/>
    <x v="600"/>
    <x v="0"/>
    <x v="18"/>
    <x v="98"/>
    <x v="0"/>
    <x v="1"/>
    <x v="1"/>
    <x v="18"/>
    <x v="1"/>
    <x v="1"/>
    <x v="1"/>
    <x v="230"/>
    <x v="331"/>
    <x v="34"/>
    <x v="137"/>
    <x v="95"/>
  </r>
  <r>
    <x v="721"/>
    <x v="60"/>
    <x v="2"/>
    <x v="2"/>
    <x v="0"/>
    <x v="0"/>
    <x v="7"/>
    <x v="2"/>
    <x v="0"/>
    <x v="580"/>
    <x v="601"/>
    <x v="1"/>
    <x v="49"/>
    <x v="87"/>
    <x v="1"/>
    <x v="0"/>
    <x v="3"/>
    <x v="140"/>
    <x v="0"/>
    <x v="0"/>
    <x v="1"/>
    <x v="336"/>
    <x v="228"/>
    <x v="56"/>
    <x v="144"/>
    <x v="34"/>
  </r>
  <r>
    <x v="722"/>
    <x v="67"/>
    <x v="1"/>
    <x v="4"/>
    <x v="4"/>
    <x v="0"/>
    <x v="5"/>
    <x v="0"/>
    <x v="3"/>
    <x v="581"/>
    <x v="602"/>
    <x v="1"/>
    <x v="51"/>
    <x v="179"/>
    <x v="1"/>
    <x v="2"/>
    <x v="0"/>
    <x v="6"/>
    <x v="1"/>
    <x v="2"/>
    <x v="0"/>
    <x v="315"/>
    <x v="279"/>
    <x v="32"/>
    <x v="20"/>
    <x v="68"/>
  </r>
  <r>
    <x v="723"/>
    <x v="31"/>
    <x v="2"/>
    <x v="0"/>
    <x v="2"/>
    <x v="0"/>
    <x v="9"/>
    <x v="1"/>
    <x v="2"/>
    <x v="582"/>
    <x v="603"/>
    <x v="0"/>
    <x v="6"/>
    <x v="6"/>
    <x v="0"/>
    <x v="0"/>
    <x v="0"/>
    <x v="83"/>
    <x v="0"/>
    <x v="2"/>
    <x v="0"/>
    <x v="242"/>
    <x v="92"/>
    <x v="68"/>
    <x v="111"/>
    <x v="118"/>
  </r>
  <r>
    <x v="724"/>
    <x v="64"/>
    <x v="0"/>
    <x v="4"/>
    <x v="1"/>
    <x v="0"/>
    <x v="12"/>
    <x v="1"/>
    <x v="1"/>
    <x v="583"/>
    <x v="604"/>
    <x v="3"/>
    <x v="18"/>
    <x v="121"/>
    <x v="3"/>
    <x v="2"/>
    <x v="3"/>
    <x v="27"/>
    <x v="1"/>
    <x v="4"/>
    <x v="0"/>
    <x v="337"/>
    <x v="319"/>
    <x v="70"/>
    <x v="58"/>
    <x v="133"/>
  </r>
  <r>
    <x v="725"/>
    <x v="63"/>
    <x v="2"/>
    <x v="3"/>
    <x v="2"/>
    <x v="0"/>
    <x v="8"/>
    <x v="3"/>
    <x v="0"/>
    <x v="584"/>
    <x v="605"/>
    <x v="2"/>
    <x v="54"/>
    <x v="158"/>
    <x v="2"/>
    <x v="1"/>
    <x v="1"/>
    <x v="105"/>
    <x v="1"/>
    <x v="4"/>
    <x v="1"/>
    <x v="253"/>
    <x v="332"/>
    <x v="50"/>
    <x v="142"/>
    <x v="155"/>
  </r>
  <r>
    <x v="726"/>
    <x v="40"/>
    <x v="0"/>
    <x v="0"/>
    <x v="0"/>
    <x v="5"/>
    <x v="17"/>
    <x v="0"/>
    <x v="2"/>
    <x v="585"/>
    <x v="196"/>
    <x v="1"/>
    <x v="48"/>
    <x v="27"/>
    <x v="1"/>
    <x v="2"/>
    <x v="2"/>
    <x v="4"/>
    <x v="1"/>
    <x v="1"/>
    <x v="0"/>
    <x v="80"/>
    <x v="333"/>
    <x v="9"/>
    <x v="69"/>
    <x v="57"/>
  </r>
  <r>
    <x v="727"/>
    <x v="62"/>
    <x v="0"/>
    <x v="3"/>
    <x v="4"/>
    <x v="1"/>
    <x v="13"/>
    <x v="3"/>
    <x v="2"/>
    <x v="586"/>
    <x v="606"/>
    <x v="1"/>
    <x v="19"/>
    <x v="82"/>
    <x v="1"/>
    <x v="2"/>
    <x v="2"/>
    <x v="115"/>
    <x v="1"/>
    <x v="0"/>
    <x v="0"/>
    <x v="334"/>
    <x v="220"/>
    <x v="60"/>
    <x v="34"/>
    <x v="167"/>
  </r>
  <r>
    <x v="728"/>
    <x v="63"/>
    <x v="1"/>
    <x v="2"/>
    <x v="2"/>
    <x v="0"/>
    <x v="7"/>
    <x v="2"/>
    <x v="0"/>
    <x v="587"/>
    <x v="607"/>
    <x v="1"/>
    <x v="29"/>
    <x v="193"/>
    <x v="1"/>
    <x v="2"/>
    <x v="1"/>
    <x v="100"/>
    <x v="1"/>
    <x v="4"/>
    <x v="0"/>
    <x v="316"/>
    <x v="11"/>
    <x v="87"/>
    <x v="163"/>
    <x v="130"/>
  </r>
  <r>
    <x v="729"/>
    <x v="43"/>
    <x v="2"/>
    <x v="3"/>
    <x v="2"/>
    <x v="5"/>
    <x v="5"/>
    <x v="1"/>
    <x v="0"/>
    <x v="526"/>
    <x v="608"/>
    <x v="1"/>
    <x v="3"/>
    <x v="79"/>
    <x v="1"/>
    <x v="2"/>
    <x v="4"/>
    <x v="76"/>
    <x v="1"/>
    <x v="4"/>
    <x v="0"/>
    <x v="137"/>
    <x v="334"/>
    <x v="14"/>
    <x v="119"/>
    <x v="107"/>
  </r>
  <r>
    <x v="730"/>
    <x v="17"/>
    <x v="1"/>
    <x v="1"/>
    <x v="1"/>
    <x v="2"/>
    <x v="17"/>
    <x v="0"/>
    <x v="1"/>
    <x v="588"/>
    <x v="164"/>
    <x v="1"/>
    <x v="24"/>
    <x v="34"/>
    <x v="1"/>
    <x v="2"/>
    <x v="0"/>
    <x v="30"/>
    <x v="1"/>
    <x v="1"/>
    <x v="0"/>
    <x v="49"/>
    <x v="315"/>
    <x v="79"/>
    <x v="87"/>
    <x v="19"/>
  </r>
  <r>
    <x v="731"/>
    <x v="33"/>
    <x v="0"/>
    <x v="3"/>
    <x v="0"/>
    <x v="5"/>
    <x v="5"/>
    <x v="0"/>
    <x v="1"/>
    <x v="589"/>
    <x v="609"/>
    <x v="3"/>
    <x v="82"/>
    <x v="49"/>
    <x v="3"/>
    <x v="2"/>
    <x v="3"/>
    <x v="59"/>
    <x v="1"/>
    <x v="3"/>
    <x v="1"/>
    <x v="63"/>
    <x v="233"/>
    <x v="77"/>
    <x v="134"/>
    <x v="132"/>
  </r>
  <r>
    <x v="732"/>
    <x v="64"/>
    <x v="0"/>
    <x v="1"/>
    <x v="1"/>
    <x v="0"/>
    <x v="19"/>
    <x v="3"/>
    <x v="2"/>
    <x v="590"/>
    <x v="610"/>
    <x v="2"/>
    <x v="10"/>
    <x v="53"/>
    <x v="2"/>
    <x v="1"/>
    <x v="2"/>
    <x v="36"/>
    <x v="1"/>
    <x v="1"/>
    <x v="0"/>
    <x v="14"/>
    <x v="65"/>
    <x v="34"/>
    <x v="127"/>
    <x v="110"/>
  </r>
  <r>
    <x v="733"/>
    <x v="33"/>
    <x v="2"/>
    <x v="3"/>
    <x v="1"/>
    <x v="0"/>
    <x v="1"/>
    <x v="2"/>
    <x v="2"/>
    <x v="587"/>
    <x v="607"/>
    <x v="3"/>
    <x v="74"/>
    <x v="190"/>
    <x v="3"/>
    <x v="0"/>
    <x v="2"/>
    <x v="12"/>
    <x v="0"/>
    <x v="4"/>
    <x v="0"/>
    <x v="279"/>
    <x v="103"/>
    <x v="75"/>
    <x v="82"/>
    <x v="168"/>
  </r>
  <r>
    <x v="734"/>
    <x v="12"/>
    <x v="2"/>
    <x v="1"/>
    <x v="2"/>
    <x v="4"/>
    <x v="5"/>
    <x v="2"/>
    <x v="0"/>
    <x v="175"/>
    <x v="192"/>
    <x v="2"/>
    <x v="38"/>
    <x v="119"/>
    <x v="2"/>
    <x v="0"/>
    <x v="0"/>
    <x v="145"/>
    <x v="0"/>
    <x v="3"/>
    <x v="1"/>
    <x v="72"/>
    <x v="32"/>
    <x v="71"/>
    <x v="26"/>
    <x v="9"/>
  </r>
  <r>
    <x v="735"/>
    <x v="37"/>
    <x v="0"/>
    <x v="4"/>
    <x v="4"/>
    <x v="4"/>
    <x v="13"/>
    <x v="3"/>
    <x v="1"/>
    <x v="591"/>
    <x v="424"/>
    <x v="2"/>
    <x v="4"/>
    <x v="173"/>
    <x v="2"/>
    <x v="2"/>
    <x v="2"/>
    <x v="96"/>
    <x v="1"/>
    <x v="1"/>
    <x v="0"/>
    <x v="186"/>
    <x v="54"/>
    <x v="3"/>
    <x v="16"/>
    <x v="162"/>
  </r>
  <r>
    <x v="736"/>
    <x v="61"/>
    <x v="0"/>
    <x v="3"/>
    <x v="4"/>
    <x v="0"/>
    <x v="14"/>
    <x v="0"/>
    <x v="3"/>
    <x v="592"/>
    <x v="611"/>
    <x v="1"/>
    <x v="65"/>
    <x v="80"/>
    <x v="1"/>
    <x v="1"/>
    <x v="2"/>
    <x v="149"/>
    <x v="1"/>
    <x v="3"/>
    <x v="1"/>
    <x v="11"/>
    <x v="71"/>
    <x v="23"/>
    <x v="82"/>
    <x v="121"/>
  </r>
  <r>
    <x v="737"/>
    <x v="9"/>
    <x v="1"/>
    <x v="2"/>
    <x v="1"/>
    <x v="2"/>
    <x v="7"/>
    <x v="3"/>
    <x v="0"/>
    <x v="549"/>
    <x v="249"/>
    <x v="0"/>
    <x v="33"/>
    <x v="47"/>
    <x v="0"/>
    <x v="0"/>
    <x v="1"/>
    <x v="74"/>
    <x v="0"/>
    <x v="1"/>
    <x v="0"/>
    <x v="230"/>
    <x v="176"/>
    <x v="29"/>
    <x v="52"/>
    <x v="157"/>
  </r>
  <r>
    <x v="738"/>
    <x v="49"/>
    <x v="2"/>
    <x v="4"/>
    <x v="2"/>
    <x v="0"/>
    <x v="1"/>
    <x v="2"/>
    <x v="3"/>
    <x v="593"/>
    <x v="587"/>
    <x v="0"/>
    <x v="4"/>
    <x v="103"/>
    <x v="0"/>
    <x v="2"/>
    <x v="1"/>
    <x v="24"/>
    <x v="1"/>
    <x v="2"/>
    <x v="0"/>
    <x v="112"/>
    <x v="201"/>
    <x v="69"/>
    <x v="119"/>
    <x v="8"/>
  </r>
  <r>
    <x v="739"/>
    <x v="48"/>
    <x v="1"/>
    <x v="2"/>
    <x v="2"/>
    <x v="1"/>
    <x v="13"/>
    <x v="3"/>
    <x v="0"/>
    <x v="1"/>
    <x v="612"/>
    <x v="0"/>
    <x v="59"/>
    <x v="58"/>
    <x v="0"/>
    <x v="1"/>
    <x v="2"/>
    <x v="114"/>
    <x v="1"/>
    <x v="3"/>
    <x v="1"/>
    <x v="338"/>
    <x v="123"/>
    <x v="90"/>
    <x v="124"/>
    <x v="8"/>
  </r>
  <r>
    <x v="740"/>
    <x v="30"/>
    <x v="1"/>
    <x v="1"/>
    <x v="1"/>
    <x v="4"/>
    <x v="8"/>
    <x v="2"/>
    <x v="3"/>
    <x v="247"/>
    <x v="613"/>
    <x v="0"/>
    <x v="82"/>
    <x v="153"/>
    <x v="0"/>
    <x v="1"/>
    <x v="3"/>
    <x v="56"/>
    <x v="1"/>
    <x v="1"/>
    <x v="0"/>
    <x v="213"/>
    <x v="312"/>
    <x v="38"/>
    <x v="57"/>
    <x v="20"/>
  </r>
  <r>
    <x v="741"/>
    <x v="67"/>
    <x v="2"/>
    <x v="4"/>
    <x v="4"/>
    <x v="0"/>
    <x v="6"/>
    <x v="0"/>
    <x v="0"/>
    <x v="594"/>
    <x v="614"/>
    <x v="2"/>
    <x v="4"/>
    <x v="122"/>
    <x v="2"/>
    <x v="2"/>
    <x v="2"/>
    <x v="13"/>
    <x v="1"/>
    <x v="2"/>
    <x v="0"/>
    <x v="289"/>
    <x v="55"/>
    <x v="34"/>
    <x v="22"/>
    <x v="98"/>
  </r>
  <r>
    <x v="742"/>
    <x v="44"/>
    <x v="0"/>
    <x v="2"/>
    <x v="2"/>
    <x v="0"/>
    <x v="12"/>
    <x v="2"/>
    <x v="0"/>
    <x v="595"/>
    <x v="615"/>
    <x v="2"/>
    <x v="80"/>
    <x v="139"/>
    <x v="2"/>
    <x v="2"/>
    <x v="2"/>
    <x v="82"/>
    <x v="1"/>
    <x v="2"/>
    <x v="0"/>
    <x v="126"/>
    <x v="55"/>
    <x v="34"/>
    <x v="133"/>
    <x v="13"/>
  </r>
  <r>
    <x v="743"/>
    <x v="16"/>
    <x v="1"/>
    <x v="0"/>
    <x v="3"/>
    <x v="0"/>
    <x v="17"/>
    <x v="3"/>
    <x v="1"/>
    <x v="596"/>
    <x v="155"/>
    <x v="1"/>
    <x v="74"/>
    <x v="22"/>
    <x v="1"/>
    <x v="0"/>
    <x v="2"/>
    <x v="9"/>
    <x v="0"/>
    <x v="3"/>
    <x v="1"/>
    <x v="218"/>
    <x v="197"/>
    <x v="69"/>
    <x v="112"/>
    <x v="19"/>
  </r>
  <r>
    <x v="744"/>
    <x v="9"/>
    <x v="1"/>
    <x v="2"/>
    <x v="0"/>
    <x v="1"/>
    <x v="3"/>
    <x v="3"/>
    <x v="0"/>
    <x v="597"/>
    <x v="79"/>
    <x v="0"/>
    <x v="57"/>
    <x v="52"/>
    <x v="0"/>
    <x v="2"/>
    <x v="2"/>
    <x v="47"/>
    <x v="1"/>
    <x v="1"/>
    <x v="0"/>
    <x v="189"/>
    <x v="105"/>
    <x v="49"/>
    <x v="0"/>
    <x v="93"/>
  </r>
  <r>
    <x v="745"/>
    <x v="48"/>
    <x v="2"/>
    <x v="1"/>
    <x v="4"/>
    <x v="4"/>
    <x v="2"/>
    <x v="0"/>
    <x v="1"/>
    <x v="598"/>
    <x v="616"/>
    <x v="0"/>
    <x v="29"/>
    <x v="75"/>
    <x v="0"/>
    <x v="1"/>
    <x v="2"/>
    <x v="118"/>
    <x v="1"/>
    <x v="3"/>
    <x v="0"/>
    <x v="339"/>
    <x v="255"/>
    <x v="45"/>
    <x v="167"/>
    <x v="30"/>
  </r>
  <r>
    <x v="746"/>
    <x v="4"/>
    <x v="1"/>
    <x v="1"/>
    <x v="1"/>
    <x v="0"/>
    <x v="0"/>
    <x v="0"/>
    <x v="3"/>
    <x v="579"/>
    <x v="617"/>
    <x v="0"/>
    <x v="57"/>
    <x v="178"/>
    <x v="0"/>
    <x v="2"/>
    <x v="4"/>
    <x v="9"/>
    <x v="1"/>
    <x v="0"/>
    <x v="0"/>
    <x v="224"/>
    <x v="314"/>
    <x v="74"/>
    <x v="154"/>
    <x v="60"/>
  </r>
  <r>
    <x v="747"/>
    <x v="17"/>
    <x v="1"/>
    <x v="4"/>
    <x v="1"/>
    <x v="0"/>
    <x v="4"/>
    <x v="1"/>
    <x v="3"/>
    <x v="599"/>
    <x v="618"/>
    <x v="2"/>
    <x v="3"/>
    <x v="11"/>
    <x v="2"/>
    <x v="1"/>
    <x v="0"/>
    <x v="61"/>
    <x v="1"/>
    <x v="4"/>
    <x v="1"/>
    <x v="146"/>
    <x v="184"/>
    <x v="61"/>
    <x v="157"/>
    <x v="108"/>
  </r>
  <r>
    <x v="748"/>
    <x v="4"/>
    <x v="2"/>
    <x v="4"/>
    <x v="3"/>
    <x v="0"/>
    <x v="2"/>
    <x v="2"/>
    <x v="3"/>
    <x v="584"/>
    <x v="619"/>
    <x v="2"/>
    <x v="9"/>
    <x v="115"/>
    <x v="2"/>
    <x v="0"/>
    <x v="2"/>
    <x v="30"/>
    <x v="0"/>
    <x v="4"/>
    <x v="1"/>
    <x v="340"/>
    <x v="109"/>
    <x v="65"/>
    <x v="109"/>
    <x v="28"/>
  </r>
  <r>
    <x v="749"/>
    <x v="22"/>
    <x v="2"/>
    <x v="3"/>
    <x v="0"/>
    <x v="1"/>
    <x v="14"/>
    <x v="0"/>
    <x v="1"/>
    <x v="600"/>
    <x v="620"/>
    <x v="2"/>
    <x v="0"/>
    <x v="83"/>
    <x v="2"/>
    <x v="1"/>
    <x v="2"/>
    <x v="76"/>
    <x v="1"/>
    <x v="2"/>
    <x v="0"/>
    <x v="326"/>
    <x v="335"/>
    <x v="38"/>
    <x v="56"/>
    <x v="164"/>
  </r>
  <r>
    <x v="750"/>
    <x v="56"/>
    <x v="1"/>
    <x v="1"/>
    <x v="3"/>
    <x v="4"/>
    <x v="17"/>
    <x v="0"/>
    <x v="2"/>
    <x v="601"/>
    <x v="356"/>
    <x v="1"/>
    <x v="58"/>
    <x v="28"/>
    <x v="1"/>
    <x v="1"/>
    <x v="0"/>
    <x v="21"/>
    <x v="1"/>
    <x v="4"/>
    <x v="1"/>
    <x v="341"/>
    <x v="183"/>
    <x v="42"/>
    <x v="21"/>
    <x v="35"/>
  </r>
  <r>
    <x v="751"/>
    <x v="50"/>
    <x v="0"/>
    <x v="4"/>
    <x v="1"/>
    <x v="4"/>
    <x v="1"/>
    <x v="3"/>
    <x v="1"/>
    <x v="602"/>
    <x v="621"/>
    <x v="3"/>
    <x v="3"/>
    <x v="147"/>
    <x v="3"/>
    <x v="0"/>
    <x v="3"/>
    <x v="36"/>
    <x v="0"/>
    <x v="3"/>
    <x v="0"/>
    <x v="197"/>
    <x v="302"/>
    <x v="83"/>
    <x v="87"/>
    <x v="59"/>
  </r>
  <r>
    <x v="752"/>
    <x v="25"/>
    <x v="0"/>
    <x v="3"/>
    <x v="3"/>
    <x v="0"/>
    <x v="7"/>
    <x v="3"/>
    <x v="1"/>
    <x v="603"/>
    <x v="622"/>
    <x v="0"/>
    <x v="6"/>
    <x v="21"/>
    <x v="0"/>
    <x v="0"/>
    <x v="1"/>
    <x v="82"/>
    <x v="0"/>
    <x v="2"/>
    <x v="1"/>
    <x v="342"/>
    <x v="259"/>
    <x v="68"/>
    <x v="76"/>
    <x v="103"/>
  </r>
  <r>
    <x v="753"/>
    <x v="8"/>
    <x v="0"/>
    <x v="4"/>
    <x v="2"/>
    <x v="0"/>
    <x v="1"/>
    <x v="3"/>
    <x v="1"/>
    <x v="604"/>
    <x v="623"/>
    <x v="0"/>
    <x v="14"/>
    <x v="194"/>
    <x v="0"/>
    <x v="0"/>
    <x v="0"/>
    <x v="127"/>
    <x v="0"/>
    <x v="2"/>
    <x v="1"/>
    <x v="331"/>
    <x v="164"/>
    <x v="32"/>
    <x v="0"/>
    <x v="128"/>
  </r>
  <r>
    <x v="754"/>
    <x v="9"/>
    <x v="2"/>
    <x v="0"/>
    <x v="0"/>
    <x v="2"/>
    <x v="0"/>
    <x v="0"/>
    <x v="2"/>
    <x v="605"/>
    <x v="624"/>
    <x v="3"/>
    <x v="4"/>
    <x v="151"/>
    <x v="3"/>
    <x v="0"/>
    <x v="1"/>
    <x v="91"/>
    <x v="0"/>
    <x v="3"/>
    <x v="0"/>
    <x v="137"/>
    <x v="112"/>
    <x v="26"/>
    <x v="85"/>
    <x v="68"/>
  </r>
  <r>
    <x v="755"/>
    <x v="53"/>
    <x v="1"/>
    <x v="0"/>
    <x v="1"/>
    <x v="0"/>
    <x v="2"/>
    <x v="1"/>
    <x v="2"/>
    <x v="606"/>
    <x v="491"/>
    <x v="2"/>
    <x v="28"/>
    <x v="1"/>
    <x v="2"/>
    <x v="1"/>
    <x v="4"/>
    <x v="77"/>
    <x v="1"/>
    <x v="3"/>
    <x v="0"/>
    <x v="240"/>
    <x v="203"/>
    <x v="30"/>
    <x v="17"/>
    <x v="124"/>
  </r>
  <r>
    <x v="756"/>
    <x v="29"/>
    <x v="2"/>
    <x v="4"/>
    <x v="4"/>
    <x v="2"/>
    <x v="17"/>
    <x v="3"/>
    <x v="0"/>
    <x v="607"/>
    <x v="316"/>
    <x v="1"/>
    <x v="48"/>
    <x v="109"/>
    <x v="1"/>
    <x v="2"/>
    <x v="0"/>
    <x v="27"/>
    <x v="1"/>
    <x v="1"/>
    <x v="0"/>
    <x v="1"/>
    <x v="321"/>
    <x v="22"/>
    <x v="175"/>
    <x v="66"/>
  </r>
  <r>
    <x v="757"/>
    <x v="30"/>
    <x v="0"/>
    <x v="0"/>
    <x v="0"/>
    <x v="0"/>
    <x v="8"/>
    <x v="0"/>
    <x v="3"/>
    <x v="608"/>
    <x v="143"/>
    <x v="1"/>
    <x v="22"/>
    <x v="29"/>
    <x v="1"/>
    <x v="0"/>
    <x v="3"/>
    <x v="132"/>
    <x v="0"/>
    <x v="0"/>
    <x v="0"/>
    <x v="4"/>
    <x v="201"/>
    <x v="29"/>
    <x v="18"/>
    <x v="76"/>
  </r>
  <r>
    <x v="758"/>
    <x v="30"/>
    <x v="2"/>
    <x v="0"/>
    <x v="0"/>
    <x v="1"/>
    <x v="13"/>
    <x v="1"/>
    <x v="2"/>
    <x v="609"/>
    <x v="625"/>
    <x v="1"/>
    <x v="78"/>
    <x v="78"/>
    <x v="1"/>
    <x v="2"/>
    <x v="1"/>
    <x v="124"/>
    <x v="1"/>
    <x v="1"/>
    <x v="0"/>
    <x v="96"/>
    <x v="178"/>
    <x v="41"/>
    <x v="13"/>
    <x v="124"/>
  </r>
  <r>
    <x v="759"/>
    <x v="3"/>
    <x v="0"/>
    <x v="4"/>
    <x v="2"/>
    <x v="2"/>
    <x v="15"/>
    <x v="0"/>
    <x v="3"/>
    <x v="610"/>
    <x v="626"/>
    <x v="3"/>
    <x v="0"/>
    <x v="165"/>
    <x v="3"/>
    <x v="2"/>
    <x v="0"/>
    <x v="49"/>
    <x v="1"/>
    <x v="2"/>
    <x v="0"/>
    <x v="100"/>
    <x v="236"/>
    <x v="26"/>
    <x v="161"/>
    <x v="57"/>
  </r>
  <r>
    <x v="760"/>
    <x v="49"/>
    <x v="1"/>
    <x v="2"/>
    <x v="0"/>
    <x v="0"/>
    <x v="19"/>
    <x v="1"/>
    <x v="0"/>
    <x v="482"/>
    <x v="621"/>
    <x v="1"/>
    <x v="4"/>
    <x v="51"/>
    <x v="1"/>
    <x v="2"/>
    <x v="1"/>
    <x v="50"/>
    <x v="1"/>
    <x v="2"/>
    <x v="0"/>
    <x v="132"/>
    <x v="47"/>
    <x v="65"/>
    <x v="79"/>
    <x v="79"/>
  </r>
  <r>
    <x v="761"/>
    <x v="22"/>
    <x v="1"/>
    <x v="4"/>
    <x v="1"/>
    <x v="3"/>
    <x v="12"/>
    <x v="2"/>
    <x v="0"/>
    <x v="611"/>
    <x v="627"/>
    <x v="2"/>
    <x v="22"/>
    <x v="149"/>
    <x v="2"/>
    <x v="0"/>
    <x v="2"/>
    <x v="83"/>
    <x v="0"/>
    <x v="0"/>
    <x v="0"/>
    <x v="132"/>
    <x v="336"/>
    <x v="19"/>
    <x v="72"/>
    <x v="107"/>
  </r>
  <r>
    <x v="762"/>
    <x v="4"/>
    <x v="1"/>
    <x v="0"/>
    <x v="1"/>
    <x v="0"/>
    <x v="14"/>
    <x v="2"/>
    <x v="3"/>
    <x v="177"/>
    <x v="628"/>
    <x v="3"/>
    <x v="49"/>
    <x v="167"/>
    <x v="3"/>
    <x v="0"/>
    <x v="0"/>
    <x v="27"/>
    <x v="0"/>
    <x v="0"/>
    <x v="0"/>
    <x v="232"/>
    <x v="47"/>
    <x v="38"/>
    <x v="88"/>
    <x v="164"/>
  </r>
  <r>
    <x v="763"/>
    <x v="2"/>
    <x v="1"/>
    <x v="0"/>
    <x v="0"/>
    <x v="0"/>
    <x v="3"/>
    <x v="1"/>
    <x v="2"/>
    <x v="612"/>
    <x v="265"/>
    <x v="0"/>
    <x v="9"/>
    <x v="77"/>
    <x v="0"/>
    <x v="0"/>
    <x v="0"/>
    <x v="12"/>
    <x v="0"/>
    <x v="0"/>
    <x v="0"/>
    <x v="72"/>
    <x v="294"/>
    <x v="53"/>
    <x v="126"/>
    <x v="125"/>
  </r>
  <r>
    <x v="764"/>
    <x v="2"/>
    <x v="0"/>
    <x v="1"/>
    <x v="3"/>
    <x v="0"/>
    <x v="3"/>
    <x v="1"/>
    <x v="2"/>
    <x v="228"/>
    <x v="629"/>
    <x v="1"/>
    <x v="33"/>
    <x v="8"/>
    <x v="1"/>
    <x v="0"/>
    <x v="3"/>
    <x v="2"/>
    <x v="0"/>
    <x v="4"/>
    <x v="1"/>
    <x v="107"/>
    <x v="58"/>
    <x v="23"/>
    <x v="24"/>
    <x v="127"/>
  </r>
  <r>
    <x v="765"/>
    <x v="11"/>
    <x v="2"/>
    <x v="4"/>
    <x v="1"/>
    <x v="5"/>
    <x v="15"/>
    <x v="3"/>
    <x v="0"/>
    <x v="613"/>
    <x v="630"/>
    <x v="0"/>
    <x v="8"/>
    <x v="34"/>
    <x v="0"/>
    <x v="2"/>
    <x v="4"/>
    <x v="9"/>
    <x v="1"/>
    <x v="0"/>
    <x v="1"/>
    <x v="15"/>
    <x v="169"/>
    <x v="84"/>
    <x v="20"/>
    <x v="127"/>
  </r>
  <r>
    <x v="766"/>
    <x v="33"/>
    <x v="0"/>
    <x v="4"/>
    <x v="4"/>
    <x v="2"/>
    <x v="2"/>
    <x v="3"/>
    <x v="1"/>
    <x v="278"/>
    <x v="631"/>
    <x v="0"/>
    <x v="6"/>
    <x v="154"/>
    <x v="0"/>
    <x v="0"/>
    <x v="2"/>
    <x v="74"/>
    <x v="0"/>
    <x v="3"/>
    <x v="0"/>
    <x v="252"/>
    <x v="135"/>
    <x v="71"/>
    <x v="30"/>
    <x v="65"/>
  </r>
  <r>
    <x v="767"/>
    <x v="4"/>
    <x v="2"/>
    <x v="1"/>
    <x v="2"/>
    <x v="0"/>
    <x v="10"/>
    <x v="0"/>
    <x v="2"/>
    <x v="185"/>
    <x v="256"/>
    <x v="1"/>
    <x v="3"/>
    <x v="143"/>
    <x v="1"/>
    <x v="0"/>
    <x v="2"/>
    <x v="38"/>
    <x v="0"/>
    <x v="1"/>
    <x v="0"/>
    <x v="291"/>
    <x v="337"/>
    <x v="49"/>
    <x v="148"/>
    <x v="116"/>
  </r>
  <r>
    <x v="768"/>
    <x v="31"/>
    <x v="2"/>
    <x v="1"/>
    <x v="3"/>
    <x v="5"/>
    <x v="6"/>
    <x v="3"/>
    <x v="1"/>
    <x v="614"/>
    <x v="632"/>
    <x v="1"/>
    <x v="24"/>
    <x v="75"/>
    <x v="1"/>
    <x v="2"/>
    <x v="0"/>
    <x v="20"/>
    <x v="1"/>
    <x v="1"/>
    <x v="0"/>
    <x v="331"/>
    <x v="242"/>
    <x v="1"/>
    <x v="72"/>
    <x v="154"/>
  </r>
  <r>
    <x v="769"/>
    <x v="11"/>
    <x v="0"/>
    <x v="1"/>
    <x v="4"/>
    <x v="1"/>
    <x v="11"/>
    <x v="1"/>
    <x v="2"/>
    <x v="309"/>
    <x v="146"/>
    <x v="3"/>
    <x v="8"/>
    <x v="148"/>
    <x v="3"/>
    <x v="2"/>
    <x v="2"/>
    <x v="32"/>
    <x v="1"/>
    <x v="0"/>
    <x v="0"/>
    <x v="166"/>
    <x v="22"/>
    <x v="10"/>
    <x v="72"/>
    <x v="55"/>
  </r>
  <r>
    <x v="770"/>
    <x v="14"/>
    <x v="0"/>
    <x v="0"/>
    <x v="0"/>
    <x v="1"/>
    <x v="0"/>
    <x v="2"/>
    <x v="1"/>
    <x v="31"/>
    <x v="559"/>
    <x v="2"/>
    <x v="21"/>
    <x v="93"/>
    <x v="2"/>
    <x v="0"/>
    <x v="3"/>
    <x v="36"/>
    <x v="0"/>
    <x v="3"/>
    <x v="1"/>
    <x v="276"/>
    <x v="96"/>
    <x v="68"/>
    <x v="134"/>
    <x v="89"/>
  </r>
  <r>
    <x v="771"/>
    <x v="23"/>
    <x v="0"/>
    <x v="0"/>
    <x v="4"/>
    <x v="0"/>
    <x v="0"/>
    <x v="2"/>
    <x v="2"/>
    <x v="123"/>
    <x v="73"/>
    <x v="3"/>
    <x v="63"/>
    <x v="14"/>
    <x v="3"/>
    <x v="1"/>
    <x v="3"/>
    <x v="75"/>
    <x v="1"/>
    <x v="0"/>
    <x v="1"/>
    <x v="243"/>
    <x v="107"/>
    <x v="35"/>
    <x v="125"/>
    <x v="45"/>
  </r>
  <r>
    <x v="772"/>
    <x v="34"/>
    <x v="2"/>
    <x v="1"/>
    <x v="3"/>
    <x v="0"/>
    <x v="7"/>
    <x v="2"/>
    <x v="0"/>
    <x v="479"/>
    <x v="633"/>
    <x v="0"/>
    <x v="29"/>
    <x v="153"/>
    <x v="0"/>
    <x v="1"/>
    <x v="0"/>
    <x v="16"/>
    <x v="1"/>
    <x v="0"/>
    <x v="0"/>
    <x v="159"/>
    <x v="8"/>
    <x v="61"/>
    <x v="9"/>
    <x v="37"/>
  </r>
  <r>
    <x v="773"/>
    <x v="22"/>
    <x v="1"/>
    <x v="2"/>
    <x v="1"/>
    <x v="1"/>
    <x v="9"/>
    <x v="3"/>
    <x v="1"/>
    <x v="615"/>
    <x v="379"/>
    <x v="1"/>
    <x v="83"/>
    <x v="194"/>
    <x v="1"/>
    <x v="2"/>
    <x v="2"/>
    <x v="51"/>
    <x v="1"/>
    <x v="1"/>
    <x v="0"/>
    <x v="155"/>
    <x v="178"/>
    <x v="71"/>
    <x v="168"/>
    <x v="45"/>
  </r>
  <r>
    <x v="774"/>
    <x v="60"/>
    <x v="1"/>
    <x v="1"/>
    <x v="4"/>
    <x v="4"/>
    <x v="6"/>
    <x v="0"/>
    <x v="1"/>
    <x v="197"/>
    <x v="234"/>
    <x v="3"/>
    <x v="6"/>
    <x v="5"/>
    <x v="3"/>
    <x v="0"/>
    <x v="3"/>
    <x v="133"/>
    <x v="0"/>
    <x v="3"/>
    <x v="1"/>
    <x v="204"/>
    <x v="301"/>
    <x v="56"/>
    <x v="48"/>
    <x v="142"/>
  </r>
  <r>
    <x v="775"/>
    <x v="8"/>
    <x v="1"/>
    <x v="1"/>
    <x v="3"/>
    <x v="2"/>
    <x v="12"/>
    <x v="1"/>
    <x v="3"/>
    <x v="616"/>
    <x v="310"/>
    <x v="2"/>
    <x v="34"/>
    <x v="163"/>
    <x v="2"/>
    <x v="0"/>
    <x v="4"/>
    <x v="11"/>
    <x v="0"/>
    <x v="3"/>
    <x v="0"/>
    <x v="163"/>
    <x v="338"/>
    <x v="59"/>
    <x v="111"/>
    <x v="148"/>
  </r>
  <r>
    <x v="776"/>
    <x v="35"/>
    <x v="1"/>
    <x v="3"/>
    <x v="4"/>
    <x v="3"/>
    <x v="9"/>
    <x v="1"/>
    <x v="1"/>
    <x v="617"/>
    <x v="634"/>
    <x v="0"/>
    <x v="62"/>
    <x v="119"/>
    <x v="0"/>
    <x v="1"/>
    <x v="3"/>
    <x v="104"/>
    <x v="1"/>
    <x v="0"/>
    <x v="1"/>
    <x v="188"/>
    <x v="237"/>
    <x v="29"/>
    <x v="59"/>
    <x v="9"/>
  </r>
  <r>
    <x v="777"/>
    <x v="18"/>
    <x v="0"/>
    <x v="1"/>
    <x v="4"/>
    <x v="0"/>
    <x v="16"/>
    <x v="3"/>
    <x v="1"/>
    <x v="618"/>
    <x v="635"/>
    <x v="3"/>
    <x v="10"/>
    <x v="99"/>
    <x v="3"/>
    <x v="0"/>
    <x v="2"/>
    <x v="85"/>
    <x v="0"/>
    <x v="1"/>
    <x v="1"/>
    <x v="36"/>
    <x v="192"/>
    <x v="53"/>
    <x v="63"/>
    <x v="15"/>
  </r>
  <r>
    <x v="778"/>
    <x v="49"/>
    <x v="0"/>
    <x v="2"/>
    <x v="3"/>
    <x v="0"/>
    <x v="0"/>
    <x v="1"/>
    <x v="1"/>
    <x v="619"/>
    <x v="636"/>
    <x v="0"/>
    <x v="48"/>
    <x v="163"/>
    <x v="0"/>
    <x v="0"/>
    <x v="1"/>
    <x v="116"/>
    <x v="0"/>
    <x v="3"/>
    <x v="1"/>
    <x v="23"/>
    <x v="53"/>
    <x v="45"/>
    <x v="129"/>
    <x v="46"/>
  </r>
  <r>
    <x v="779"/>
    <x v="24"/>
    <x v="1"/>
    <x v="1"/>
    <x v="0"/>
    <x v="0"/>
    <x v="19"/>
    <x v="3"/>
    <x v="0"/>
    <x v="620"/>
    <x v="637"/>
    <x v="1"/>
    <x v="3"/>
    <x v="1"/>
    <x v="1"/>
    <x v="1"/>
    <x v="1"/>
    <x v="57"/>
    <x v="1"/>
    <x v="2"/>
    <x v="1"/>
    <x v="44"/>
    <x v="94"/>
    <x v="27"/>
    <x v="137"/>
    <x v="7"/>
  </r>
  <r>
    <x v="780"/>
    <x v="44"/>
    <x v="1"/>
    <x v="0"/>
    <x v="3"/>
    <x v="0"/>
    <x v="1"/>
    <x v="2"/>
    <x v="1"/>
    <x v="222"/>
    <x v="638"/>
    <x v="1"/>
    <x v="4"/>
    <x v="35"/>
    <x v="1"/>
    <x v="0"/>
    <x v="3"/>
    <x v="139"/>
    <x v="0"/>
    <x v="1"/>
    <x v="1"/>
    <x v="161"/>
    <x v="245"/>
    <x v="7"/>
    <x v="87"/>
    <x v="84"/>
  </r>
  <r>
    <x v="781"/>
    <x v="29"/>
    <x v="0"/>
    <x v="0"/>
    <x v="2"/>
    <x v="0"/>
    <x v="13"/>
    <x v="1"/>
    <x v="1"/>
    <x v="243"/>
    <x v="417"/>
    <x v="0"/>
    <x v="6"/>
    <x v="41"/>
    <x v="0"/>
    <x v="0"/>
    <x v="4"/>
    <x v="88"/>
    <x v="0"/>
    <x v="0"/>
    <x v="0"/>
    <x v="343"/>
    <x v="339"/>
    <x v="43"/>
    <x v="148"/>
    <x v="66"/>
  </r>
  <r>
    <x v="782"/>
    <x v="17"/>
    <x v="2"/>
    <x v="2"/>
    <x v="2"/>
    <x v="5"/>
    <x v="0"/>
    <x v="2"/>
    <x v="1"/>
    <x v="621"/>
    <x v="639"/>
    <x v="3"/>
    <x v="7"/>
    <x v="87"/>
    <x v="3"/>
    <x v="2"/>
    <x v="0"/>
    <x v="42"/>
    <x v="1"/>
    <x v="3"/>
    <x v="0"/>
    <x v="313"/>
    <x v="60"/>
    <x v="9"/>
    <x v="30"/>
    <x v="28"/>
  </r>
  <r>
    <x v="783"/>
    <x v="65"/>
    <x v="2"/>
    <x v="3"/>
    <x v="4"/>
    <x v="0"/>
    <x v="11"/>
    <x v="0"/>
    <x v="1"/>
    <x v="42"/>
    <x v="460"/>
    <x v="1"/>
    <x v="58"/>
    <x v="179"/>
    <x v="1"/>
    <x v="1"/>
    <x v="2"/>
    <x v="139"/>
    <x v="1"/>
    <x v="0"/>
    <x v="0"/>
    <x v="305"/>
    <x v="5"/>
    <x v="47"/>
    <x v="46"/>
    <x v="120"/>
  </r>
  <r>
    <x v="784"/>
    <x v="15"/>
    <x v="1"/>
    <x v="3"/>
    <x v="1"/>
    <x v="3"/>
    <x v="4"/>
    <x v="0"/>
    <x v="1"/>
    <x v="4"/>
    <x v="4"/>
    <x v="3"/>
    <x v="56"/>
    <x v="148"/>
    <x v="3"/>
    <x v="0"/>
    <x v="3"/>
    <x v="150"/>
    <x v="0"/>
    <x v="1"/>
    <x v="0"/>
    <x v="344"/>
    <x v="205"/>
    <x v="80"/>
    <x v="119"/>
    <x v="81"/>
  </r>
  <r>
    <x v="785"/>
    <x v="55"/>
    <x v="1"/>
    <x v="1"/>
    <x v="1"/>
    <x v="1"/>
    <x v="9"/>
    <x v="2"/>
    <x v="1"/>
    <x v="622"/>
    <x v="640"/>
    <x v="3"/>
    <x v="6"/>
    <x v="75"/>
    <x v="3"/>
    <x v="2"/>
    <x v="2"/>
    <x v="87"/>
    <x v="1"/>
    <x v="2"/>
    <x v="1"/>
    <x v="287"/>
    <x v="168"/>
    <x v="75"/>
    <x v="55"/>
    <x v="43"/>
  </r>
  <r>
    <x v="786"/>
    <x v="42"/>
    <x v="0"/>
    <x v="2"/>
    <x v="3"/>
    <x v="0"/>
    <x v="14"/>
    <x v="0"/>
    <x v="1"/>
    <x v="623"/>
    <x v="477"/>
    <x v="2"/>
    <x v="26"/>
    <x v="145"/>
    <x v="2"/>
    <x v="1"/>
    <x v="2"/>
    <x v="82"/>
    <x v="1"/>
    <x v="0"/>
    <x v="1"/>
    <x v="253"/>
    <x v="340"/>
    <x v="72"/>
    <x v="54"/>
    <x v="119"/>
  </r>
  <r>
    <x v="787"/>
    <x v="47"/>
    <x v="1"/>
    <x v="3"/>
    <x v="4"/>
    <x v="0"/>
    <x v="9"/>
    <x v="1"/>
    <x v="3"/>
    <x v="624"/>
    <x v="136"/>
    <x v="2"/>
    <x v="28"/>
    <x v="10"/>
    <x v="2"/>
    <x v="1"/>
    <x v="2"/>
    <x v="107"/>
    <x v="1"/>
    <x v="4"/>
    <x v="1"/>
    <x v="252"/>
    <x v="341"/>
    <x v="73"/>
    <x v="117"/>
    <x v="62"/>
  </r>
  <r>
    <x v="788"/>
    <x v="39"/>
    <x v="2"/>
    <x v="2"/>
    <x v="1"/>
    <x v="0"/>
    <x v="3"/>
    <x v="0"/>
    <x v="2"/>
    <x v="34"/>
    <x v="641"/>
    <x v="1"/>
    <x v="49"/>
    <x v="34"/>
    <x v="1"/>
    <x v="2"/>
    <x v="3"/>
    <x v="139"/>
    <x v="1"/>
    <x v="3"/>
    <x v="1"/>
    <x v="98"/>
    <x v="41"/>
    <x v="66"/>
    <x v="48"/>
    <x v="28"/>
  </r>
  <r>
    <x v="789"/>
    <x v="7"/>
    <x v="2"/>
    <x v="2"/>
    <x v="2"/>
    <x v="0"/>
    <x v="10"/>
    <x v="3"/>
    <x v="1"/>
    <x v="625"/>
    <x v="642"/>
    <x v="1"/>
    <x v="4"/>
    <x v="67"/>
    <x v="1"/>
    <x v="2"/>
    <x v="2"/>
    <x v="148"/>
    <x v="1"/>
    <x v="0"/>
    <x v="1"/>
    <x v="222"/>
    <x v="42"/>
    <x v="33"/>
    <x v="46"/>
    <x v="33"/>
  </r>
  <r>
    <x v="790"/>
    <x v="43"/>
    <x v="1"/>
    <x v="2"/>
    <x v="3"/>
    <x v="0"/>
    <x v="11"/>
    <x v="2"/>
    <x v="3"/>
    <x v="626"/>
    <x v="643"/>
    <x v="2"/>
    <x v="39"/>
    <x v="180"/>
    <x v="2"/>
    <x v="2"/>
    <x v="4"/>
    <x v="33"/>
    <x v="1"/>
    <x v="3"/>
    <x v="1"/>
    <x v="62"/>
    <x v="141"/>
    <x v="48"/>
    <x v="23"/>
    <x v="5"/>
  </r>
  <r>
    <x v="791"/>
    <x v="27"/>
    <x v="2"/>
    <x v="0"/>
    <x v="1"/>
    <x v="5"/>
    <x v="6"/>
    <x v="0"/>
    <x v="1"/>
    <x v="68"/>
    <x v="243"/>
    <x v="1"/>
    <x v="53"/>
    <x v="193"/>
    <x v="1"/>
    <x v="0"/>
    <x v="3"/>
    <x v="106"/>
    <x v="0"/>
    <x v="2"/>
    <x v="0"/>
    <x v="159"/>
    <x v="93"/>
    <x v="43"/>
    <x v="86"/>
    <x v="117"/>
  </r>
  <r>
    <x v="792"/>
    <x v="17"/>
    <x v="2"/>
    <x v="3"/>
    <x v="0"/>
    <x v="0"/>
    <x v="2"/>
    <x v="1"/>
    <x v="0"/>
    <x v="627"/>
    <x v="644"/>
    <x v="1"/>
    <x v="66"/>
    <x v="98"/>
    <x v="1"/>
    <x v="2"/>
    <x v="3"/>
    <x v="112"/>
    <x v="1"/>
    <x v="4"/>
    <x v="0"/>
    <x v="11"/>
    <x v="85"/>
    <x v="6"/>
    <x v="38"/>
    <x v="134"/>
  </r>
  <r>
    <x v="793"/>
    <x v="14"/>
    <x v="0"/>
    <x v="1"/>
    <x v="1"/>
    <x v="3"/>
    <x v="8"/>
    <x v="2"/>
    <x v="0"/>
    <x v="628"/>
    <x v="645"/>
    <x v="0"/>
    <x v="6"/>
    <x v="57"/>
    <x v="0"/>
    <x v="0"/>
    <x v="3"/>
    <x v="0"/>
    <x v="0"/>
    <x v="4"/>
    <x v="0"/>
    <x v="152"/>
    <x v="135"/>
    <x v="26"/>
    <x v="1"/>
    <x v="140"/>
  </r>
  <r>
    <x v="794"/>
    <x v="8"/>
    <x v="1"/>
    <x v="2"/>
    <x v="1"/>
    <x v="2"/>
    <x v="18"/>
    <x v="3"/>
    <x v="2"/>
    <x v="629"/>
    <x v="646"/>
    <x v="0"/>
    <x v="28"/>
    <x v="15"/>
    <x v="0"/>
    <x v="1"/>
    <x v="4"/>
    <x v="60"/>
    <x v="1"/>
    <x v="2"/>
    <x v="1"/>
    <x v="55"/>
    <x v="170"/>
    <x v="22"/>
    <x v="87"/>
    <x v="63"/>
  </r>
  <r>
    <x v="795"/>
    <x v="8"/>
    <x v="0"/>
    <x v="3"/>
    <x v="3"/>
    <x v="0"/>
    <x v="10"/>
    <x v="2"/>
    <x v="3"/>
    <x v="109"/>
    <x v="160"/>
    <x v="3"/>
    <x v="40"/>
    <x v="140"/>
    <x v="3"/>
    <x v="2"/>
    <x v="1"/>
    <x v="113"/>
    <x v="1"/>
    <x v="4"/>
    <x v="0"/>
    <x v="322"/>
    <x v="2"/>
    <x v="74"/>
    <x v="160"/>
    <x v="34"/>
  </r>
  <r>
    <x v="796"/>
    <x v="66"/>
    <x v="1"/>
    <x v="3"/>
    <x v="0"/>
    <x v="0"/>
    <x v="7"/>
    <x v="2"/>
    <x v="3"/>
    <x v="630"/>
    <x v="296"/>
    <x v="0"/>
    <x v="41"/>
    <x v="2"/>
    <x v="0"/>
    <x v="2"/>
    <x v="2"/>
    <x v="28"/>
    <x v="1"/>
    <x v="2"/>
    <x v="1"/>
    <x v="1"/>
    <x v="342"/>
    <x v="10"/>
    <x v="125"/>
    <x v="159"/>
  </r>
  <r>
    <x v="797"/>
    <x v="66"/>
    <x v="1"/>
    <x v="1"/>
    <x v="3"/>
    <x v="0"/>
    <x v="10"/>
    <x v="0"/>
    <x v="3"/>
    <x v="631"/>
    <x v="647"/>
    <x v="3"/>
    <x v="24"/>
    <x v="2"/>
    <x v="3"/>
    <x v="0"/>
    <x v="2"/>
    <x v="5"/>
    <x v="0"/>
    <x v="3"/>
    <x v="1"/>
    <x v="226"/>
    <x v="123"/>
    <x v="74"/>
    <x v="90"/>
    <x v="132"/>
  </r>
  <r>
    <x v="798"/>
    <x v="32"/>
    <x v="0"/>
    <x v="3"/>
    <x v="4"/>
    <x v="5"/>
    <x v="3"/>
    <x v="1"/>
    <x v="0"/>
    <x v="632"/>
    <x v="648"/>
    <x v="0"/>
    <x v="4"/>
    <x v="79"/>
    <x v="0"/>
    <x v="0"/>
    <x v="0"/>
    <x v="132"/>
    <x v="0"/>
    <x v="3"/>
    <x v="1"/>
    <x v="211"/>
    <x v="91"/>
    <x v="41"/>
    <x v="103"/>
    <x v="70"/>
  </r>
  <r>
    <x v="799"/>
    <x v="28"/>
    <x v="1"/>
    <x v="1"/>
    <x v="4"/>
    <x v="5"/>
    <x v="9"/>
    <x v="1"/>
    <x v="3"/>
    <x v="542"/>
    <x v="649"/>
    <x v="2"/>
    <x v="24"/>
    <x v="74"/>
    <x v="2"/>
    <x v="1"/>
    <x v="0"/>
    <x v="120"/>
    <x v="1"/>
    <x v="2"/>
    <x v="1"/>
    <x v="38"/>
    <x v="79"/>
    <x v="12"/>
    <x v="66"/>
    <x v="69"/>
  </r>
  <r>
    <x v="800"/>
    <x v="60"/>
    <x v="1"/>
    <x v="3"/>
    <x v="4"/>
    <x v="1"/>
    <x v="15"/>
    <x v="2"/>
    <x v="1"/>
    <x v="633"/>
    <x v="650"/>
    <x v="0"/>
    <x v="58"/>
    <x v="77"/>
    <x v="0"/>
    <x v="1"/>
    <x v="4"/>
    <x v="23"/>
    <x v="1"/>
    <x v="0"/>
    <x v="0"/>
    <x v="83"/>
    <x v="224"/>
    <x v="90"/>
    <x v="97"/>
    <x v="163"/>
  </r>
  <r>
    <x v="801"/>
    <x v="47"/>
    <x v="2"/>
    <x v="2"/>
    <x v="3"/>
    <x v="2"/>
    <x v="15"/>
    <x v="3"/>
    <x v="0"/>
    <x v="634"/>
    <x v="651"/>
    <x v="0"/>
    <x v="58"/>
    <x v="19"/>
    <x v="0"/>
    <x v="1"/>
    <x v="4"/>
    <x v="96"/>
    <x v="1"/>
    <x v="0"/>
    <x v="0"/>
    <x v="198"/>
    <x v="321"/>
    <x v="47"/>
    <x v="56"/>
    <x v="128"/>
  </r>
  <r>
    <x v="802"/>
    <x v="37"/>
    <x v="2"/>
    <x v="3"/>
    <x v="1"/>
    <x v="0"/>
    <x v="7"/>
    <x v="2"/>
    <x v="2"/>
    <x v="635"/>
    <x v="652"/>
    <x v="0"/>
    <x v="49"/>
    <x v="116"/>
    <x v="0"/>
    <x v="1"/>
    <x v="1"/>
    <x v="70"/>
    <x v="1"/>
    <x v="2"/>
    <x v="0"/>
    <x v="105"/>
    <x v="342"/>
    <x v="87"/>
    <x v="84"/>
    <x v="66"/>
  </r>
  <r>
    <x v="803"/>
    <x v="59"/>
    <x v="0"/>
    <x v="2"/>
    <x v="4"/>
    <x v="5"/>
    <x v="10"/>
    <x v="0"/>
    <x v="3"/>
    <x v="636"/>
    <x v="653"/>
    <x v="3"/>
    <x v="3"/>
    <x v="20"/>
    <x v="3"/>
    <x v="0"/>
    <x v="0"/>
    <x v="22"/>
    <x v="0"/>
    <x v="2"/>
    <x v="1"/>
    <x v="345"/>
    <x v="262"/>
    <x v="49"/>
    <x v="19"/>
    <x v="60"/>
  </r>
  <r>
    <x v="804"/>
    <x v="52"/>
    <x v="2"/>
    <x v="3"/>
    <x v="0"/>
    <x v="5"/>
    <x v="8"/>
    <x v="0"/>
    <x v="0"/>
    <x v="637"/>
    <x v="654"/>
    <x v="0"/>
    <x v="48"/>
    <x v="47"/>
    <x v="0"/>
    <x v="0"/>
    <x v="3"/>
    <x v="41"/>
    <x v="0"/>
    <x v="3"/>
    <x v="0"/>
    <x v="185"/>
    <x v="141"/>
    <x v="64"/>
    <x v="160"/>
    <x v="127"/>
  </r>
  <r>
    <x v="805"/>
    <x v="23"/>
    <x v="1"/>
    <x v="4"/>
    <x v="3"/>
    <x v="1"/>
    <x v="16"/>
    <x v="3"/>
    <x v="1"/>
    <x v="638"/>
    <x v="116"/>
    <x v="1"/>
    <x v="1"/>
    <x v="116"/>
    <x v="1"/>
    <x v="0"/>
    <x v="3"/>
    <x v="148"/>
    <x v="0"/>
    <x v="0"/>
    <x v="1"/>
    <x v="123"/>
    <x v="66"/>
    <x v="52"/>
    <x v="125"/>
    <x v="45"/>
  </r>
  <r>
    <x v="806"/>
    <x v="35"/>
    <x v="1"/>
    <x v="0"/>
    <x v="4"/>
    <x v="1"/>
    <x v="15"/>
    <x v="0"/>
    <x v="3"/>
    <x v="639"/>
    <x v="655"/>
    <x v="1"/>
    <x v="24"/>
    <x v="3"/>
    <x v="1"/>
    <x v="0"/>
    <x v="1"/>
    <x v="126"/>
    <x v="0"/>
    <x v="1"/>
    <x v="1"/>
    <x v="124"/>
    <x v="343"/>
    <x v="7"/>
    <x v="156"/>
    <x v="66"/>
  </r>
  <r>
    <x v="807"/>
    <x v="19"/>
    <x v="2"/>
    <x v="1"/>
    <x v="4"/>
    <x v="1"/>
    <x v="5"/>
    <x v="2"/>
    <x v="3"/>
    <x v="640"/>
    <x v="656"/>
    <x v="1"/>
    <x v="81"/>
    <x v="138"/>
    <x v="1"/>
    <x v="0"/>
    <x v="0"/>
    <x v="90"/>
    <x v="0"/>
    <x v="3"/>
    <x v="0"/>
    <x v="168"/>
    <x v="331"/>
    <x v="25"/>
    <x v="22"/>
    <x v="64"/>
  </r>
  <r>
    <x v="808"/>
    <x v="57"/>
    <x v="2"/>
    <x v="3"/>
    <x v="1"/>
    <x v="0"/>
    <x v="15"/>
    <x v="0"/>
    <x v="2"/>
    <x v="641"/>
    <x v="358"/>
    <x v="1"/>
    <x v="12"/>
    <x v="147"/>
    <x v="1"/>
    <x v="2"/>
    <x v="1"/>
    <x v="130"/>
    <x v="1"/>
    <x v="0"/>
    <x v="1"/>
    <x v="33"/>
    <x v="245"/>
    <x v="22"/>
    <x v="165"/>
    <x v="59"/>
  </r>
  <r>
    <x v="809"/>
    <x v="37"/>
    <x v="0"/>
    <x v="2"/>
    <x v="0"/>
    <x v="1"/>
    <x v="19"/>
    <x v="3"/>
    <x v="3"/>
    <x v="642"/>
    <x v="657"/>
    <x v="2"/>
    <x v="6"/>
    <x v="127"/>
    <x v="2"/>
    <x v="1"/>
    <x v="4"/>
    <x v="40"/>
    <x v="1"/>
    <x v="4"/>
    <x v="1"/>
    <x v="6"/>
    <x v="291"/>
    <x v="45"/>
    <x v="34"/>
    <x v="43"/>
  </r>
  <r>
    <x v="810"/>
    <x v="11"/>
    <x v="2"/>
    <x v="4"/>
    <x v="0"/>
    <x v="0"/>
    <x v="10"/>
    <x v="3"/>
    <x v="2"/>
    <x v="20"/>
    <x v="4"/>
    <x v="3"/>
    <x v="6"/>
    <x v="130"/>
    <x v="3"/>
    <x v="2"/>
    <x v="2"/>
    <x v="133"/>
    <x v="1"/>
    <x v="0"/>
    <x v="1"/>
    <x v="206"/>
    <x v="190"/>
    <x v="26"/>
    <x v="144"/>
    <x v="158"/>
  </r>
  <r>
    <x v="811"/>
    <x v="47"/>
    <x v="2"/>
    <x v="0"/>
    <x v="0"/>
    <x v="0"/>
    <x v="12"/>
    <x v="3"/>
    <x v="2"/>
    <x v="358"/>
    <x v="658"/>
    <x v="0"/>
    <x v="27"/>
    <x v="60"/>
    <x v="0"/>
    <x v="1"/>
    <x v="1"/>
    <x v="86"/>
    <x v="1"/>
    <x v="1"/>
    <x v="0"/>
    <x v="315"/>
    <x v="64"/>
    <x v="23"/>
    <x v="98"/>
    <x v="85"/>
  </r>
  <r>
    <x v="812"/>
    <x v="0"/>
    <x v="0"/>
    <x v="1"/>
    <x v="0"/>
    <x v="0"/>
    <x v="11"/>
    <x v="0"/>
    <x v="2"/>
    <x v="643"/>
    <x v="659"/>
    <x v="1"/>
    <x v="69"/>
    <x v="58"/>
    <x v="1"/>
    <x v="0"/>
    <x v="2"/>
    <x v="34"/>
    <x v="0"/>
    <x v="0"/>
    <x v="0"/>
    <x v="346"/>
    <x v="38"/>
    <x v="37"/>
    <x v="151"/>
    <x v="37"/>
  </r>
  <r>
    <x v="813"/>
    <x v="41"/>
    <x v="0"/>
    <x v="3"/>
    <x v="1"/>
    <x v="0"/>
    <x v="4"/>
    <x v="2"/>
    <x v="2"/>
    <x v="644"/>
    <x v="660"/>
    <x v="1"/>
    <x v="9"/>
    <x v="96"/>
    <x v="1"/>
    <x v="0"/>
    <x v="3"/>
    <x v="119"/>
    <x v="0"/>
    <x v="0"/>
    <x v="0"/>
    <x v="274"/>
    <x v="344"/>
    <x v="66"/>
    <x v="150"/>
    <x v="137"/>
  </r>
  <r>
    <x v="814"/>
    <x v="15"/>
    <x v="0"/>
    <x v="2"/>
    <x v="4"/>
    <x v="0"/>
    <x v="11"/>
    <x v="3"/>
    <x v="0"/>
    <x v="645"/>
    <x v="642"/>
    <x v="0"/>
    <x v="50"/>
    <x v="189"/>
    <x v="0"/>
    <x v="0"/>
    <x v="4"/>
    <x v="54"/>
    <x v="0"/>
    <x v="4"/>
    <x v="1"/>
    <x v="347"/>
    <x v="274"/>
    <x v="7"/>
    <x v="11"/>
    <x v="92"/>
  </r>
  <r>
    <x v="815"/>
    <x v="39"/>
    <x v="1"/>
    <x v="2"/>
    <x v="1"/>
    <x v="0"/>
    <x v="18"/>
    <x v="0"/>
    <x v="2"/>
    <x v="646"/>
    <x v="661"/>
    <x v="3"/>
    <x v="34"/>
    <x v="166"/>
    <x v="3"/>
    <x v="2"/>
    <x v="1"/>
    <x v="134"/>
    <x v="1"/>
    <x v="4"/>
    <x v="1"/>
    <x v="160"/>
    <x v="213"/>
    <x v="22"/>
    <x v="170"/>
    <x v="129"/>
  </r>
  <r>
    <x v="816"/>
    <x v="64"/>
    <x v="2"/>
    <x v="0"/>
    <x v="4"/>
    <x v="4"/>
    <x v="13"/>
    <x v="3"/>
    <x v="0"/>
    <x v="647"/>
    <x v="542"/>
    <x v="2"/>
    <x v="78"/>
    <x v="47"/>
    <x v="2"/>
    <x v="1"/>
    <x v="3"/>
    <x v="149"/>
    <x v="1"/>
    <x v="1"/>
    <x v="1"/>
    <x v="326"/>
    <x v="45"/>
    <x v="73"/>
    <x v="171"/>
    <x v="90"/>
  </r>
  <r>
    <x v="817"/>
    <x v="59"/>
    <x v="1"/>
    <x v="0"/>
    <x v="4"/>
    <x v="1"/>
    <x v="16"/>
    <x v="0"/>
    <x v="1"/>
    <x v="473"/>
    <x v="662"/>
    <x v="2"/>
    <x v="4"/>
    <x v="153"/>
    <x v="2"/>
    <x v="1"/>
    <x v="3"/>
    <x v="58"/>
    <x v="1"/>
    <x v="2"/>
    <x v="1"/>
    <x v="147"/>
    <x v="13"/>
    <x v="12"/>
    <x v="8"/>
    <x v="33"/>
  </r>
  <r>
    <x v="818"/>
    <x v="62"/>
    <x v="0"/>
    <x v="1"/>
    <x v="0"/>
    <x v="3"/>
    <x v="5"/>
    <x v="3"/>
    <x v="0"/>
    <x v="246"/>
    <x v="624"/>
    <x v="1"/>
    <x v="41"/>
    <x v="195"/>
    <x v="1"/>
    <x v="1"/>
    <x v="2"/>
    <x v="121"/>
    <x v="1"/>
    <x v="3"/>
    <x v="0"/>
    <x v="329"/>
    <x v="21"/>
    <x v="69"/>
    <x v="159"/>
    <x v="24"/>
  </r>
  <r>
    <x v="819"/>
    <x v="60"/>
    <x v="2"/>
    <x v="1"/>
    <x v="0"/>
    <x v="0"/>
    <x v="4"/>
    <x v="1"/>
    <x v="0"/>
    <x v="513"/>
    <x v="663"/>
    <x v="0"/>
    <x v="76"/>
    <x v="155"/>
    <x v="0"/>
    <x v="2"/>
    <x v="0"/>
    <x v="5"/>
    <x v="1"/>
    <x v="4"/>
    <x v="1"/>
    <x v="268"/>
    <x v="345"/>
    <x v="8"/>
    <x v="126"/>
    <x v="91"/>
  </r>
  <r>
    <x v="820"/>
    <x v="67"/>
    <x v="2"/>
    <x v="3"/>
    <x v="3"/>
    <x v="3"/>
    <x v="2"/>
    <x v="2"/>
    <x v="1"/>
    <x v="22"/>
    <x v="664"/>
    <x v="2"/>
    <x v="12"/>
    <x v="70"/>
    <x v="2"/>
    <x v="0"/>
    <x v="4"/>
    <x v="14"/>
    <x v="0"/>
    <x v="2"/>
    <x v="0"/>
    <x v="212"/>
    <x v="14"/>
    <x v="52"/>
    <x v="93"/>
    <x v="136"/>
  </r>
  <r>
    <x v="821"/>
    <x v="6"/>
    <x v="0"/>
    <x v="2"/>
    <x v="3"/>
    <x v="3"/>
    <x v="0"/>
    <x v="1"/>
    <x v="0"/>
    <x v="648"/>
    <x v="665"/>
    <x v="3"/>
    <x v="23"/>
    <x v="182"/>
    <x v="3"/>
    <x v="2"/>
    <x v="1"/>
    <x v="117"/>
    <x v="1"/>
    <x v="3"/>
    <x v="0"/>
    <x v="274"/>
    <x v="148"/>
    <x v="17"/>
    <x v="134"/>
    <x v="21"/>
  </r>
  <r>
    <x v="822"/>
    <x v="9"/>
    <x v="0"/>
    <x v="1"/>
    <x v="0"/>
    <x v="4"/>
    <x v="1"/>
    <x v="0"/>
    <x v="2"/>
    <x v="649"/>
    <x v="666"/>
    <x v="2"/>
    <x v="40"/>
    <x v="124"/>
    <x v="2"/>
    <x v="2"/>
    <x v="4"/>
    <x v="136"/>
    <x v="1"/>
    <x v="4"/>
    <x v="0"/>
    <x v="242"/>
    <x v="183"/>
    <x v="16"/>
    <x v="140"/>
    <x v="102"/>
  </r>
  <r>
    <x v="823"/>
    <x v="49"/>
    <x v="2"/>
    <x v="0"/>
    <x v="2"/>
    <x v="5"/>
    <x v="0"/>
    <x v="3"/>
    <x v="2"/>
    <x v="650"/>
    <x v="667"/>
    <x v="2"/>
    <x v="47"/>
    <x v="168"/>
    <x v="2"/>
    <x v="0"/>
    <x v="3"/>
    <x v="58"/>
    <x v="0"/>
    <x v="0"/>
    <x v="1"/>
    <x v="217"/>
    <x v="310"/>
    <x v="37"/>
    <x v="99"/>
    <x v="137"/>
  </r>
  <r>
    <x v="824"/>
    <x v="64"/>
    <x v="1"/>
    <x v="2"/>
    <x v="3"/>
    <x v="4"/>
    <x v="15"/>
    <x v="3"/>
    <x v="2"/>
    <x v="28"/>
    <x v="402"/>
    <x v="2"/>
    <x v="65"/>
    <x v="150"/>
    <x v="2"/>
    <x v="1"/>
    <x v="2"/>
    <x v="147"/>
    <x v="1"/>
    <x v="0"/>
    <x v="0"/>
    <x v="348"/>
    <x v="196"/>
    <x v="43"/>
    <x v="112"/>
    <x v="46"/>
  </r>
  <r>
    <x v="825"/>
    <x v="46"/>
    <x v="2"/>
    <x v="3"/>
    <x v="1"/>
    <x v="1"/>
    <x v="10"/>
    <x v="3"/>
    <x v="3"/>
    <x v="446"/>
    <x v="668"/>
    <x v="2"/>
    <x v="46"/>
    <x v="95"/>
    <x v="2"/>
    <x v="1"/>
    <x v="3"/>
    <x v="61"/>
    <x v="1"/>
    <x v="1"/>
    <x v="0"/>
    <x v="349"/>
    <x v="346"/>
    <x v="69"/>
    <x v="30"/>
    <x v="142"/>
  </r>
  <r>
    <x v="826"/>
    <x v="39"/>
    <x v="1"/>
    <x v="4"/>
    <x v="3"/>
    <x v="5"/>
    <x v="16"/>
    <x v="2"/>
    <x v="0"/>
    <x v="650"/>
    <x v="669"/>
    <x v="3"/>
    <x v="4"/>
    <x v="97"/>
    <x v="3"/>
    <x v="1"/>
    <x v="2"/>
    <x v="70"/>
    <x v="1"/>
    <x v="3"/>
    <x v="0"/>
    <x v="237"/>
    <x v="49"/>
    <x v="33"/>
    <x v="60"/>
    <x v="121"/>
  </r>
  <r>
    <x v="827"/>
    <x v="52"/>
    <x v="1"/>
    <x v="2"/>
    <x v="0"/>
    <x v="0"/>
    <x v="18"/>
    <x v="0"/>
    <x v="3"/>
    <x v="559"/>
    <x v="670"/>
    <x v="0"/>
    <x v="12"/>
    <x v="86"/>
    <x v="0"/>
    <x v="1"/>
    <x v="1"/>
    <x v="0"/>
    <x v="1"/>
    <x v="4"/>
    <x v="1"/>
    <x v="164"/>
    <x v="330"/>
    <x v="9"/>
    <x v="100"/>
    <x v="127"/>
  </r>
  <r>
    <x v="828"/>
    <x v="56"/>
    <x v="1"/>
    <x v="2"/>
    <x v="0"/>
    <x v="0"/>
    <x v="17"/>
    <x v="2"/>
    <x v="0"/>
    <x v="651"/>
    <x v="671"/>
    <x v="3"/>
    <x v="24"/>
    <x v="41"/>
    <x v="3"/>
    <x v="1"/>
    <x v="4"/>
    <x v="149"/>
    <x v="1"/>
    <x v="0"/>
    <x v="1"/>
    <x v="7"/>
    <x v="49"/>
    <x v="77"/>
    <x v="38"/>
    <x v="78"/>
  </r>
  <r>
    <x v="829"/>
    <x v="8"/>
    <x v="0"/>
    <x v="4"/>
    <x v="4"/>
    <x v="2"/>
    <x v="5"/>
    <x v="0"/>
    <x v="0"/>
    <x v="652"/>
    <x v="672"/>
    <x v="2"/>
    <x v="4"/>
    <x v="50"/>
    <x v="2"/>
    <x v="0"/>
    <x v="0"/>
    <x v="15"/>
    <x v="0"/>
    <x v="2"/>
    <x v="1"/>
    <x v="226"/>
    <x v="251"/>
    <x v="40"/>
    <x v="73"/>
    <x v="67"/>
  </r>
  <r>
    <x v="830"/>
    <x v="0"/>
    <x v="2"/>
    <x v="3"/>
    <x v="3"/>
    <x v="3"/>
    <x v="2"/>
    <x v="0"/>
    <x v="3"/>
    <x v="653"/>
    <x v="673"/>
    <x v="2"/>
    <x v="6"/>
    <x v="37"/>
    <x v="2"/>
    <x v="1"/>
    <x v="4"/>
    <x v="73"/>
    <x v="1"/>
    <x v="0"/>
    <x v="0"/>
    <x v="350"/>
    <x v="163"/>
    <x v="72"/>
    <x v="95"/>
    <x v="65"/>
  </r>
  <r>
    <x v="831"/>
    <x v="2"/>
    <x v="1"/>
    <x v="2"/>
    <x v="3"/>
    <x v="0"/>
    <x v="15"/>
    <x v="1"/>
    <x v="0"/>
    <x v="30"/>
    <x v="674"/>
    <x v="2"/>
    <x v="6"/>
    <x v="80"/>
    <x v="2"/>
    <x v="0"/>
    <x v="1"/>
    <x v="50"/>
    <x v="0"/>
    <x v="0"/>
    <x v="0"/>
    <x v="145"/>
    <x v="116"/>
    <x v="34"/>
    <x v="32"/>
    <x v="118"/>
  </r>
  <r>
    <x v="832"/>
    <x v="0"/>
    <x v="2"/>
    <x v="0"/>
    <x v="2"/>
    <x v="1"/>
    <x v="18"/>
    <x v="1"/>
    <x v="1"/>
    <x v="654"/>
    <x v="469"/>
    <x v="0"/>
    <x v="75"/>
    <x v="75"/>
    <x v="0"/>
    <x v="0"/>
    <x v="1"/>
    <x v="130"/>
    <x v="0"/>
    <x v="4"/>
    <x v="1"/>
    <x v="260"/>
    <x v="8"/>
    <x v="83"/>
    <x v="72"/>
    <x v="79"/>
  </r>
  <r>
    <x v="833"/>
    <x v="59"/>
    <x v="0"/>
    <x v="4"/>
    <x v="1"/>
    <x v="0"/>
    <x v="11"/>
    <x v="0"/>
    <x v="2"/>
    <x v="655"/>
    <x v="675"/>
    <x v="1"/>
    <x v="24"/>
    <x v="34"/>
    <x v="1"/>
    <x v="0"/>
    <x v="1"/>
    <x v="32"/>
    <x v="0"/>
    <x v="4"/>
    <x v="1"/>
    <x v="162"/>
    <x v="227"/>
    <x v="48"/>
    <x v="8"/>
    <x v="90"/>
  </r>
  <r>
    <x v="834"/>
    <x v="33"/>
    <x v="0"/>
    <x v="4"/>
    <x v="3"/>
    <x v="0"/>
    <x v="9"/>
    <x v="1"/>
    <x v="3"/>
    <x v="398"/>
    <x v="676"/>
    <x v="1"/>
    <x v="29"/>
    <x v="53"/>
    <x v="1"/>
    <x v="2"/>
    <x v="2"/>
    <x v="127"/>
    <x v="1"/>
    <x v="3"/>
    <x v="1"/>
    <x v="351"/>
    <x v="258"/>
    <x v="39"/>
    <x v="140"/>
    <x v="152"/>
  </r>
  <r>
    <x v="835"/>
    <x v="45"/>
    <x v="0"/>
    <x v="3"/>
    <x v="4"/>
    <x v="0"/>
    <x v="5"/>
    <x v="2"/>
    <x v="0"/>
    <x v="644"/>
    <x v="677"/>
    <x v="2"/>
    <x v="61"/>
    <x v="166"/>
    <x v="2"/>
    <x v="0"/>
    <x v="3"/>
    <x v="89"/>
    <x v="0"/>
    <x v="1"/>
    <x v="1"/>
    <x v="108"/>
    <x v="242"/>
    <x v="4"/>
    <x v="96"/>
    <x v="55"/>
  </r>
  <r>
    <x v="836"/>
    <x v="14"/>
    <x v="1"/>
    <x v="2"/>
    <x v="1"/>
    <x v="0"/>
    <x v="4"/>
    <x v="1"/>
    <x v="1"/>
    <x v="656"/>
    <x v="169"/>
    <x v="1"/>
    <x v="35"/>
    <x v="118"/>
    <x v="1"/>
    <x v="0"/>
    <x v="2"/>
    <x v="109"/>
    <x v="0"/>
    <x v="2"/>
    <x v="0"/>
    <x v="124"/>
    <x v="335"/>
    <x v="50"/>
    <x v="99"/>
    <x v="169"/>
  </r>
  <r>
    <x v="837"/>
    <x v="26"/>
    <x v="2"/>
    <x v="0"/>
    <x v="0"/>
    <x v="0"/>
    <x v="8"/>
    <x v="0"/>
    <x v="3"/>
    <x v="657"/>
    <x v="471"/>
    <x v="2"/>
    <x v="24"/>
    <x v="21"/>
    <x v="2"/>
    <x v="1"/>
    <x v="3"/>
    <x v="92"/>
    <x v="1"/>
    <x v="3"/>
    <x v="1"/>
    <x v="287"/>
    <x v="43"/>
    <x v="82"/>
    <x v="145"/>
    <x v="99"/>
  </r>
  <r>
    <x v="838"/>
    <x v="19"/>
    <x v="2"/>
    <x v="1"/>
    <x v="4"/>
    <x v="0"/>
    <x v="11"/>
    <x v="3"/>
    <x v="1"/>
    <x v="623"/>
    <x v="678"/>
    <x v="0"/>
    <x v="58"/>
    <x v="62"/>
    <x v="0"/>
    <x v="2"/>
    <x v="1"/>
    <x v="11"/>
    <x v="1"/>
    <x v="2"/>
    <x v="1"/>
    <x v="24"/>
    <x v="298"/>
    <x v="42"/>
    <x v="9"/>
    <x v="123"/>
  </r>
  <r>
    <x v="839"/>
    <x v="34"/>
    <x v="2"/>
    <x v="4"/>
    <x v="1"/>
    <x v="0"/>
    <x v="18"/>
    <x v="0"/>
    <x v="3"/>
    <x v="658"/>
    <x v="273"/>
    <x v="0"/>
    <x v="72"/>
    <x v="151"/>
    <x v="0"/>
    <x v="1"/>
    <x v="3"/>
    <x v="94"/>
    <x v="1"/>
    <x v="0"/>
    <x v="1"/>
    <x v="175"/>
    <x v="230"/>
    <x v="21"/>
    <x v="150"/>
    <x v="131"/>
  </r>
  <r>
    <x v="840"/>
    <x v="37"/>
    <x v="0"/>
    <x v="3"/>
    <x v="1"/>
    <x v="0"/>
    <x v="0"/>
    <x v="0"/>
    <x v="2"/>
    <x v="659"/>
    <x v="18"/>
    <x v="0"/>
    <x v="68"/>
    <x v="32"/>
    <x v="0"/>
    <x v="2"/>
    <x v="1"/>
    <x v="87"/>
    <x v="1"/>
    <x v="0"/>
    <x v="0"/>
    <x v="352"/>
    <x v="146"/>
    <x v="9"/>
    <x v="160"/>
    <x v="69"/>
  </r>
  <r>
    <x v="841"/>
    <x v="26"/>
    <x v="1"/>
    <x v="0"/>
    <x v="4"/>
    <x v="5"/>
    <x v="4"/>
    <x v="1"/>
    <x v="0"/>
    <x v="575"/>
    <x v="679"/>
    <x v="0"/>
    <x v="73"/>
    <x v="8"/>
    <x v="0"/>
    <x v="0"/>
    <x v="3"/>
    <x v="140"/>
    <x v="0"/>
    <x v="1"/>
    <x v="1"/>
    <x v="167"/>
    <x v="193"/>
    <x v="81"/>
    <x v="138"/>
    <x v="129"/>
  </r>
  <r>
    <x v="842"/>
    <x v="26"/>
    <x v="0"/>
    <x v="1"/>
    <x v="4"/>
    <x v="2"/>
    <x v="19"/>
    <x v="0"/>
    <x v="0"/>
    <x v="660"/>
    <x v="127"/>
    <x v="3"/>
    <x v="3"/>
    <x v="76"/>
    <x v="3"/>
    <x v="2"/>
    <x v="0"/>
    <x v="39"/>
    <x v="1"/>
    <x v="0"/>
    <x v="1"/>
    <x v="62"/>
    <x v="323"/>
    <x v="40"/>
    <x v="100"/>
    <x v="142"/>
  </r>
  <r>
    <x v="843"/>
    <x v="13"/>
    <x v="0"/>
    <x v="4"/>
    <x v="3"/>
    <x v="0"/>
    <x v="8"/>
    <x v="1"/>
    <x v="2"/>
    <x v="661"/>
    <x v="680"/>
    <x v="1"/>
    <x v="6"/>
    <x v="140"/>
    <x v="1"/>
    <x v="1"/>
    <x v="3"/>
    <x v="132"/>
    <x v="1"/>
    <x v="3"/>
    <x v="1"/>
    <x v="353"/>
    <x v="40"/>
    <x v="6"/>
    <x v="161"/>
    <x v="48"/>
  </r>
  <r>
    <x v="844"/>
    <x v="56"/>
    <x v="0"/>
    <x v="0"/>
    <x v="1"/>
    <x v="3"/>
    <x v="13"/>
    <x v="2"/>
    <x v="2"/>
    <x v="351"/>
    <x v="681"/>
    <x v="1"/>
    <x v="6"/>
    <x v="105"/>
    <x v="1"/>
    <x v="0"/>
    <x v="2"/>
    <x v="87"/>
    <x v="0"/>
    <x v="1"/>
    <x v="0"/>
    <x v="184"/>
    <x v="267"/>
    <x v="81"/>
    <x v="86"/>
    <x v="116"/>
  </r>
  <r>
    <x v="845"/>
    <x v="32"/>
    <x v="2"/>
    <x v="2"/>
    <x v="3"/>
    <x v="5"/>
    <x v="17"/>
    <x v="3"/>
    <x v="2"/>
    <x v="662"/>
    <x v="551"/>
    <x v="3"/>
    <x v="60"/>
    <x v="192"/>
    <x v="3"/>
    <x v="1"/>
    <x v="0"/>
    <x v="41"/>
    <x v="1"/>
    <x v="3"/>
    <x v="1"/>
    <x v="354"/>
    <x v="63"/>
    <x v="59"/>
    <x v="29"/>
    <x v="67"/>
  </r>
  <r>
    <x v="846"/>
    <x v="18"/>
    <x v="0"/>
    <x v="2"/>
    <x v="2"/>
    <x v="0"/>
    <x v="3"/>
    <x v="2"/>
    <x v="1"/>
    <x v="504"/>
    <x v="682"/>
    <x v="0"/>
    <x v="3"/>
    <x v="60"/>
    <x v="0"/>
    <x v="1"/>
    <x v="4"/>
    <x v="79"/>
    <x v="1"/>
    <x v="3"/>
    <x v="0"/>
    <x v="237"/>
    <x v="172"/>
    <x v="39"/>
    <x v="91"/>
    <x v="24"/>
  </r>
  <r>
    <x v="847"/>
    <x v="4"/>
    <x v="2"/>
    <x v="3"/>
    <x v="1"/>
    <x v="4"/>
    <x v="14"/>
    <x v="2"/>
    <x v="3"/>
    <x v="663"/>
    <x v="120"/>
    <x v="1"/>
    <x v="62"/>
    <x v="150"/>
    <x v="1"/>
    <x v="1"/>
    <x v="4"/>
    <x v="102"/>
    <x v="1"/>
    <x v="4"/>
    <x v="0"/>
    <x v="237"/>
    <x v="224"/>
    <x v="42"/>
    <x v="93"/>
    <x v="38"/>
  </r>
  <r>
    <x v="848"/>
    <x v="34"/>
    <x v="2"/>
    <x v="1"/>
    <x v="4"/>
    <x v="2"/>
    <x v="4"/>
    <x v="2"/>
    <x v="1"/>
    <x v="664"/>
    <x v="683"/>
    <x v="3"/>
    <x v="24"/>
    <x v="38"/>
    <x v="3"/>
    <x v="0"/>
    <x v="3"/>
    <x v="120"/>
    <x v="0"/>
    <x v="0"/>
    <x v="0"/>
    <x v="311"/>
    <x v="241"/>
    <x v="11"/>
    <x v="117"/>
    <x v="101"/>
  </r>
  <r>
    <x v="849"/>
    <x v="34"/>
    <x v="0"/>
    <x v="3"/>
    <x v="3"/>
    <x v="4"/>
    <x v="7"/>
    <x v="2"/>
    <x v="3"/>
    <x v="665"/>
    <x v="684"/>
    <x v="1"/>
    <x v="59"/>
    <x v="190"/>
    <x v="1"/>
    <x v="1"/>
    <x v="4"/>
    <x v="19"/>
    <x v="1"/>
    <x v="0"/>
    <x v="0"/>
    <x v="291"/>
    <x v="347"/>
    <x v="53"/>
    <x v="64"/>
    <x v="43"/>
  </r>
  <r>
    <x v="850"/>
    <x v="33"/>
    <x v="1"/>
    <x v="1"/>
    <x v="1"/>
    <x v="0"/>
    <x v="19"/>
    <x v="3"/>
    <x v="0"/>
    <x v="666"/>
    <x v="476"/>
    <x v="1"/>
    <x v="24"/>
    <x v="75"/>
    <x v="1"/>
    <x v="0"/>
    <x v="1"/>
    <x v="112"/>
    <x v="0"/>
    <x v="1"/>
    <x v="0"/>
    <x v="242"/>
    <x v="143"/>
    <x v="23"/>
    <x v="89"/>
    <x v="137"/>
  </r>
  <r>
    <x v="851"/>
    <x v="62"/>
    <x v="1"/>
    <x v="3"/>
    <x v="0"/>
    <x v="4"/>
    <x v="4"/>
    <x v="2"/>
    <x v="1"/>
    <x v="667"/>
    <x v="685"/>
    <x v="2"/>
    <x v="3"/>
    <x v="90"/>
    <x v="2"/>
    <x v="1"/>
    <x v="1"/>
    <x v="72"/>
    <x v="1"/>
    <x v="2"/>
    <x v="0"/>
    <x v="298"/>
    <x v="202"/>
    <x v="73"/>
    <x v="50"/>
    <x v="84"/>
  </r>
  <r>
    <x v="852"/>
    <x v="50"/>
    <x v="0"/>
    <x v="3"/>
    <x v="3"/>
    <x v="5"/>
    <x v="16"/>
    <x v="3"/>
    <x v="3"/>
    <x v="668"/>
    <x v="686"/>
    <x v="3"/>
    <x v="48"/>
    <x v="107"/>
    <x v="3"/>
    <x v="0"/>
    <x v="2"/>
    <x v="82"/>
    <x v="0"/>
    <x v="1"/>
    <x v="1"/>
    <x v="163"/>
    <x v="32"/>
    <x v="65"/>
    <x v="81"/>
    <x v="89"/>
  </r>
  <r>
    <x v="853"/>
    <x v="32"/>
    <x v="0"/>
    <x v="0"/>
    <x v="0"/>
    <x v="2"/>
    <x v="18"/>
    <x v="1"/>
    <x v="0"/>
    <x v="669"/>
    <x v="80"/>
    <x v="2"/>
    <x v="45"/>
    <x v="4"/>
    <x v="2"/>
    <x v="1"/>
    <x v="3"/>
    <x v="137"/>
    <x v="1"/>
    <x v="2"/>
    <x v="1"/>
    <x v="355"/>
    <x v="229"/>
    <x v="75"/>
    <x v="147"/>
    <x v="11"/>
  </r>
  <r>
    <x v="854"/>
    <x v="4"/>
    <x v="1"/>
    <x v="4"/>
    <x v="1"/>
    <x v="0"/>
    <x v="11"/>
    <x v="2"/>
    <x v="0"/>
    <x v="670"/>
    <x v="687"/>
    <x v="2"/>
    <x v="4"/>
    <x v="34"/>
    <x v="2"/>
    <x v="0"/>
    <x v="4"/>
    <x v="148"/>
    <x v="0"/>
    <x v="4"/>
    <x v="1"/>
    <x v="158"/>
    <x v="203"/>
    <x v="8"/>
    <x v="115"/>
    <x v="52"/>
  </r>
  <r>
    <x v="855"/>
    <x v="53"/>
    <x v="0"/>
    <x v="1"/>
    <x v="0"/>
    <x v="0"/>
    <x v="9"/>
    <x v="3"/>
    <x v="1"/>
    <x v="671"/>
    <x v="688"/>
    <x v="1"/>
    <x v="37"/>
    <x v="156"/>
    <x v="1"/>
    <x v="2"/>
    <x v="0"/>
    <x v="56"/>
    <x v="1"/>
    <x v="0"/>
    <x v="0"/>
    <x v="190"/>
    <x v="315"/>
    <x v="0"/>
    <x v="31"/>
    <x v="101"/>
  </r>
  <r>
    <x v="856"/>
    <x v="1"/>
    <x v="0"/>
    <x v="4"/>
    <x v="2"/>
    <x v="0"/>
    <x v="8"/>
    <x v="0"/>
    <x v="1"/>
    <x v="572"/>
    <x v="689"/>
    <x v="1"/>
    <x v="0"/>
    <x v="66"/>
    <x v="1"/>
    <x v="0"/>
    <x v="3"/>
    <x v="14"/>
    <x v="0"/>
    <x v="4"/>
    <x v="1"/>
    <x v="65"/>
    <x v="348"/>
    <x v="10"/>
    <x v="162"/>
    <x v="69"/>
  </r>
  <r>
    <x v="857"/>
    <x v="8"/>
    <x v="0"/>
    <x v="0"/>
    <x v="2"/>
    <x v="1"/>
    <x v="11"/>
    <x v="0"/>
    <x v="0"/>
    <x v="672"/>
    <x v="626"/>
    <x v="2"/>
    <x v="56"/>
    <x v="130"/>
    <x v="2"/>
    <x v="1"/>
    <x v="4"/>
    <x v="50"/>
    <x v="1"/>
    <x v="1"/>
    <x v="1"/>
    <x v="341"/>
    <x v="248"/>
    <x v="49"/>
    <x v="15"/>
    <x v="108"/>
  </r>
  <r>
    <x v="858"/>
    <x v="12"/>
    <x v="1"/>
    <x v="1"/>
    <x v="0"/>
    <x v="5"/>
    <x v="1"/>
    <x v="2"/>
    <x v="3"/>
    <x v="673"/>
    <x v="690"/>
    <x v="2"/>
    <x v="47"/>
    <x v="77"/>
    <x v="2"/>
    <x v="1"/>
    <x v="2"/>
    <x v="16"/>
    <x v="1"/>
    <x v="2"/>
    <x v="0"/>
    <x v="356"/>
    <x v="349"/>
    <x v="56"/>
    <x v="99"/>
    <x v="135"/>
  </r>
  <r>
    <x v="859"/>
    <x v="1"/>
    <x v="0"/>
    <x v="3"/>
    <x v="0"/>
    <x v="2"/>
    <x v="4"/>
    <x v="3"/>
    <x v="0"/>
    <x v="97"/>
    <x v="691"/>
    <x v="1"/>
    <x v="4"/>
    <x v="60"/>
    <x v="1"/>
    <x v="0"/>
    <x v="1"/>
    <x v="10"/>
    <x v="0"/>
    <x v="2"/>
    <x v="0"/>
    <x v="353"/>
    <x v="299"/>
    <x v="73"/>
    <x v="41"/>
    <x v="13"/>
  </r>
  <r>
    <x v="860"/>
    <x v="17"/>
    <x v="0"/>
    <x v="3"/>
    <x v="4"/>
    <x v="0"/>
    <x v="18"/>
    <x v="1"/>
    <x v="3"/>
    <x v="674"/>
    <x v="692"/>
    <x v="1"/>
    <x v="35"/>
    <x v="174"/>
    <x v="1"/>
    <x v="1"/>
    <x v="4"/>
    <x v="150"/>
    <x v="1"/>
    <x v="3"/>
    <x v="1"/>
    <x v="357"/>
    <x v="237"/>
    <x v="52"/>
    <x v="32"/>
    <x v="42"/>
  </r>
  <r>
    <x v="861"/>
    <x v="64"/>
    <x v="0"/>
    <x v="3"/>
    <x v="1"/>
    <x v="5"/>
    <x v="13"/>
    <x v="1"/>
    <x v="0"/>
    <x v="675"/>
    <x v="693"/>
    <x v="3"/>
    <x v="6"/>
    <x v="164"/>
    <x v="3"/>
    <x v="2"/>
    <x v="0"/>
    <x v="74"/>
    <x v="1"/>
    <x v="2"/>
    <x v="1"/>
    <x v="358"/>
    <x v="261"/>
    <x v="78"/>
    <x v="36"/>
    <x v="137"/>
  </r>
  <r>
    <x v="862"/>
    <x v="48"/>
    <x v="0"/>
    <x v="4"/>
    <x v="2"/>
    <x v="0"/>
    <x v="15"/>
    <x v="2"/>
    <x v="0"/>
    <x v="676"/>
    <x v="694"/>
    <x v="0"/>
    <x v="24"/>
    <x v="185"/>
    <x v="0"/>
    <x v="0"/>
    <x v="1"/>
    <x v="116"/>
    <x v="0"/>
    <x v="2"/>
    <x v="1"/>
    <x v="20"/>
    <x v="73"/>
    <x v="82"/>
    <x v="89"/>
    <x v="6"/>
  </r>
  <r>
    <x v="863"/>
    <x v="1"/>
    <x v="2"/>
    <x v="4"/>
    <x v="1"/>
    <x v="0"/>
    <x v="19"/>
    <x v="3"/>
    <x v="2"/>
    <x v="677"/>
    <x v="695"/>
    <x v="2"/>
    <x v="36"/>
    <x v="42"/>
    <x v="2"/>
    <x v="0"/>
    <x v="3"/>
    <x v="48"/>
    <x v="0"/>
    <x v="3"/>
    <x v="0"/>
    <x v="326"/>
    <x v="1"/>
    <x v="1"/>
    <x v="144"/>
    <x v="153"/>
  </r>
  <r>
    <x v="864"/>
    <x v="25"/>
    <x v="0"/>
    <x v="3"/>
    <x v="0"/>
    <x v="2"/>
    <x v="0"/>
    <x v="1"/>
    <x v="1"/>
    <x v="588"/>
    <x v="696"/>
    <x v="1"/>
    <x v="62"/>
    <x v="57"/>
    <x v="1"/>
    <x v="1"/>
    <x v="0"/>
    <x v="134"/>
    <x v="1"/>
    <x v="3"/>
    <x v="1"/>
    <x v="198"/>
    <x v="297"/>
    <x v="89"/>
    <x v="64"/>
    <x v="117"/>
  </r>
  <r>
    <x v="865"/>
    <x v="22"/>
    <x v="2"/>
    <x v="0"/>
    <x v="1"/>
    <x v="0"/>
    <x v="7"/>
    <x v="2"/>
    <x v="0"/>
    <x v="460"/>
    <x v="479"/>
    <x v="0"/>
    <x v="24"/>
    <x v="143"/>
    <x v="0"/>
    <x v="0"/>
    <x v="1"/>
    <x v="80"/>
    <x v="0"/>
    <x v="2"/>
    <x v="1"/>
    <x v="244"/>
    <x v="155"/>
    <x v="28"/>
    <x v="159"/>
    <x v="148"/>
  </r>
  <r>
    <x v="866"/>
    <x v="21"/>
    <x v="2"/>
    <x v="4"/>
    <x v="0"/>
    <x v="0"/>
    <x v="8"/>
    <x v="1"/>
    <x v="2"/>
    <x v="678"/>
    <x v="697"/>
    <x v="1"/>
    <x v="8"/>
    <x v="2"/>
    <x v="1"/>
    <x v="1"/>
    <x v="1"/>
    <x v="1"/>
    <x v="1"/>
    <x v="0"/>
    <x v="0"/>
    <x v="122"/>
    <x v="260"/>
    <x v="45"/>
    <x v="37"/>
    <x v="117"/>
  </r>
  <r>
    <x v="867"/>
    <x v="53"/>
    <x v="2"/>
    <x v="3"/>
    <x v="1"/>
    <x v="0"/>
    <x v="5"/>
    <x v="2"/>
    <x v="1"/>
    <x v="125"/>
    <x v="133"/>
    <x v="1"/>
    <x v="36"/>
    <x v="37"/>
    <x v="1"/>
    <x v="1"/>
    <x v="0"/>
    <x v="112"/>
    <x v="1"/>
    <x v="2"/>
    <x v="1"/>
    <x v="29"/>
    <x v="3"/>
    <x v="68"/>
    <x v="25"/>
    <x v="165"/>
  </r>
  <r>
    <x v="868"/>
    <x v="0"/>
    <x v="1"/>
    <x v="3"/>
    <x v="4"/>
    <x v="0"/>
    <x v="14"/>
    <x v="3"/>
    <x v="1"/>
    <x v="630"/>
    <x v="698"/>
    <x v="0"/>
    <x v="3"/>
    <x v="195"/>
    <x v="0"/>
    <x v="0"/>
    <x v="0"/>
    <x v="118"/>
    <x v="0"/>
    <x v="3"/>
    <x v="0"/>
    <x v="8"/>
    <x v="349"/>
    <x v="74"/>
    <x v="129"/>
    <x v="120"/>
  </r>
  <r>
    <x v="869"/>
    <x v="19"/>
    <x v="0"/>
    <x v="4"/>
    <x v="3"/>
    <x v="3"/>
    <x v="2"/>
    <x v="2"/>
    <x v="1"/>
    <x v="17"/>
    <x v="399"/>
    <x v="0"/>
    <x v="79"/>
    <x v="22"/>
    <x v="0"/>
    <x v="0"/>
    <x v="4"/>
    <x v="67"/>
    <x v="0"/>
    <x v="4"/>
    <x v="0"/>
    <x v="287"/>
    <x v="283"/>
    <x v="43"/>
    <x v="67"/>
    <x v="20"/>
  </r>
  <r>
    <x v="870"/>
    <x v="42"/>
    <x v="0"/>
    <x v="4"/>
    <x v="1"/>
    <x v="4"/>
    <x v="17"/>
    <x v="1"/>
    <x v="1"/>
    <x v="177"/>
    <x v="444"/>
    <x v="2"/>
    <x v="67"/>
    <x v="34"/>
    <x v="2"/>
    <x v="2"/>
    <x v="1"/>
    <x v="61"/>
    <x v="1"/>
    <x v="4"/>
    <x v="1"/>
    <x v="34"/>
    <x v="338"/>
    <x v="73"/>
    <x v="18"/>
    <x v="55"/>
  </r>
  <r>
    <x v="871"/>
    <x v="33"/>
    <x v="1"/>
    <x v="4"/>
    <x v="0"/>
    <x v="0"/>
    <x v="0"/>
    <x v="2"/>
    <x v="3"/>
    <x v="679"/>
    <x v="699"/>
    <x v="0"/>
    <x v="24"/>
    <x v="9"/>
    <x v="0"/>
    <x v="0"/>
    <x v="2"/>
    <x v="4"/>
    <x v="0"/>
    <x v="4"/>
    <x v="1"/>
    <x v="174"/>
    <x v="350"/>
    <x v="2"/>
    <x v="74"/>
    <x v="82"/>
  </r>
  <r>
    <x v="872"/>
    <x v="19"/>
    <x v="1"/>
    <x v="2"/>
    <x v="1"/>
    <x v="2"/>
    <x v="2"/>
    <x v="0"/>
    <x v="1"/>
    <x v="680"/>
    <x v="700"/>
    <x v="3"/>
    <x v="4"/>
    <x v="163"/>
    <x v="3"/>
    <x v="1"/>
    <x v="3"/>
    <x v="63"/>
    <x v="1"/>
    <x v="4"/>
    <x v="1"/>
    <x v="121"/>
    <x v="158"/>
    <x v="32"/>
    <x v="46"/>
    <x v="156"/>
  </r>
  <r>
    <x v="873"/>
    <x v="7"/>
    <x v="2"/>
    <x v="3"/>
    <x v="2"/>
    <x v="2"/>
    <x v="15"/>
    <x v="3"/>
    <x v="1"/>
    <x v="197"/>
    <x v="701"/>
    <x v="3"/>
    <x v="24"/>
    <x v="155"/>
    <x v="3"/>
    <x v="0"/>
    <x v="0"/>
    <x v="139"/>
    <x v="0"/>
    <x v="3"/>
    <x v="0"/>
    <x v="236"/>
    <x v="309"/>
    <x v="43"/>
    <x v="160"/>
    <x v="127"/>
  </r>
  <r>
    <x v="874"/>
    <x v="1"/>
    <x v="1"/>
    <x v="3"/>
    <x v="2"/>
    <x v="5"/>
    <x v="4"/>
    <x v="3"/>
    <x v="2"/>
    <x v="681"/>
    <x v="702"/>
    <x v="0"/>
    <x v="0"/>
    <x v="22"/>
    <x v="0"/>
    <x v="0"/>
    <x v="1"/>
    <x v="125"/>
    <x v="0"/>
    <x v="4"/>
    <x v="0"/>
    <x v="84"/>
    <x v="135"/>
    <x v="81"/>
    <x v="31"/>
    <x v="135"/>
  </r>
  <r>
    <x v="875"/>
    <x v="60"/>
    <x v="0"/>
    <x v="2"/>
    <x v="4"/>
    <x v="0"/>
    <x v="3"/>
    <x v="1"/>
    <x v="2"/>
    <x v="245"/>
    <x v="687"/>
    <x v="1"/>
    <x v="11"/>
    <x v="27"/>
    <x v="1"/>
    <x v="1"/>
    <x v="2"/>
    <x v="98"/>
    <x v="1"/>
    <x v="1"/>
    <x v="1"/>
    <x v="133"/>
    <x v="337"/>
    <x v="70"/>
    <x v="121"/>
    <x v="42"/>
  </r>
  <r>
    <x v="876"/>
    <x v="0"/>
    <x v="2"/>
    <x v="1"/>
    <x v="3"/>
    <x v="4"/>
    <x v="1"/>
    <x v="3"/>
    <x v="0"/>
    <x v="682"/>
    <x v="703"/>
    <x v="1"/>
    <x v="4"/>
    <x v="196"/>
    <x v="1"/>
    <x v="1"/>
    <x v="3"/>
    <x v="121"/>
    <x v="1"/>
    <x v="4"/>
    <x v="1"/>
    <x v="74"/>
    <x v="275"/>
    <x v="33"/>
    <x v="55"/>
    <x v="50"/>
  </r>
  <r>
    <x v="877"/>
    <x v="36"/>
    <x v="1"/>
    <x v="4"/>
    <x v="1"/>
    <x v="0"/>
    <x v="4"/>
    <x v="0"/>
    <x v="2"/>
    <x v="683"/>
    <x v="704"/>
    <x v="0"/>
    <x v="1"/>
    <x v="117"/>
    <x v="0"/>
    <x v="2"/>
    <x v="2"/>
    <x v="111"/>
    <x v="1"/>
    <x v="0"/>
    <x v="0"/>
    <x v="359"/>
    <x v="121"/>
    <x v="86"/>
    <x v="61"/>
    <x v="17"/>
  </r>
  <r>
    <x v="878"/>
    <x v="38"/>
    <x v="0"/>
    <x v="2"/>
    <x v="1"/>
    <x v="5"/>
    <x v="16"/>
    <x v="1"/>
    <x v="3"/>
    <x v="684"/>
    <x v="35"/>
    <x v="0"/>
    <x v="16"/>
    <x v="33"/>
    <x v="0"/>
    <x v="0"/>
    <x v="3"/>
    <x v="64"/>
    <x v="0"/>
    <x v="1"/>
    <x v="1"/>
    <x v="146"/>
    <x v="267"/>
    <x v="25"/>
    <x v="31"/>
    <x v="149"/>
  </r>
  <r>
    <x v="879"/>
    <x v="12"/>
    <x v="1"/>
    <x v="0"/>
    <x v="0"/>
    <x v="0"/>
    <x v="1"/>
    <x v="3"/>
    <x v="0"/>
    <x v="685"/>
    <x v="705"/>
    <x v="0"/>
    <x v="10"/>
    <x v="56"/>
    <x v="0"/>
    <x v="1"/>
    <x v="4"/>
    <x v="33"/>
    <x v="1"/>
    <x v="3"/>
    <x v="1"/>
    <x v="132"/>
    <x v="15"/>
    <x v="54"/>
    <x v="20"/>
    <x v="143"/>
  </r>
  <r>
    <x v="880"/>
    <x v="2"/>
    <x v="0"/>
    <x v="2"/>
    <x v="3"/>
    <x v="2"/>
    <x v="2"/>
    <x v="3"/>
    <x v="2"/>
    <x v="686"/>
    <x v="340"/>
    <x v="2"/>
    <x v="17"/>
    <x v="53"/>
    <x v="2"/>
    <x v="0"/>
    <x v="3"/>
    <x v="50"/>
    <x v="0"/>
    <x v="4"/>
    <x v="0"/>
    <x v="360"/>
    <x v="223"/>
    <x v="38"/>
    <x v="156"/>
    <x v="48"/>
  </r>
  <r>
    <x v="881"/>
    <x v="43"/>
    <x v="0"/>
    <x v="0"/>
    <x v="1"/>
    <x v="2"/>
    <x v="4"/>
    <x v="3"/>
    <x v="1"/>
    <x v="427"/>
    <x v="201"/>
    <x v="1"/>
    <x v="23"/>
    <x v="136"/>
    <x v="1"/>
    <x v="0"/>
    <x v="0"/>
    <x v="109"/>
    <x v="0"/>
    <x v="0"/>
    <x v="0"/>
    <x v="1"/>
    <x v="228"/>
    <x v="22"/>
    <x v="42"/>
    <x v="117"/>
  </r>
  <r>
    <x v="882"/>
    <x v="48"/>
    <x v="2"/>
    <x v="0"/>
    <x v="0"/>
    <x v="0"/>
    <x v="14"/>
    <x v="0"/>
    <x v="0"/>
    <x v="474"/>
    <x v="315"/>
    <x v="0"/>
    <x v="6"/>
    <x v="0"/>
    <x v="0"/>
    <x v="1"/>
    <x v="4"/>
    <x v="8"/>
    <x v="1"/>
    <x v="4"/>
    <x v="1"/>
    <x v="323"/>
    <x v="82"/>
    <x v="36"/>
    <x v="19"/>
    <x v="35"/>
  </r>
  <r>
    <x v="883"/>
    <x v="67"/>
    <x v="1"/>
    <x v="1"/>
    <x v="4"/>
    <x v="3"/>
    <x v="4"/>
    <x v="2"/>
    <x v="2"/>
    <x v="687"/>
    <x v="261"/>
    <x v="2"/>
    <x v="3"/>
    <x v="175"/>
    <x v="2"/>
    <x v="1"/>
    <x v="4"/>
    <x v="125"/>
    <x v="1"/>
    <x v="2"/>
    <x v="0"/>
    <x v="223"/>
    <x v="322"/>
    <x v="18"/>
    <x v="67"/>
    <x v="147"/>
  </r>
  <r>
    <x v="884"/>
    <x v="42"/>
    <x v="0"/>
    <x v="2"/>
    <x v="0"/>
    <x v="1"/>
    <x v="6"/>
    <x v="3"/>
    <x v="2"/>
    <x v="688"/>
    <x v="706"/>
    <x v="2"/>
    <x v="9"/>
    <x v="195"/>
    <x v="2"/>
    <x v="0"/>
    <x v="3"/>
    <x v="87"/>
    <x v="0"/>
    <x v="1"/>
    <x v="0"/>
    <x v="164"/>
    <x v="157"/>
    <x v="80"/>
    <x v="130"/>
    <x v="2"/>
  </r>
  <r>
    <x v="885"/>
    <x v="33"/>
    <x v="2"/>
    <x v="4"/>
    <x v="4"/>
    <x v="0"/>
    <x v="9"/>
    <x v="3"/>
    <x v="3"/>
    <x v="429"/>
    <x v="707"/>
    <x v="2"/>
    <x v="14"/>
    <x v="101"/>
    <x v="2"/>
    <x v="2"/>
    <x v="1"/>
    <x v="132"/>
    <x v="1"/>
    <x v="3"/>
    <x v="0"/>
    <x v="138"/>
    <x v="351"/>
    <x v="66"/>
    <x v="29"/>
    <x v="130"/>
  </r>
  <r>
    <x v="886"/>
    <x v="37"/>
    <x v="0"/>
    <x v="0"/>
    <x v="2"/>
    <x v="0"/>
    <x v="18"/>
    <x v="3"/>
    <x v="1"/>
    <x v="689"/>
    <x v="646"/>
    <x v="3"/>
    <x v="9"/>
    <x v="76"/>
    <x v="3"/>
    <x v="1"/>
    <x v="3"/>
    <x v="2"/>
    <x v="1"/>
    <x v="3"/>
    <x v="0"/>
    <x v="117"/>
    <x v="121"/>
    <x v="4"/>
    <x v="124"/>
    <x v="77"/>
  </r>
  <r>
    <x v="887"/>
    <x v="65"/>
    <x v="1"/>
    <x v="3"/>
    <x v="2"/>
    <x v="0"/>
    <x v="12"/>
    <x v="3"/>
    <x v="2"/>
    <x v="690"/>
    <x v="708"/>
    <x v="0"/>
    <x v="3"/>
    <x v="135"/>
    <x v="0"/>
    <x v="0"/>
    <x v="2"/>
    <x v="94"/>
    <x v="0"/>
    <x v="3"/>
    <x v="1"/>
    <x v="166"/>
    <x v="1"/>
    <x v="41"/>
    <x v="67"/>
    <x v="127"/>
  </r>
  <r>
    <x v="888"/>
    <x v="32"/>
    <x v="2"/>
    <x v="0"/>
    <x v="1"/>
    <x v="2"/>
    <x v="11"/>
    <x v="3"/>
    <x v="2"/>
    <x v="485"/>
    <x v="709"/>
    <x v="2"/>
    <x v="9"/>
    <x v="74"/>
    <x v="2"/>
    <x v="0"/>
    <x v="1"/>
    <x v="20"/>
    <x v="0"/>
    <x v="0"/>
    <x v="0"/>
    <x v="316"/>
    <x v="182"/>
    <x v="59"/>
    <x v="121"/>
    <x v="133"/>
  </r>
  <r>
    <x v="889"/>
    <x v="0"/>
    <x v="0"/>
    <x v="4"/>
    <x v="2"/>
    <x v="4"/>
    <x v="15"/>
    <x v="3"/>
    <x v="2"/>
    <x v="410"/>
    <x v="687"/>
    <x v="0"/>
    <x v="81"/>
    <x v="125"/>
    <x v="0"/>
    <x v="2"/>
    <x v="0"/>
    <x v="78"/>
    <x v="1"/>
    <x v="3"/>
    <x v="0"/>
    <x v="208"/>
    <x v="307"/>
    <x v="20"/>
    <x v="23"/>
    <x v="138"/>
  </r>
  <r>
    <x v="890"/>
    <x v="48"/>
    <x v="2"/>
    <x v="4"/>
    <x v="0"/>
    <x v="0"/>
    <x v="11"/>
    <x v="1"/>
    <x v="2"/>
    <x v="510"/>
    <x v="555"/>
    <x v="0"/>
    <x v="10"/>
    <x v="85"/>
    <x v="0"/>
    <x v="0"/>
    <x v="3"/>
    <x v="137"/>
    <x v="0"/>
    <x v="0"/>
    <x v="1"/>
    <x v="152"/>
    <x v="39"/>
    <x v="14"/>
    <x v="8"/>
    <x v="54"/>
  </r>
  <r>
    <x v="891"/>
    <x v="33"/>
    <x v="0"/>
    <x v="4"/>
    <x v="0"/>
    <x v="0"/>
    <x v="16"/>
    <x v="1"/>
    <x v="2"/>
    <x v="691"/>
    <x v="710"/>
    <x v="0"/>
    <x v="1"/>
    <x v="109"/>
    <x v="0"/>
    <x v="1"/>
    <x v="1"/>
    <x v="47"/>
    <x v="1"/>
    <x v="0"/>
    <x v="0"/>
    <x v="235"/>
    <x v="298"/>
    <x v="19"/>
    <x v="32"/>
    <x v="18"/>
  </r>
  <r>
    <x v="892"/>
    <x v="18"/>
    <x v="0"/>
    <x v="1"/>
    <x v="1"/>
    <x v="5"/>
    <x v="6"/>
    <x v="0"/>
    <x v="0"/>
    <x v="692"/>
    <x v="80"/>
    <x v="3"/>
    <x v="24"/>
    <x v="167"/>
    <x v="3"/>
    <x v="0"/>
    <x v="4"/>
    <x v="20"/>
    <x v="0"/>
    <x v="1"/>
    <x v="1"/>
    <x v="358"/>
    <x v="352"/>
    <x v="90"/>
    <x v="100"/>
    <x v="31"/>
  </r>
  <r>
    <x v="893"/>
    <x v="57"/>
    <x v="2"/>
    <x v="2"/>
    <x v="3"/>
    <x v="0"/>
    <x v="16"/>
    <x v="1"/>
    <x v="0"/>
    <x v="693"/>
    <x v="132"/>
    <x v="2"/>
    <x v="0"/>
    <x v="163"/>
    <x v="2"/>
    <x v="1"/>
    <x v="4"/>
    <x v="110"/>
    <x v="1"/>
    <x v="3"/>
    <x v="0"/>
    <x v="312"/>
    <x v="257"/>
    <x v="79"/>
    <x v="134"/>
    <x v="24"/>
  </r>
  <r>
    <x v="894"/>
    <x v="15"/>
    <x v="0"/>
    <x v="1"/>
    <x v="0"/>
    <x v="0"/>
    <x v="3"/>
    <x v="2"/>
    <x v="2"/>
    <x v="694"/>
    <x v="711"/>
    <x v="1"/>
    <x v="9"/>
    <x v="153"/>
    <x v="1"/>
    <x v="1"/>
    <x v="0"/>
    <x v="12"/>
    <x v="1"/>
    <x v="2"/>
    <x v="0"/>
    <x v="19"/>
    <x v="34"/>
    <x v="44"/>
    <x v="147"/>
    <x v="19"/>
  </r>
  <r>
    <x v="895"/>
    <x v="39"/>
    <x v="1"/>
    <x v="4"/>
    <x v="1"/>
    <x v="0"/>
    <x v="6"/>
    <x v="0"/>
    <x v="1"/>
    <x v="695"/>
    <x v="712"/>
    <x v="0"/>
    <x v="41"/>
    <x v="164"/>
    <x v="0"/>
    <x v="0"/>
    <x v="0"/>
    <x v="18"/>
    <x v="0"/>
    <x v="4"/>
    <x v="1"/>
    <x v="26"/>
    <x v="185"/>
    <x v="22"/>
    <x v="176"/>
    <x v="15"/>
  </r>
  <r>
    <x v="896"/>
    <x v="64"/>
    <x v="0"/>
    <x v="1"/>
    <x v="0"/>
    <x v="0"/>
    <x v="8"/>
    <x v="0"/>
    <x v="1"/>
    <x v="250"/>
    <x v="184"/>
    <x v="1"/>
    <x v="69"/>
    <x v="101"/>
    <x v="1"/>
    <x v="2"/>
    <x v="1"/>
    <x v="127"/>
    <x v="1"/>
    <x v="2"/>
    <x v="0"/>
    <x v="222"/>
    <x v="133"/>
    <x v="9"/>
    <x v="131"/>
    <x v="66"/>
  </r>
  <r>
    <x v="897"/>
    <x v="24"/>
    <x v="0"/>
    <x v="0"/>
    <x v="0"/>
    <x v="3"/>
    <x v="0"/>
    <x v="3"/>
    <x v="0"/>
    <x v="300"/>
    <x v="713"/>
    <x v="1"/>
    <x v="4"/>
    <x v="180"/>
    <x v="1"/>
    <x v="2"/>
    <x v="1"/>
    <x v="26"/>
    <x v="1"/>
    <x v="2"/>
    <x v="0"/>
    <x v="32"/>
    <x v="217"/>
    <x v="80"/>
    <x v="80"/>
    <x v="6"/>
  </r>
  <r>
    <x v="898"/>
    <x v="24"/>
    <x v="0"/>
    <x v="4"/>
    <x v="4"/>
    <x v="5"/>
    <x v="7"/>
    <x v="3"/>
    <x v="1"/>
    <x v="696"/>
    <x v="714"/>
    <x v="0"/>
    <x v="22"/>
    <x v="97"/>
    <x v="0"/>
    <x v="1"/>
    <x v="3"/>
    <x v="102"/>
    <x v="1"/>
    <x v="4"/>
    <x v="0"/>
    <x v="330"/>
    <x v="36"/>
    <x v="42"/>
    <x v="153"/>
    <x v="119"/>
  </r>
  <r>
    <x v="899"/>
    <x v="26"/>
    <x v="2"/>
    <x v="4"/>
    <x v="2"/>
    <x v="3"/>
    <x v="12"/>
    <x v="0"/>
    <x v="3"/>
    <x v="61"/>
    <x v="715"/>
    <x v="3"/>
    <x v="28"/>
    <x v="163"/>
    <x v="3"/>
    <x v="0"/>
    <x v="0"/>
    <x v="17"/>
    <x v="0"/>
    <x v="4"/>
    <x v="0"/>
    <x v="274"/>
    <x v="159"/>
    <x v="30"/>
    <x v="115"/>
    <x v="68"/>
  </r>
  <r>
    <x v="900"/>
    <x v="26"/>
    <x v="2"/>
    <x v="3"/>
    <x v="1"/>
    <x v="2"/>
    <x v="18"/>
    <x v="2"/>
    <x v="2"/>
    <x v="697"/>
    <x v="716"/>
    <x v="2"/>
    <x v="44"/>
    <x v="83"/>
    <x v="2"/>
    <x v="2"/>
    <x v="3"/>
    <x v="78"/>
    <x v="1"/>
    <x v="0"/>
    <x v="0"/>
    <x v="287"/>
    <x v="342"/>
    <x v="77"/>
    <x v="114"/>
    <x v="51"/>
  </r>
  <r>
    <x v="901"/>
    <x v="51"/>
    <x v="1"/>
    <x v="0"/>
    <x v="3"/>
    <x v="0"/>
    <x v="13"/>
    <x v="0"/>
    <x v="0"/>
    <x v="698"/>
    <x v="8"/>
    <x v="3"/>
    <x v="16"/>
    <x v="194"/>
    <x v="3"/>
    <x v="0"/>
    <x v="4"/>
    <x v="80"/>
    <x v="0"/>
    <x v="2"/>
    <x v="1"/>
    <x v="29"/>
    <x v="129"/>
    <x v="59"/>
    <x v="128"/>
    <x v="24"/>
  </r>
  <r>
    <x v="902"/>
    <x v="67"/>
    <x v="2"/>
    <x v="0"/>
    <x v="1"/>
    <x v="0"/>
    <x v="19"/>
    <x v="3"/>
    <x v="3"/>
    <x v="699"/>
    <x v="717"/>
    <x v="0"/>
    <x v="45"/>
    <x v="125"/>
    <x v="0"/>
    <x v="1"/>
    <x v="0"/>
    <x v="44"/>
    <x v="1"/>
    <x v="4"/>
    <x v="0"/>
    <x v="45"/>
    <x v="263"/>
    <x v="36"/>
    <x v="69"/>
    <x v="112"/>
  </r>
  <r>
    <x v="903"/>
    <x v="27"/>
    <x v="1"/>
    <x v="3"/>
    <x v="2"/>
    <x v="0"/>
    <x v="8"/>
    <x v="0"/>
    <x v="2"/>
    <x v="700"/>
    <x v="718"/>
    <x v="2"/>
    <x v="61"/>
    <x v="29"/>
    <x v="2"/>
    <x v="0"/>
    <x v="4"/>
    <x v="87"/>
    <x v="0"/>
    <x v="0"/>
    <x v="0"/>
    <x v="165"/>
    <x v="197"/>
    <x v="60"/>
    <x v="10"/>
    <x v="137"/>
  </r>
  <r>
    <x v="904"/>
    <x v="45"/>
    <x v="0"/>
    <x v="2"/>
    <x v="2"/>
    <x v="0"/>
    <x v="1"/>
    <x v="2"/>
    <x v="1"/>
    <x v="61"/>
    <x v="719"/>
    <x v="0"/>
    <x v="4"/>
    <x v="129"/>
    <x v="0"/>
    <x v="1"/>
    <x v="1"/>
    <x v="20"/>
    <x v="1"/>
    <x v="0"/>
    <x v="1"/>
    <x v="155"/>
    <x v="353"/>
    <x v="78"/>
    <x v="169"/>
    <x v="29"/>
  </r>
  <r>
    <x v="905"/>
    <x v="24"/>
    <x v="0"/>
    <x v="3"/>
    <x v="3"/>
    <x v="2"/>
    <x v="12"/>
    <x v="1"/>
    <x v="3"/>
    <x v="628"/>
    <x v="720"/>
    <x v="3"/>
    <x v="3"/>
    <x v="11"/>
    <x v="3"/>
    <x v="0"/>
    <x v="3"/>
    <x v="15"/>
    <x v="0"/>
    <x v="2"/>
    <x v="0"/>
    <x v="361"/>
    <x v="215"/>
    <x v="56"/>
    <x v="119"/>
    <x v="16"/>
  </r>
  <r>
    <x v="906"/>
    <x v="44"/>
    <x v="0"/>
    <x v="2"/>
    <x v="1"/>
    <x v="0"/>
    <x v="7"/>
    <x v="2"/>
    <x v="1"/>
    <x v="517"/>
    <x v="104"/>
    <x v="3"/>
    <x v="56"/>
    <x v="193"/>
    <x v="3"/>
    <x v="1"/>
    <x v="2"/>
    <x v="68"/>
    <x v="1"/>
    <x v="1"/>
    <x v="1"/>
    <x v="248"/>
    <x v="27"/>
    <x v="41"/>
    <x v="110"/>
    <x v="35"/>
  </r>
  <r>
    <x v="907"/>
    <x v="37"/>
    <x v="0"/>
    <x v="1"/>
    <x v="4"/>
    <x v="0"/>
    <x v="15"/>
    <x v="1"/>
    <x v="0"/>
    <x v="701"/>
    <x v="721"/>
    <x v="3"/>
    <x v="4"/>
    <x v="93"/>
    <x v="3"/>
    <x v="2"/>
    <x v="2"/>
    <x v="68"/>
    <x v="1"/>
    <x v="1"/>
    <x v="1"/>
    <x v="182"/>
    <x v="154"/>
    <x v="4"/>
    <x v="119"/>
    <x v="48"/>
  </r>
  <r>
    <x v="908"/>
    <x v="40"/>
    <x v="1"/>
    <x v="1"/>
    <x v="2"/>
    <x v="0"/>
    <x v="11"/>
    <x v="3"/>
    <x v="3"/>
    <x v="702"/>
    <x v="624"/>
    <x v="3"/>
    <x v="57"/>
    <x v="74"/>
    <x v="3"/>
    <x v="2"/>
    <x v="1"/>
    <x v="69"/>
    <x v="1"/>
    <x v="2"/>
    <x v="0"/>
    <x v="362"/>
    <x v="29"/>
    <x v="63"/>
    <x v="34"/>
    <x v="38"/>
  </r>
  <r>
    <x v="909"/>
    <x v="60"/>
    <x v="0"/>
    <x v="4"/>
    <x v="4"/>
    <x v="5"/>
    <x v="18"/>
    <x v="1"/>
    <x v="1"/>
    <x v="703"/>
    <x v="121"/>
    <x v="1"/>
    <x v="6"/>
    <x v="168"/>
    <x v="1"/>
    <x v="1"/>
    <x v="2"/>
    <x v="98"/>
    <x v="1"/>
    <x v="3"/>
    <x v="0"/>
    <x v="245"/>
    <x v="354"/>
    <x v="36"/>
    <x v="46"/>
    <x v="125"/>
  </r>
  <r>
    <x v="910"/>
    <x v="62"/>
    <x v="2"/>
    <x v="3"/>
    <x v="1"/>
    <x v="0"/>
    <x v="1"/>
    <x v="0"/>
    <x v="1"/>
    <x v="704"/>
    <x v="406"/>
    <x v="3"/>
    <x v="55"/>
    <x v="167"/>
    <x v="3"/>
    <x v="1"/>
    <x v="0"/>
    <x v="20"/>
    <x v="1"/>
    <x v="3"/>
    <x v="0"/>
    <x v="212"/>
    <x v="167"/>
    <x v="63"/>
    <x v="22"/>
    <x v="109"/>
  </r>
  <r>
    <x v="911"/>
    <x v="30"/>
    <x v="0"/>
    <x v="2"/>
    <x v="2"/>
    <x v="0"/>
    <x v="8"/>
    <x v="0"/>
    <x v="2"/>
    <x v="705"/>
    <x v="722"/>
    <x v="3"/>
    <x v="35"/>
    <x v="93"/>
    <x v="3"/>
    <x v="1"/>
    <x v="1"/>
    <x v="141"/>
    <x v="1"/>
    <x v="0"/>
    <x v="0"/>
    <x v="197"/>
    <x v="355"/>
    <x v="5"/>
    <x v="6"/>
    <x v="11"/>
  </r>
  <r>
    <x v="912"/>
    <x v="25"/>
    <x v="2"/>
    <x v="4"/>
    <x v="3"/>
    <x v="0"/>
    <x v="12"/>
    <x v="2"/>
    <x v="1"/>
    <x v="706"/>
    <x v="723"/>
    <x v="0"/>
    <x v="4"/>
    <x v="17"/>
    <x v="0"/>
    <x v="1"/>
    <x v="1"/>
    <x v="131"/>
    <x v="1"/>
    <x v="0"/>
    <x v="0"/>
    <x v="206"/>
    <x v="180"/>
    <x v="69"/>
    <x v="16"/>
    <x v="70"/>
  </r>
  <r>
    <x v="913"/>
    <x v="47"/>
    <x v="2"/>
    <x v="3"/>
    <x v="1"/>
    <x v="1"/>
    <x v="1"/>
    <x v="1"/>
    <x v="3"/>
    <x v="66"/>
    <x v="724"/>
    <x v="0"/>
    <x v="4"/>
    <x v="142"/>
    <x v="0"/>
    <x v="0"/>
    <x v="1"/>
    <x v="100"/>
    <x v="0"/>
    <x v="2"/>
    <x v="1"/>
    <x v="95"/>
    <x v="273"/>
    <x v="30"/>
    <x v="54"/>
    <x v="94"/>
  </r>
  <r>
    <x v="914"/>
    <x v="49"/>
    <x v="0"/>
    <x v="2"/>
    <x v="1"/>
    <x v="3"/>
    <x v="8"/>
    <x v="2"/>
    <x v="2"/>
    <x v="707"/>
    <x v="725"/>
    <x v="1"/>
    <x v="48"/>
    <x v="76"/>
    <x v="1"/>
    <x v="2"/>
    <x v="3"/>
    <x v="141"/>
    <x v="1"/>
    <x v="1"/>
    <x v="1"/>
    <x v="247"/>
    <x v="260"/>
    <x v="16"/>
    <x v="22"/>
    <x v="164"/>
  </r>
  <r>
    <x v="915"/>
    <x v="63"/>
    <x v="1"/>
    <x v="3"/>
    <x v="3"/>
    <x v="5"/>
    <x v="1"/>
    <x v="0"/>
    <x v="2"/>
    <x v="66"/>
    <x v="726"/>
    <x v="3"/>
    <x v="73"/>
    <x v="122"/>
    <x v="3"/>
    <x v="0"/>
    <x v="0"/>
    <x v="67"/>
    <x v="0"/>
    <x v="1"/>
    <x v="0"/>
    <x v="127"/>
    <x v="204"/>
    <x v="8"/>
    <x v="24"/>
    <x v="24"/>
  </r>
  <r>
    <x v="916"/>
    <x v="3"/>
    <x v="2"/>
    <x v="2"/>
    <x v="2"/>
    <x v="0"/>
    <x v="1"/>
    <x v="2"/>
    <x v="3"/>
    <x v="292"/>
    <x v="727"/>
    <x v="3"/>
    <x v="23"/>
    <x v="155"/>
    <x v="3"/>
    <x v="2"/>
    <x v="0"/>
    <x v="29"/>
    <x v="1"/>
    <x v="1"/>
    <x v="0"/>
    <x v="110"/>
    <x v="227"/>
    <x v="48"/>
    <x v="31"/>
    <x v="112"/>
  </r>
  <r>
    <x v="917"/>
    <x v="25"/>
    <x v="2"/>
    <x v="2"/>
    <x v="1"/>
    <x v="4"/>
    <x v="18"/>
    <x v="2"/>
    <x v="3"/>
    <x v="119"/>
    <x v="334"/>
    <x v="0"/>
    <x v="25"/>
    <x v="6"/>
    <x v="0"/>
    <x v="0"/>
    <x v="2"/>
    <x v="129"/>
    <x v="0"/>
    <x v="1"/>
    <x v="1"/>
    <x v="288"/>
    <x v="101"/>
    <x v="32"/>
    <x v="172"/>
    <x v="22"/>
  </r>
  <r>
    <x v="918"/>
    <x v="62"/>
    <x v="0"/>
    <x v="1"/>
    <x v="3"/>
    <x v="2"/>
    <x v="10"/>
    <x v="3"/>
    <x v="0"/>
    <x v="305"/>
    <x v="607"/>
    <x v="0"/>
    <x v="31"/>
    <x v="89"/>
    <x v="0"/>
    <x v="1"/>
    <x v="2"/>
    <x v="87"/>
    <x v="1"/>
    <x v="4"/>
    <x v="1"/>
    <x v="95"/>
    <x v="39"/>
    <x v="48"/>
    <x v="71"/>
    <x v="2"/>
  </r>
  <r>
    <x v="919"/>
    <x v="9"/>
    <x v="0"/>
    <x v="1"/>
    <x v="1"/>
    <x v="0"/>
    <x v="17"/>
    <x v="0"/>
    <x v="1"/>
    <x v="708"/>
    <x v="728"/>
    <x v="0"/>
    <x v="56"/>
    <x v="168"/>
    <x v="0"/>
    <x v="2"/>
    <x v="2"/>
    <x v="29"/>
    <x v="1"/>
    <x v="3"/>
    <x v="1"/>
    <x v="296"/>
    <x v="148"/>
    <x v="58"/>
    <x v="158"/>
    <x v="15"/>
  </r>
  <r>
    <x v="920"/>
    <x v="51"/>
    <x v="2"/>
    <x v="1"/>
    <x v="4"/>
    <x v="2"/>
    <x v="13"/>
    <x v="2"/>
    <x v="0"/>
    <x v="709"/>
    <x v="729"/>
    <x v="3"/>
    <x v="4"/>
    <x v="13"/>
    <x v="3"/>
    <x v="1"/>
    <x v="3"/>
    <x v="19"/>
    <x v="1"/>
    <x v="1"/>
    <x v="1"/>
    <x v="302"/>
    <x v="141"/>
    <x v="41"/>
    <x v="46"/>
    <x v="81"/>
  </r>
  <r>
    <x v="921"/>
    <x v="33"/>
    <x v="0"/>
    <x v="1"/>
    <x v="1"/>
    <x v="2"/>
    <x v="16"/>
    <x v="1"/>
    <x v="2"/>
    <x v="15"/>
    <x v="730"/>
    <x v="1"/>
    <x v="2"/>
    <x v="169"/>
    <x v="1"/>
    <x v="2"/>
    <x v="2"/>
    <x v="142"/>
    <x v="1"/>
    <x v="0"/>
    <x v="1"/>
    <x v="356"/>
    <x v="270"/>
    <x v="75"/>
    <x v="171"/>
    <x v="114"/>
  </r>
  <r>
    <x v="922"/>
    <x v="46"/>
    <x v="2"/>
    <x v="2"/>
    <x v="0"/>
    <x v="4"/>
    <x v="13"/>
    <x v="2"/>
    <x v="0"/>
    <x v="710"/>
    <x v="165"/>
    <x v="1"/>
    <x v="6"/>
    <x v="14"/>
    <x v="1"/>
    <x v="1"/>
    <x v="0"/>
    <x v="34"/>
    <x v="1"/>
    <x v="2"/>
    <x v="1"/>
    <x v="150"/>
    <x v="128"/>
    <x v="80"/>
    <x v="157"/>
    <x v="27"/>
  </r>
  <r>
    <x v="923"/>
    <x v="31"/>
    <x v="0"/>
    <x v="0"/>
    <x v="3"/>
    <x v="3"/>
    <x v="15"/>
    <x v="2"/>
    <x v="0"/>
    <x v="156"/>
    <x v="731"/>
    <x v="0"/>
    <x v="51"/>
    <x v="84"/>
    <x v="0"/>
    <x v="1"/>
    <x v="3"/>
    <x v="76"/>
    <x v="1"/>
    <x v="2"/>
    <x v="1"/>
    <x v="259"/>
    <x v="250"/>
    <x v="72"/>
    <x v="11"/>
    <x v="27"/>
  </r>
  <r>
    <x v="924"/>
    <x v="44"/>
    <x v="1"/>
    <x v="2"/>
    <x v="4"/>
    <x v="4"/>
    <x v="1"/>
    <x v="0"/>
    <x v="1"/>
    <x v="694"/>
    <x v="56"/>
    <x v="2"/>
    <x v="0"/>
    <x v="172"/>
    <x v="2"/>
    <x v="1"/>
    <x v="4"/>
    <x v="53"/>
    <x v="1"/>
    <x v="1"/>
    <x v="1"/>
    <x v="217"/>
    <x v="356"/>
    <x v="56"/>
    <x v="24"/>
    <x v="143"/>
  </r>
  <r>
    <x v="925"/>
    <x v="6"/>
    <x v="0"/>
    <x v="0"/>
    <x v="4"/>
    <x v="4"/>
    <x v="7"/>
    <x v="0"/>
    <x v="3"/>
    <x v="495"/>
    <x v="732"/>
    <x v="1"/>
    <x v="72"/>
    <x v="57"/>
    <x v="1"/>
    <x v="0"/>
    <x v="3"/>
    <x v="89"/>
    <x v="0"/>
    <x v="4"/>
    <x v="0"/>
    <x v="38"/>
    <x v="340"/>
    <x v="7"/>
    <x v="18"/>
    <x v="144"/>
  </r>
  <r>
    <x v="926"/>
    <x v="14"/>
    <x v="2"/>
    <x v="0"/>
    <x v="3"/>
    <x v="0"/>
    <x v="15"/>
    <x v="3"/>
    <x v="3"/>
    <x v="711"/>
    <x v="733"/>
    <x v="2"/>
    <x v="77"/>
    <x v="71"/>
    <x v="2"/>
    <x v="2"/>
    <x v="0"/>
    <x v="43"/>
    <x v="1"/>
    <x v="0"/>
    <x v="0"/>
    <x v="68"/>
    <x v="151"/>
    <x v="75"/>
    <x v="12"/>
    <x v="114"/>
  </r>
  <r>
    <x v="927"/>
    <x v="7"/>
    <x v="2"/>
    <x v="4"/>
    <x v="2"/>
    <x v="5"/>
    <x v="6"/>
    <x v="0"/>
    <x v="3"/>
    <x v="712"/>
    <x v="734"/>
    <x v="3"/>
    <x v="9"/>
    <x v="172"/>
    <x v="3"/>
    <x v="0"/>
    <x v="1"/>
    <x v="74"/>
    <x v="0"/>
    <x v="3"/>
    <x v="1"/>
    <x v="341"/>
    <x v="86"/>
    <x v="27"/>
    <x v="177"/>
    <x v="106"/>
  </r>
  <r>
    <x v="928"/>
    <x v="10"/>
    <x v="2"/>
    <x v="4"/>
    <x v="3"/>
    <x v="1"/>
    <x v="15"/>
    <x v="2"/>
    <x v="3"/>
    <x v="713"/>
    <x v="615"/>
    <x v="2"/>
    <x v="73"/>
    <x v="63"/>
    <x v="2"/>
    <x v="2"/>
    <x v="4"/>
    <x v="146"/>
    <x v="1"/>
    <x v="4"/>
    <x v="0"/>
    <x v="329"/>
    <x v="272"/>
    <x v="29"/>
    <x v="171"/>
    <x v="152"/>
  </r>
  <r>
    <x v="929"/>
    <x v="48"/>
    <x v="0"/>
    <x v="3"/>
    <x v="4"/>
    <x v="0"/>
    <x v="0"/>
    <x v="3"/>
    <x v="3"/>
    <x v="714"/>
    <x v="203"/>
    <x v="3"/>
    <x v="47"/>
    <x v="21"/>
    <x v="3"/>
    <x v="1"/>
    <x v="2"/>
    <x v="74"/>
    <x v="1"/>
    <x v="4"/>
    <x v="1"/>
    <x v="175"/>
    <x v="164"/>
    <x v="49"/>
    <x v="14"/>
    <x v="7"/>
  </r>
  <r>
    <x v="930"/>
    <x v="3"/>
    <x v="1"/>
    <x v="0"/>
    <x v="3"/>
    <x v="2"/>
    <x v="5"/>
    <x v="0"/>
    <x v="2"/>
    <x v="205"/>
    <x v="209"/>
    <x v="2"/>
    <x v="4"/>
    <x v="94"/>
    <x v="2"/>
    <x v="1"/>
    <x v="2"/>
    <x v="109"/>
    <x v="1"/>
    <x v="2"/>
    <x v="1"/>
    <x v="363"/>
    <x v="225"/>
    <x v="52"/>
    <x v="67"/>
    <x v="134"/>
  </r>
  <r>
    <x v="931"/>
    <x v="50"/>
    <x v="1"/>
    <x v="0"/>
    <x v="0"/>
    <x v="2"/>
    <x v="2"/>
    <x v="3"/>
    <x v="1"/>
    <x v="585"/>
    <x v="735"/>
    <x v="1"/>
    <x v="47"/>
    <x v="66"/>
    <x v="1"/>
    <x v="0"/>
    <x v="1"/>
    <x v="45"/>
    <x v="0"/>
    <x v="2"/>
    <x v="0"/>
    <x v="273"/>
    <x v="214"/>
    <x v="65"/>
    <x v="178"/>
    <x v="61"/>
  </r>
  <r>
    <x v="932"/>
    <x v="29"/>
    <x v="0"/>
    <x v="1"/>
    <x v="3"/>
    <x v="0"/>
    <x v="8"/>
    <x v="1"/>
    <x v="3"/>
    <x v="715"/>
    <x v="736"/>
    <x v="1"/>
    <x v="6"/>
    <x v="72"/>
    <x v="1"/>
    <x v="1"/>
    <x v="1"/>
    <x v="70"/>
    <x v="1"/>
    <x v="3"/>
    <x v="1"/>
    <x v="113"/>
    <x v="149"/>
    <x v="60"/>
    <x v="167"/>
    <x v="56"/>
  </r>
  <r>
    <x v="933"/>
    <x v="24"/>
    <x v="0"/>
    <x v="3"/>
    <x v="2"/>
    <x v="4"/>
    <x v="0"/>
    <x v="2"/>
    <x v="0"/>
    <x v="160"/>
    <x v="366"/>
    <x v="3"/>
    <x v="49"/>
    <x v="10"/>
    <x v="3"/>
    <x v="1"/>
    <x v="4"/>
    <x v="49"/>
    <x v="1"/>
    <x v="1"/>
    <x v="0"/>
    <x v="59"/>
    <x v="24"/>
    <x v="12"/>
    <x v="146"/>
    <x v="6"/>
  </r>
  <r>
    <x v="934"/>
    <x v="52"/>
    <x v="1"/>
    <x v="3"/>
    <x v="1"/>
    <x v="0"/>
    <x v="11"/>
    <x v="1"/>
    <x v="3"/>
    <x v="577"/>
    <x v="503"/>
    <x v="1"/>
    <x v="15"/>
    <x v="49"/>
    <x v="1"/>
    <x v="1"/>
    <x v="4"/>
    <x v="53"/>
    <x v="1"/>
    <x v="3"/>
    <x v="0"/>
    <x v="117"/>
    <x v="221"/>
    <x v="47"/>
    <x v="107"/>
    <x v="75"/>
  </r>
  <r>
    <x v="935"/>
    <x v="0"/>
    <x v="0"/>
    <x v="2"/>
    <x v="0"/>
    <x v="0"/>
    <x v="0"/>
    <x v="3"/>
    <x v="2"/>
    <x v="382"/>
    <x v="67"/>
    <x v="2"/>
    <x v="24"/>
    <x v="111"/>
    <x v="2"/>
    <x v="0"/>
    <x v="2"/>
    <x v="20"/>
    <x v="0"/>
    <x v="2"/>
    <x v="1"/>
    <x v="35"/>
    <x v="206"/>
    <x v="87"/>
    <x v="92"/>
    <x v="143"/>
  </r>
  <r>
    <x v="936"/>
    <x v="45"/>
    <x v="0"/>
    <x v="0"/>
    <x v="3"/>
    <x v="3"/>
    <x v="17"/>
    <x v="0"/>
    <x v="0"/>
    <x v="681"/>
    <x v="493"/>
    <x v="2"/>
    <x v="43"/>
    <x v="17"/>
    <x v="2"/>
    <x v="2"/>
    <x v="1"/>
    <x v="147"/>
    <x v="1"/>
    <x v="3"/>
    <x v="0"/>
    <x v="279"/>
    <x v="41"/>
    <x v="12"/>
    <x v="98"/>
    <x v="136"/>
  </r>
  <r>
    <x v="937"/>
    <x v="15"/>
    <x v="0"/>
    <x v="2"/>
    <x v="3"/>
    <x v="0"/>
    <x v="19"/>
    <x v="1"/>
    <x v="2"/>
    <x v="716"/>
    <x v="737"/>
    <x v="0"/>
    <x v="4"/>
    <x v="20"/>
    <x v="0"/>
    <x v="1"/>
    <x v="2"/>
    <x v="141"/>
    <x v="1"/>
    <x v="4"/>
    <x v="1"/>
    <x v="103"/>
    <x v="251"/>
    <x v="18"/>
    <x v="173"/>
    <x v="165"/>
  </r>
  <r>
    <x v="938"/>
    <x v="2"/>
    <x v="0"/>
    <x v="0"/>
    <x v="1"/>
    <x v="4"/>
    <x v="17"/>
    <x v="3"/>
    <x v="1"/>
    <x v="717"/>
    <x v="738"/>
    <x v="3"/>
    <x v="3"/>
    <x v="84"/>
    <x v="3"/>
    <x v="1"/>
    <x v="0"/>
    <x v="105"/>
    <x v="1"/>
    <x v="3"/>
    <x v="0"/>
    <x v="290"/>
    <x v="357"/>
    <x v="61"/>
    <x v="91"/>
    <x v="58"/>
  </r>
  <r>
    <x v="939"/>
    <x v="40"/>
    <x v="2"/>
    <x v="3"/>
    <x v="0"/>
    <x v="2"/>
    <x v="4"/>
    <x v="1"/>
    <x v="1"/>
    <x v="156"/>
    <x v="228"/>
    <x v="1"/>
    <x v="4"/>
    <x v="42"/>
    <x v="1"/>
    <x v="2"/>
    <x v="3"/>
    <x v="10"/>
    <x v="1"/>
    <x v="4"/>
    <x v="0"/>
    <x v="122"/>
    <x v="157"/>
    <x v="32"/>
    <x v="76"/>
    <x v="27"/>
  </r>
  <r>
    <x v="940"/>
    <x v="29"/>
    <x v="1"/>
    <x v="1"/>
    <x v="1"/>
    <x v="2"/>
    <x v="10"/>
    <x v="0"/>
    <x v="1"/>
    <x v="718"/>
    <x v="372"/>
    <x v="2"/>
    <x v="9"/>
    <x v="136"/>
    <x v="2"/>
    <x v="1"/>
    <x v="3"/>
    <x v="133"/>
    <x v="1"/>
    <x v="3"/>
    <x v="0"/>
    <x v="183"/>
    <x v="358"/>
    <x v="45"/>
    <x v="169"/>
    <x v="99"/>
  </r>
  <r>
    <x v="941"/>
    <x v="16"/>
    <x v="0"/>
    <x v="4"/>
    <x v="0"/>
    <x v="3"/>
    <x v="3"/>
    <x v="0"/>
    <x v="2"/>
    <x v="719"/>
    <x v="739"/>
    <x v="0"/>
    <x v="3"/>
    <x v="32"/>
    <x v="0"/>
    <x v="2"/>
    <x v="2"/>
    <x v="43"/>
    <x v="1"/>
    <x v="2"/>
    <x v="0"/>
    <x v="341"/>
    <x v="216"/>
    <x v="13"/>
    <x v="73"/>
    <x v="45"/>
  </r>
  <r>
    <x v="942"/>
    <x v="47"/>
    <x v="2"/>
    <x v="2"/>
    <x v="4"/>
    <x v="5"/>
    <x v="6"/>
    <x v="0"/>
    <x v="2"/>
    <x v="272"/>
    <x v="626"/>
    <x v="2"/>
    <x v="54"/>
    <x v="70"/>
    <x v="2"/>
    <x v="1"/>
    <x v="1"/>
    <x v="32"/>
    <x v="1"/>
    <x v="3"/>
    <x v="0"/>
    <x v="327"/>
    <x v="107"/>
    <x v="60"/>
    <x v="11"/>
    <x v="124"/>
  </r>
  <r>
    <x v="943"/>
    <x v="21"/>
    <x v="2"/>
    <x v="1"/>
    <x v="3"/>
    <x v="0"/>
    <x v="5"/>
    <x v="0"/>
    <x v="2"/>
    <x v="720"/>
    <x v="740"/>
    <x v="2"/>
    <x v="44"/>
    <x v="104"/>
    <x v="2"/>
    <x v="2"/>
    <x v="4"/>
    <x v="26"/>
    <x v="1"/>
    <x v="0"/>
    <x v="0"/>
    <x v="303"/>
    <x v="143"/>
    <x v="20"/>
    <x v="152"/>
    <x v="98"/>
  </r>
  <r>
    <x v="944"/>
    <x v="2"/>
    <x v="1"/>
    <x v="3"/>
    <x v="1"/>
    <x v="0"/>
    <x v="4"/>
    <x v="2"/>
    <x v="3"/>
    <x v="721"/>
    <x v="570"/>
    <x v="2"/>
    <x v="4"/>
    <x v="46"/>
    <x v="2"/>
    <x v="2"/>
    <x v="3"/>
    <x v="2"/>
    <x v="1"/>
    <x v="2"/>
    <x v="0"/>
    <x v="273"/>
    <x v="273"/>
    <x v="28"/>
    <x v="87"/>
    <x v="59"/>
  </r>
  <r>
    <x v="945"/>
    <x v="62"/>
    <x v="1"/>
    <x v="4"/>
    <x v="3"/>
    <x v="4"/>
    <x v="14"/>
    <x v="3"/>
    <x v="0"/>
    <x v="722"/>
    <x v="741"/>
    <x v="2"/>
    <x v="3"/>
    <x v="99"/>
    <x v="2"/>
    <x v="1"/>
    <x v="4"/>
    <x v="0"/>
    <x v="1"/>
    <x v="3"/>
    <x v="1"/>
    <x v="104"/>
    <x v="54"/>
    <x v="64"/>
    <x v="123"/>
    <x v="68"/>
  </r>
  <r>
    <x v="946"/>
    <x v="67"/>
    <x v="0"/>
    <x v="2"/>
    <x v="0"/>
    <x v="0"/>
    <x v="19"/>
    <x v="0"/>
    <x v="2"/>
    <x v="723"/>
    <x v="407"/>
    <x v="2"/>
    <x v="58"/>
    <x v="25"/>
    <x v="2"/>
    <x v="0"/>
    <x v="3"/>
    <x v="54"/>
    <x v="0"/>
    <x v="2"/>
    <x v="0"/>
    <x v="336"/>
    <x v="359"/>
    <x v="70"/>
    <x v="40"/>
    <x v="148"/>
  </r>
  <r>
    <x v="947"/>
    <x v="58"/>
    <x v="1"/>
    <x v="4"/>
    <x v="4"/>
    <x v="1"/>
    <x v="1"/>
    <x v="2"/>
    <x v="0"/>
    <x v="541"/>
    <x v="742"/>
    <x v="2"/>
    <x v="79"/>
    <x v="69"/>
    <x v="2"/>
    <x v="2"/>
    <x v="2"/>
    <x v="131"/>
    <x v="1"/>
    <x v="2"/>
    <x v="1"/>
    <x v="158"/>
    <x v="93"/>
    <x v="9"/>
    <x v="25"/>
    <x v="160"/>
  </r>
  <r>
    <x v="948"/>
    <x v="14"/>
    <x v="0"/>
    <x v="1"/>
    <x v="3"/>
    <x v="0"/>
    <x v="9"/>
    <x v="3"/>
    <x v="0"/>
    <x v="296"/>
    <x v="324"/>
    <x v="3"/>
    <x v="45"/>
    <x v="24"/>
    <x v="3"/>
    <x v="1"/>
    <x v="2"/>
    <x v="63"/>
    <x v="1"/>
    <x v="1"/>
    <x v="1"/>
    <x v="196"/>
    <x v="359"/>
    <x v="69"/>
    <x v="154"/>
    <x v="118"/>
  </r>
  <r>
    <x v="949"/>
    <x v="48"/>
    <x v="1"/>
    <x v="2"/>
    <x v="1"/>
    <x v="0"/>
    <x v="0"/>
    <x v="3"/>
    <x v="2"/>
    <x v="724"/>
    <x v="27"/>
    <x v="1"/>
    <x v="4"/>
    <x v="18"/>
    <x v="1"/>
    <x v="2"/>
    <x v="3"/>
    <x v="21"/>
    <x v="1"/>
    <x v="1"/>
    <x v="1"/>
    <x v="240"/>
    <x v="115"/>
    <x v="67"/>
    <x v="109"/>
    <x v="72"/>
  </r>
  <r>
    <x v="950"/>
    <x v="0"/>
    <x v="0"/>
    <x v="0"/>
    <x v="1"/>
    <x v="0"/>
    <x v="17"/>
    <x v="1"/>
    <x v="0"/>
    <x v="725"/>
    <x v="743"/>
    <x v="2"/>
    <x v="26"/>
    <x v="27"/>
    <x v="2"/>
    <x v="1"/>
    <x v="0"/>
    <x v="26"/>
    <x v="1"/>
    <x v="3"/>
    <x v="1"/>
    <x v="234"/>
    <x v="257"/>
    <x v="70"/>
    <x v="22"/>
    <x v="5"/>
  </r>
  <r>
    <x v="951"/>
    <x v="54"/>
    <x v="0"/>
    <x v="2"/>
    <x v="0"/>
    <x v="5"/>
    <x v="16"/>
    <x v="2"/>
    <x v="0"/>
    <x v="726"/>
    <x v="744"/>
    <x v="0"/>
    <x v="6"/>
    <x v="85"/>
    <x v="0"/>
    <x v="0"/>
    <x v="3"/>
    <x v="56"/>
    <x v="0"/>
    <x v="3"/>
    <x v="0"/>
    <x v="286"/>
    <x v="237"/>
    <x v="34"/>
    <x v="86"/>
    <x v="9"/>
  </r>
  <r>
    <x v="952"/>
    <x v="7"/>
    <x v="0"/>
    <x v="1"/>
    <x v="4"/>
    <x v="0"/>
    <x v="16"/>
    <x v="3"/>
    <x v="0"/>
    <x v="134"/>
    <x v="138"/>
    <x v="2"/>
    <x v="24"/>
    <x v="40"/>
    <x v="2"/>
    <x v="2"/>
    <x v="0"/>
    <x v="15"/>
    <x v="1"/>
    <x v="3"/>
    <x v="0"/>
    <x v="74"/>
    <x v="256"/>
    <x v="10"/>
    <x v="5"/>
    <x v="164"/>
  </r>
  <r>
    <x v="953"/>
    <x v="44"/>
    <x v="1"/>
    <x v="0"/>
    <x v="1"/>
    <x v="0"/>
    <x v="10"/>
    <x v="1"/>
    <x v="0"/>
    <x v="379"/>
    <x v="548"/>
    <x v="1"/>
    <x v="6"/>
    <x v="193"/>
    <x v="1"/>
    <x v="1"/>
    <x v="3"/>
    <x v="22"/>
    <x v="1"/>
    <x v="2"/>
    <x v="1"/>
    <x v="364"/>
    <x v="297"/>
    <x v="31"/>
    <x v="155"/>
    <x v="162"/>
  </r>
  <r>
    <x v="954"/>
    <x v="53"/>
    <x v="2"/>
    <x v="3"/>
    <x v="2"/>
    <x v="0"/>
    <x v="4"/>
    <x v="3"/>
    <x v="2"/>
    <x v="195"/>
    <x v="745"/>
    <x v="0"/>
    <x v="36"/>
    <x v="23"/>
    <x v="0"/>
    <x v="0"/>
    <x v="4"/>
    <x v="150"/>
    <x v="0"/>
    <x v="0"/>
    <x v="1"/>
    <x v="174"/>
    <x v="118"/>
    <x v="54"/>
    <x v="90"/>
    <x v="141"/>
  </r>
  <r>
    <x v="955"/>
    <x v="54"/>
    <x v="0"/>
    <x v="1"/>
    <x v="0"/>
    <x v="4"/>
    <x v="18"/>
    <x v="3"/>
    <x v="0"/>
    <x v="727"/>
    <x v="746"/>
    <x v="3"/>
    <x v="28"/>
    <x v="193"/>
    <x v="3"/>
    <x v="1"/>
    <x v="0"/>
    <x v="146"/>
    <x v="1"/>
    <x v="3"/>
    <x v="0"/>
    <x v="249"/>
    <x v="299"/>
    <x v="30"/>
    <x v="173"/>
    <x v="147"/>
  </r>
  <r>
    <x v="956"/>
    <x v="0"/>
    <x v="0"/>
    <x v="1"/>
    <x v="2"/>
    <x v="0"/>
    <x v="2"/>
    <x v="3"/>
    <x v="0"/>
    <x v="728"/>
    <x v="536"/>
    <x v="1"/>
    <x v="51"/>
    <x v="100"/>
    <x v="1"/>
    <x v="1"/>
    <x v="0"/>
    <x v="62"/>
    <x v="1"/>
    <x v="2"/>
    <x v="1"/>
    <x v="333"/>
    <x v="223"/>
    <x v="17"/>
    <x v="144"/>
    <x v="158"/>
  </r>
  <r>
    <x v="957"/>
    <x v="22"/>
    <x v="0"/>
    <x v="2"/>
    <x v="3"/>
    <x v="2"/>
    <x v="4"/>
    <x v="1"/>
    <x v="1"/>
    <x v="729"/>
    <x v="747"/>
    <x v="3"/>
    <x v="24"/>
    <x v="12"/>
    <x v="3"/>
    <x v="1"/>
    <x v="1"/>
    <x v="144"/>
    <x v="1"/>
    <x v="3"/>
    <x v="0"/>
    <x v="162"/>
    <x v="358"/>
    <x v="56"/>
    <x v="135"/>
    <x v="118"/>
  </r>
  <r>
    <x v="958"/>
    <x v="31"/>
    <x v="2"/>
    <x v="3"/>
    <x v="0"/>
    <x v="3"/>
    <x v="3"/>
    <x v="1"/>
    <x v="0"/>
    <x v="68"/>
    <x v="748"/>
    <x v="3"/>
    <x v="43"/>
    <x v="114"/>
    <x v="3"/>
    <x v="1"/>
    <x v="3"/>
    <x v="18"/>
    <x v="1"/>
    <x v="3"/>
    <x v="0"/>
    <x v="365"/>
    <x v="214"/>
    <x v="53"/>
    <x v="143"/>
    <x v="169"/>
  </r>
  <r>
    <x v="959"/>
    <x v="57"/>
    <x v="1"/>
    <x v="2"/>
    <x v="3"/>
    <x v="4"/>
    <x v="1"/>
    <x v="1"/>
    <x v="2"/>
    <x v="730"/>
    <x v="123"/>
    <x v="1"/>
    <x v="6"/>
    <x v="7"/>
    <x v="1"/>
    <x v="0"/>
    <x v="0"/>
    <x v="119"/>
    <x v="0"/>
    <x v="0"/>
    <x v="1"/>
    <x v="366"/>
    <x v="324"/>
    <x v="25"/>
    <x v="132"/>
    <x v="73"/>
  </r>
  <r>
    <x v="960"/>
    <x v="24"/>
    <x v="0"/>
    <x v="1"/>
    <x v="2"/>
    <x v="0"/>
    <x v="6"/>
    <x v="1"/>
    <x v="3"/>
    <x v="731"/>
    <x v="749"/>
    <x v="0"/>
    <x v="4"/>
    <x v="2"/>
    <x v="0"/>
    <x v="0"/>
    <x v="1"/>
    <x v="5"/>
    <x v="0"/>
    <x v="1"/>
    <x v="1"/>
    <x v="278"/>
    <x v="202"/>
    <x v="61"/>
    <x v="47"/>
    <x v="109"/>
  </r>
  <r>
    <x v="961"/>
    <x v="48"/>
    <x v="0"/>
    <x v="4"/>
    <x v="1"/>
    <x v="5"/>
    <x v="19"/>
    <x v="0"/>
    <x v="1"/>
    <x v="732"/>
    <x v="750"/>
    <x v="2"/>
    <x v="84"/>
    <x v="70"/>
    <x v="2"/>
    <x v="0"/>
    <x v="1"/>
    <x v="21"/>
    <x v="0"/>
    <x v="3"/>
    <x v="0"/>
    <x v="191"/>
    <x v="336"/>
    <x v="88"/>
    <x v="144"/>
    <x v="14"/>
  </r>
  <r>
    <x v="962"/>
    <x v="48"/>
    <x v="2"/>
    <x v="1"/>
    <x v="4"/>
    <x v="1"/>
    <x v="14"/>
    <x v="3"/>
    <x v="3"/>
    <x v="733"/>
    <x v="34"/>
    <x v="0"/>
    <x v="20"/>
    <x v="48"/>
    <x v="0"/>
    <x v="1"/>
    <x v="0"/>
    <x v="51"/>
    <x v="1"/>
    <x v="3"/>
    <x v="1"/>
    <x v="88"/>
    <x v="204"/>
    <x v="15"/>
    <x v="57"/>
    <x v="142"/>
  </r>
  <r>
    <x v="963"/>
    <x v="5"/>
    <x v="1"/>
    <x v="0"/>
    <x v="4"/>
    <x v="0"/>
    <x v="2"/>
    <x v="3"/>
    <x v="1"/>
    <x v="734"/>
    <x v="751"/>
    <x v="0"/>
    <x v="12"/>
    <x v="99"/>
    <x v="0"/>
    <x v="1"/>
    <x v="4"/>
    <x v="149"/>
    <x v="1"/>
    <x v="3"/>
    <x v="1"/>
    <x v="308"/>
    <x v="20"/>
    <x v="78"/>
    <x v="111"/>
    <x v="93"/>
  </r>
  <r>
    <x v="964"/>
    <x v="23"/>
    <x v="0"/>
    <x v="3"/>
    <x v="0"/>
    <x v="0"/>
    <x v="6"/>
    <x v="2"/>
    <x v="3"/>
    <x v="586"/>
    <x v="459"/>
    <x v="0"/>
    <x v="16"/>
    <x v="115"/>
    <x v="0"/>
    <x v="0"/>
    <x v="3"/>
    <x v="42"/>
    <x v="0"/>
    <x v="2"/>
    <x v="1"/>
    <x v="365"/>
    <x v="238"/>
    <x v="14"/>
    <x v="179"/>
    <x v="139"/>
  </r>
  <r>
    <x v="965"/>
    <x v="48"/>
    <x v="1"/>
    <x v="3"/>
    <x v="1"/>
    <x v="5"/>
    <x v="8"/>
    <x v="1"/>
    <x v="2"/>
    <x v="91"/>
    <x v="483"/>
    <x v="1"/>
    <x v="6"/>
    <x v="0"/>
    <x v="1"/>
    <x v="0"/>
    <x v="1"/>
    <x v="94"/>
    <x v="0"/>
    <x v="3"/>
    <x v="0"/>
    <x v="173"/>
    <x v="125"/>
    <x v="26"/>
    <x v="44"/>
    <x v="142"/>
  </r>
  <r>
    <x v="966"/>
    <x v="63"/>
    <x v="0"/>
    <x v="1"/>
    <x v="0"/>
    <x v="2"/>
    <x v="11"/>
    <x v="3"/>
    <x v="2"/>
    <x v="735"/>
    <x v="752"/>
    <x v="3"/>
    <x v="55"/>
    <x v="128"/>
    <x v="3"/>
    <x v="0"/>
    <x v="0"/>
    <x v="75"/>
    <x v="0"/>
    <x v="3"/>
    <x v="0"/>
    <x v="211"/>
    <x v="360"/>
    <x v="87"/>
    <x v="156"/>
    <x v="114"/>
  </r>
  <r>
    <x v="967"/>
    <x v="59"/>
    <x v="2"/>
    <x v="4"/>
    <x v="1"/>
    <x v="1"/>
    <x v="5"/>
    <x v="3"/>
    <x v="0"/>
    <x v="736"/>
    <x v="753"/>
    <x v="2"/>
    <x v="51"/>
    <x v="189"/>
    <x v="2"/>
    <x v="1"/>
    <x v="0"/>
    <x v="40"/>
    <x v="1"/>
    <x v="1"/>
    <x v="0"/>
    <x v="7"/>
    <x v="210"/>
    <x v="41"/>
    <x v="154"/>
    <x v="146"/>
  </r>
  <r>
    <x v="968"/>
    <x v="13"/>
    <x v="0"/>
    <x v="2"/>
    <x v="0"/>
    <x v="0"/>
    <x v="4"/>
    <x v="0"/>
    <x v="2"/>
    <x v="737"/>
    <x v="754"/>
    <x v="1"/>
    <x v="47"/>
    <x v="158"/>
    <x v="1"/>
    <x v="0"/>
    <x v="4"/>
    <x v="74"/>
    <x v="0"/>
    <x v="2"/>
    <x v="1"/>
    <x v="367"/>
    <x v="283"/>
    <x v="87"/>
    <x v="168"/>
    <x v="150"/>
  </r>
  <r>
    <x v="969"/>
    <x v="46"/>
    <x v="1"/>
    <x v="1"/>
    <x v="1"/>
    <x v="0"/>
    <x v="18"/>
    <x v="2"/>
    <x v="1"/>
    <x v="738"/>
    <x v="755"/>
    <x v="3"/>
    <x v="6"/>
    <x v="162"/>
    <x v="3"/>
    <x v="1"/>
    <x v="1"/>
    <x v="48"/>
    <x v="1"/>
    <x v="1"/>
    <x v="1"/>
    <x v="368"/>
    <x v="291"/>
    <x v="40"/>
    <x v="7"/>
    <x v="90"/>
  </r>
  <r>
    <x v="970"/>
    <x v="22"/>
    <x v="1"/>
    <x v="0"/>
    <x v="3"/>
    <x v="0"/>
    <x v="12"/>
    <x v="0"/>
    <x v="3"/>
    <x v="739"/>
    <x v="756"/>
    <x v="0"/>
    <x v="0"/>
    <x v="26"/>
    <x v="0"/>
    <x v="0"/>
    <x v="2"/>
    <x v="64"/>
    <x v="0"/>
    <x v="4"/>
    <x v="0"/>
    <x v="203"/>
    <x v="173"/>
    <x v="90"/>
    <x v="92"/>
    <x v="53"/>
  </r>
  <r>
    <x v="971"/>
    <x v="58"/>
    <x v="2"/>
    <x v="1"/>
    <x v="4"/>
    <x v="0"/>
    <x v="6"/>
    <x v="2"/>
    <x v="2"/>
    <x v="740"/>
    <x v="757"/>
    <x v="2"/>
    <x v="9"/>
    <x v="172"/>
    <x v="2"/>
    <x v="0"/>
    <x v="3"/>
    <x v="141"/>
    <x v="0"/>
    <x v="4"/>
    <x v="0"/>
    <x v="257"/>
    <x v="361"/>
    <x v="84"/>
    <x v="155"/>
    <x v="23"/>
  </r>
  <r>
    <x v="972"/>
    <x v="41"/>
    <x v="1"/>
    <x v="0"/>
    <x v="1"/>
    <x v="2"/>
    <x v="5"/>
    <x v="3"/>
    <x v="3"/>
    <x v="741"/>
    <x v="450"/>
    <x v="3"/>
    <x v="6"/>
    <x v="150"/>
    <x v="3"/>
    <x v="0"/>
    <x v="2"/>
    <x v="113"/>
    <x v="0"/>
    <x v="2"/>
    <x v="0"/>
    <x v="245"/>
    <x v="280"/>
    <x v="34"/>
    <x v="52"/>
    <x v="125"/>
  </r>
  <r>
    <x v="973"/>
    <x v="2"/>
    <x v="0"/>
    <x v="1"/>
    <x v="4"/>
    <x v="0"/>
    <x v="10"/>
    <x v="2"/>
    <x v="3"/>
    <x v="742"/>
    <x v="758"/>
    <x v="0"/>
    <x v="24"/>
    <x v="32"/>
    <x v="0"/>
    <x v="1"/>
    <x v="2"/>
    <x v="46"/>
    <x v="1"/>
    <x v="0"/>
    <x v="0"/>
    <x v="40"/>
    <x v="105"/>
    <x v="18"/>
    <x v="35"/>
    <x v="67"/>
  </r>
  <r>
    <x v="974"/>
    <x v="46"/>
    <x v="1"/>
    <x v="3"/>
    <x v="4"/>
    <x v="4"/>
    <x v="14"/>
    <x v="2"/>
    <x v="2"/>
    <x v="242"/>
    <x v="117"/>
    <x v="1"/>
    <x v="9"/>
    <x v="123"/>
    <x v="1"/>
    <x v="2"/>
    <x v="0"/>
    <x v="12"/>
    <x v="1"/>
    <x v="4"/>
    <x v="0"/>
    <x v="234"/>
    <x v="61"/>
    <x v="13"/>
    <x v="136"/>
    <x v="31"/>
  </r>
  <r>
    <x v="975"/>
    <x v="34"/>
    <x v="0"/>
    <x v="0"/>
    <x v="0"/>
    <x v="0"/>
    <x v="13"/>
    <x v="3"/>
    <x v="0"/>
    <x v="88"/>
    <x v="759"/>
    <x v="2"/>
    <x v="16"/>
    <x v="169"/>
    <x v="2"/>
    <x v="2"/>
    <x v="1"/>
    <x v="138"/>
    <x v="1"/>
    <x v="1"/>
    <x v="1"/>
    <x v="50"/>
    <x v="141"/>
    <x v="42"/>
    <x v="0"/>
    <x v="62"/>
  </r>
  <r>
    <x v="976"/>
    <x v="26"/>
    <x v="2"/>
    <x v="0"/>
    <x v="3"/>
    <x v="0"/>
    <x v="13"/>
    <x v="1"/>
    <x v="1"/>
    <x v="115"/>
    <x v="635"/>
    <x v="0"/>
    <x v="63"/>
    <x v="8"/>
    <x v="0"/>
    <x v="1"/>
    <x v="1"/>
    <x v="103"/>
    <x v="1"/>
    <x v="2"/>
    <x v="1"/>
    <x v="61"/>
    <x v="230"/>
    <x v="40"/>
    <x v="65"/>
    <x v="129"/>
  </r>
  <r>
    <x v="977"/>
    <x v="16"/>
    <x v="1"/>
    <x v="3"/>
    <x v="0"/>
    <x v="2"/>
    <x v="7"/>
    <x v="2"/>
    <x v="0"/>
    <x v="602"/>
    <x v="286"/>
    <x v="0"/>
    <x v="31"/>
    <x v="15"/>
    <x v="0"/>
    <x v="1"/>
    <x v="1"/>
    <x v="37"/>
    <x v="1"/>
    <x v="4"/>
    <x v="0"/>
    <x v="260"/>
    <x v="143"/>
    <x v="4"/>
    <x v="125"/>
    <x v="5"/>
  </r>
  <r>
    <x v="978"/>
    <x v="66"/>
    <x v="1"/>
    <x v="1"/>
    <x v="3"/>
    <x v="0"/>
    <x v="15"/>
    <x v="0"/>
    <x v="0"/>
    <x v="526"/>
    <x v="545"/>
    <x v="3"/>
    <x v="71"/>
    <x v="41"/>
    <x v="3"/>
    <x v="1"/>
    <x v="3"/>
    <x v="63"/>
    <x v="1"/>
    <x v="4"/>
    <x v="1"/>
    <x v="18"/>
    <x v="313"/>
    <x v="67"/>
    <x v="56"/>
    <x v="118"/>
  </r>
  <r>
    <x v="979"/>
    <x v="20"/>
    <x v="0"/>
    <x v="4"/>
    <x v="1"/>
    <x v="2"/>
    <x v="5"/>
    <x v="0"/>
    <x v="1"/>
    <x v="743"/>
    <x v="269"/>
    <x v="0"/>
    <x v="5"/>
    <x v="150"/>
    <x v="0"/>
    <x v="1"/>
    <x v="0"/>
    <x v="86"/>
    <x v="1"/>
    <x v="2"/>
    <x v="1"/>
    <x v="69"/>
    <x v="111"/>
    <x v="83"/>
    <x v="64"/>
    <x v="5"/>
  </r>
  <r>
    <x v="980"/>
    <x v="44"/>
    <x v="1"/>
    <x v="0"/>
    <x v="0"/>
    <x v="0"/>
    <x v="13"/>
    <x v="3"/>
    <x v="3"/>
    <x v="402"/>
    <x v="760"/>
    <x v="3"/>
    <x v="3"/>
    <x v="173"/>
    <x v="3"/>
    <x v="0"/>
    <x v="2"/>
    <x v="83"/>
    <x v="0"/>
    <x v="3"/>
    <x v="0"/>
    <x v="369"/>
    <x v="257"/>
    <x v="78"/>
    <x v="81"/>
    <x v="11"/>
  </r>
  <r>
    <x v="981"/>
    <x v="65"/>
    <x v="0"/>
    <x v="2"/>
    <x v="3"/>
    <x v="4"/>
    <x v="0"/>
    <x v="0"/>
    <x v="2"/>
    <x v="744"/>
    <x v="427"/>
    <x v="0"/>
    <x v="59"/>
    <x v="54"/>
    <x v="0"/>
    <x v="0"/>
    <x v="4"/>
    <x v="93"/>
    <x v="0"/>
    <x v="3"/>
    <x v="0"/>
    <x v="119"/>
    <x v="257"/>
    <x v="71"/>
    <x v="101"/>
    <x v="113"/>
  </r>
  <r>
    <x v="982"/>
    <x v="24"/>
    <x v="0"/>
    <x v="4"/>
    <x v="2"/>
    <x v="2"/>
    <x v="10"/>
    <x v="2"/>
    <x v="2"/>
    <x v="745"/>
    <x v="761"/>
    <x v="3"/>
    <x v="41"/>
    <x v="1"/>
    <x v="3"/>
    <x v="0"/>
    <x v="0"/>
    <x v="138"/>
    <x v="0"/>
    <x v="3"/>
    <x v="1"/>
    <x v="220"/>
    <x v="266"/>
    <x v="55"/>
    <x v="151"/>
    <x v="2"/>
  </r>
  <r>
    <x v="983"/>
    <x v="11"/>
    <x v="0"/>
    <x v="4"/>
    <x v="1"/>
    <x v="4"/>
    <x v="7"/>
    <x v="3"/>
    <x v="1"/>
    <x v="746"/>
    <x v="170"/>
    <x v="3"/>
    <x v="9"/>
    <x v="6"/>
    <x v="3"/>
    <x v="1"/>
    <x v="3"/>
    <x v="25"/>
    <x v="1"/>
    <x v="3"/>
    <x v="1"/>
    <x v="279"/>
    <x v="362"/>
    <x v="0"/>
    <x v="141"/>
    <x v="96"/>
  </r>
  <r>
    <x v="984"/>
    <x v="54"/>
    <x v="2"/>
    <x v="3"/>
    <x v="0"/>
    <x v="5"/>
    <x v="11"/>
    <x v="2"/>
    <x v="3"/>
    <x v="747"/>
    <x v="181"/>
    <x v="2"/>
    <x v="3"/>
    <x v="9"/>
    <x v="2"/>
    <x v="1"/>
    <x v="0"/>
    <x v="135"/>
    <x v="1"/>
    <x v="4"/>
    <x v="1"/>
    <x v="174"/>
    <x v="363"/>
    <x v="84"/>
    <x v="40"/>
    <x v="75"/>
  </r>
  <r>
    <x v="985"/>
    <x v="37"/>
    <x v="2"/>
    <x v="2"/>
    <x v="4"/>
    <x v="1"/>
    <x v="0"/>
    <x v="2"/>
    <x v="3"/>
    <x v="748"/>
    <x v="762"/>
    <x v="3"/>
    <x v="48"/>
    <x v="158"/>
    <x v="3"/>
    <x v="2"/>
    <x v="3"/>
    <x v="124"/>
    <x v="1"/>
    <x v="0"/>
    <x v="1"/>
    <x v="173"/>
    <x v="358"/>
    <x v="7"/>
    <x v="177"/>
    <x v="118"/>
  </r>
  <r>
    <x v="986"/>
    <x v="33"/>
    <x v="2"/>
    <x v="4"/>
    <x v="3"/>
    <x v="1"/>
    <x v="7"/>
    <x v="3"/>
    <x v="1"/>
    <x v="749"/>
    <x v="242"/>
    <x v="0"/>
    <x v="9"/>
    <x v="56"/>
    <x v="0"/>
    <x v="2"/>
    <x v="2"/>
    <x v="22"/>
    <x v="1"/>
    <x v="1"/>
    <x v="1"/>
    <x v="303"/>
    <x v="113"/>
    <x v="23"/>
    <x v="83"/>
    <x v="57"/>
  </r>
  <r>
    <x v="987"/>
    <x v="52"/>
    <x v="1"/>
    <x v="2"/>
    <x v="0"/>
    <x v="2"/>
    <x v="2"/>
    <x v="1"/>
    <x v="0"/>
    <x v="750"/>
    <x v="763"/>
    <x v="3"/>
    <x v="6"/>
    <x v="189"/>
    <x v="3"/>
    <x v="0"/>
    <x v="2"/>
    <x v="136"/>
    <x v="0"/>
    <x v="4"/>
    <x v="1"/>
    <x v="370"/>
    <x v="24"/>
    <x v="59"/>
    <x v="61"/>
    <x v="4"/>
  </r>
  <r>
    <x v="988"/>
    <x v="47"/>
    <x v="0"/>
    <x v="2"/>
    <x v="1"/>
    <x v="0"/>
    <x v="18"/>
    <x v="2"/>
    <x v="2"/>
    <x v="751"/>
    <x v="764"/>
    <x v="3"/>
    <x v="51"/>
    <x v="182"/>
    <x v="3"/>
    <x v="2"/>
    <x v="0"/>
    <x v="142"/>
    <x v="1"/>
    <x v="4"/>
    <x v="1"/>
    <x v="16"/>
    <x v="333"/>
    <x v="12"/>
    <x v="134"/>
    <x v="119"/>
  </r>
  <r>
    <x v="989"/>
    <x v="46"/>
    <x v="1"/>
    <x v="3"/>
    <x v="4"/>
    <x v="1"/>
    <x v="16"/>
    <x v="1"/>
    <x v="0"/>
    <x v="405"/>
    <x v="548"/>
    <x v="2"/>
    <x v="62"/>
    <x v="40"/>
    <x v="2"/>
    <x v="2"/>
    <x v="3"/>
    <x v="20"/>
    <x v="1"/>
    <x v="4"/>
    <x v="0"/>
    <x v="129"/>
    <x v="61"/>
    <x v="35"/>
    <x v="145"/>
    <x v="16"/>
  </r>
  <r>
    <x v="990"/>
    <x v="59"/>
    <x v="0"/>
    <x v="2"/>
    <x v="3"/>
    <x v="0"/>
    <x v="5"/>
    <x v="2"/>
    <x v="3"/>
    <x v="83"/>
    <x v="765"/>
    <x v="2"/>
    <x v="6"/>
    <x v="48"/>
    <x v="2"/>
    <x v="2"/>
    <x v="3"/>
    <x v="105"/>
    <x v="1"/>
    <x v="0"/>
    <x v="0"/>
    <x v="280"/>
    <x v="103"/>
    <x v="22"/>
    <x v="40"/>
    <x v="78"/>
  </r>
  <r>
    <x v="991"/>
    <x v="45"/>
    <x v="2"/>
    <x v="0"/>
    <x v="0"/>
    <x v="5"/>
    <x v="13"/>
    <x v="0"/>
    <x v="1"/>
    <x v="187"/>
    <x v="20"/>
    <x v="3"/>
    <x v="6"/>
    <x v="37"/>
    <x v="3"/>
    <x v="0"/>
    <x v="1"/>
    <x v="93"/>
    <x v="0"/>
    <x v="4"/>
    <x v="0"/>
    <x v="314"/>
    <x v="270"/>
    <x v="88"/>
    <x v="170"/>
    <x v="145"/>
  </r>
  <r>
    <x v="992"/>
    <x v="43"/>
    <x v="1"/>
    <x v="0"/>
    <x v="0"/>
    <x v="0"/>
    <x v="18"/>
    <x v="3"/>
    <x v="2"/>
    <x v="752"/>
    <x v="766"/>
    <x v="2"/>
    <x v="6"/>
    <x v="189"/>
    <x v="2"/>
    <x v="0"/>
    <x v="3"/>
    <x v="75"/>
    <x v="0"/>
    <x v="4"/>
    <x v="0"/>
    <x v="90"/>
    <x v="133"/>
    <x v="32"/>
    <x v="82"/>
    <x v="87"/>
  </r>
  <r>
    <x v="993"/>
    <x v="38"/>
    <x v="1"/>
    <x v="3"/>
    <x v="3"/>
    <x v="4"/>
    <x v="3"/>
    <x v="3"/>
    <x v="1"/>
    <x v="274"/>
    <x v="113"/>
    <x v="2"/>
    <x v="28"/>
    <x v="193"/>
    <x v="2"/>
    <x v="0"/>
    <x v="0"/>
    <x v="18"/>
    <x v="0"/>
    <x v="4"/>
    <x v="0"/>
    <x v="288"/>
    <x v="129"/>
    <x v="77"/>
    <x v="4"/>
    <x v="36"/>
  </r>
  <r>
    <x v="994"/>
    <x v="58"/>
    <x v="0"/>
    <x v="1"/>
    <x v="2"/>
    <x v="0"/>
    <x v="3"/>
    <x v="1"/>
    <x v="3"/>
    <x v="133"/>
    <x v="670"/>
    <x v="3"/>
    <x v="54"/>
    <x v="37"/>
    <x v="3"/>
    <x v="2"/>
    <x v="0"/>
    <x v="125"/>
    <x v="1"/>
    <x v="0"/>
    <x v="1"/>
    <x v="220"/>
    <x v="49"/>
    <x v="56"/>
    <x v="157"/>
    <x v="94"/>
  </r>
  <r>
    <x v="995"/>
    <x v="51"/>
    <x v="1"/>
    <x v="0"/>
    <x v="2"/>
    <x v="1"/>
    <x v="19"/>
    <x v="2"/>
    <x v="1"/>
    <x v="753"/>
    <x v="767"/>
    <x v="3"/>
    <x v="0"/>
    <x v="84"/>
    <x v="3"/>
    <x v="1"/>
    <x v="3"/>
    <x v="115"/>
    <x v="1"/>
    <x v="1"/>
    <x v="1"/>
    <x v="210"/>
    <x v="330"/>
    <x v="86"/>
    <x v="171"/>
    <x v="162"/>
  </r>
  <r>
    <x v="996"/>
    <x v="52"/>
    <x v="2"/>
    <x v="4"/>
    <x v="3"/>
    <x v="0"/>
    <x v="9"/>
    <x v="2"/>
    <x v="1"/>
    <x v="413"/>
    <x v="768"/>
    <x v="3"/>
    <x v="4"/>
    <x v="74"/>
    <x v="3"/>
    <x v="0"/>
    <x v="4"/>
    <x v="106"/>
    <x v="0"/>
    <x v="4"/>
    <x v="1"/>
    <x v="6"/>
    <x v="78"/>
    <x v="71"/>
    <x v="119"/>
    <x v="90"/>
  </r>
  <r>
    <x v="997"/>
    <x v="24"/>
    <x v="1"/>
    <x v="2"/>
    <x v="1"/>
    <x v="0"/>
    <x v="0"/>
    <x v="0"/>
    <x v="0"/>
    <x v="671"/>
    <x v="769"/>
    <x v="1"/>
    <x v="84"/>
    <x v="109"/>
    <x v="1"/>
    <x v="1"/>
    <x v="0"/>
    <x v="86"/>
    <x v="1"/>
    <x v="0"/>
    <x v="0"/>
    <x v="333"/>
    <x v="110"/>
    <x v="9"/>
    <x v="51"/>
    <x v="130"/>
  </r>
  <r>
    <x v="998"/>
    <x v="27"/>
    <x v="2"/>
    <x v="3"/>
    <x v="1"/>
    <x v="5"/>
    <x v="5"/>
    <x v="0"/>
    <x v="2"/>
    <x v="754"/>
    <x v="770"/>
    <x v="1"/>
    <x v="12"/>
    <x v="31"/>
    <x v="1"/>
    <x v="2"/>
    <x v="0"/>
    <x v="3"/>
    <x v="1"/>
    <x v="1"/>
    <x v="0"/>
    <x v="371"/>
    <x v="364"/>
    <x v="41"/>
    <x v="102"/>
    <x v="72"/>
  </r>
  <r>
    <x v="999"/>
    <x v="64"/>
    <x v="2"/>
    <x v="2"/>
    <x v="2"/>
    <x v="0"/>
    <x v="17"/>
    <x v="3"/>
    <x v="2"/>
    <x v="755"/>
    <x v="541"/>
    <x v="2"/>
    <x v="6"/>
    <x v="1"/>
    <x v="2"/>
    <x v="1"/>
    <x v="3"/>
    <x v="135"/>
    <x v="1"/>
    <x v="2"/>
    <x v="0"/>
    <x v="88"/>
    <x v="162"/>
    <x v="64"/>
    <x v="59"/>
    <x v="55"/>
  </r>
  <r>
    <x v="1000"/>
    <x v="68"/>
    <x v="3"/>
    <x v="5"/>
    <x v="5"/>
    <x v="6"/>
    <x v="20"/>
    <x v="4"/>
    <x v="4"/>
    <x v="756"/>
    <x v="771"/>
    <x v="4"/>
    <x v="85"/>
    <x v="197"/>
    <x v="4"/>
    <x v="3"/>
    <x v="5"/>
    <x v="151"/>
    <x v="2"/>
    <x v="5"/>
    <x v="2"/>
    <x v="372"/>
    <x v="365"/>
    <x v="91"/>
    <x v="180"/>
    <x v="1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x v="0"/>
  </r>
  <r>
    <x v="1"/>
  </r>
  <r>
    <x v="1"/>
  </r>
  <r>
    <x v="2"/>
  </r>
  <r>
    <x v="1"/>
  </r>
  <r>
    <x v="2"/>
  </r>
  <r>
    <x v="1"/>
  </r>
  <r>
    <x v="0"/>
  </r>
  <r>
    <x v="1"/>
  </r>
  <r>
    <x v="0"/>
  </r>
  <r>
    <x v="0"/>
  </r>
  <r>
    <x v="1"/>
  </r>
  <r>
    <x v="0"/>
  </r>
  <r>
    <x v="2"/>
  </r>
  <r>
    <x v="0"/>
  </r>
  <r>
    <x v="2"/>
  </r>
  <r>
    <x v="0"/>
  </r>
  <r>
    <x v="1"/>
  </r>
  <r>
    <x v="2"/>
  </r>
  <r>
    <x v="0"/>
  </r>
  <r>
    <x v="2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1"/>
  </r>
  <r>
    <x v="0"/>
  </r>
  <r>
    <x v="2"/>
  </r>
  <r>
    <x v="1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2"/>
  </r>
  <r>
    <x v="0"/>
  </r>
  <r>
    <x v="2"/>
  </r>
  <r>
    <x v="1"/>
  </r>
  <r>
    <x v="1"/>
  </r>
  <r>
    <x v="2"/>
  </r>
  <r>
    <x v="0"/>
  </r>
  <r>
    <x v="0"/>
  </r>
  <r>
    <x v="2"/>
  </r>
  <r>
    <x v="1"/>
  </r>
  <r>
    <x v="2"/>
  </r>
  <r>
    <x v="1"/>
  </r>
  <r>
    <x v="2"/>
  </r>
  <r>
    <x v="2"/>
  </r>
  <r>
    <x v="0"/>
  </r>
  <r>
    <x v="1"/>
  </r>
  <r>
    <x v="2"/>
  </r>
  <r>
    <x v="1"/>
  </r>
  <r>
    <x v="2"/>
  </r>
  <r>
    <x v="1"/>
  </r>
  <r>
    <x v="1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1"/>
  </r>
  <r>
    <x v="1"/>
  </r>
  <r>
    <x v="0"/>
  </r>
  <r>
    <x v="0"/>
  </r>
  <r>
    <x v="1"/>
  </r>
  <r>
    <x v="2"/>
  </r>
  <r>
    <x v="0"/>
  </r>
  <r>
    <x v="0"/>
  </r>
  <r>
    <x v="1"/>
  </r>
  <r>
    <x v="0"/>
  </r>
  <r>
    <x v="2"/>
  </r>
  <r>
    <x v="1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1"/>
  </r>
  <r>
    <x v="2"/>
  </r>
  <r>
    <x v="1"/>
  </r>
  <r>
    <x v="2"/>
  </r>
  <r>
    <x v="0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2"/>
  </r>
  <r>
    <x v="1"/>
  </r>
  <r>
    <x v="1"/>
  </r>
  <r>
    <x v="0"/>
  </r>
  <r>
    <x v="1"/>
  </r>
  <r>
    <x v="2"/>
  </r>
  <r>
    <x v="1"/>
  </r>
  <r>
    <x v="1"/>
  </r>
  <r>
    <x v="2"/>
  </r>
  <r>
    <x v="2"/>
  </r>
  <r>
    <x v="0"/>
  </r>
  <r>
    <x v="1"/>
  </r>
  <r>
    <x v="1"/>
  </r>
  <r>
    <x v="2"/>
  </r>
  <r>
    <x v="1"/>
  </r>
  <r>
    <x v="0"/>
  </r>
  <r>
    <x v="2"/>
  </r>
  <r>
    <x v="0"/>
  </r>
  <r>
    <x v="2"/>
  </r>
  <r>
    <x v="0"/>
  </r>
  <r>
    <x v="1"/>
  </r>
  <r>
    <x v="2"/>
  </r>
  <r>
    <x v="2"/>
  </r>
  <r>
    <x v="1"/>
  </r>
  <r>
    <x v="2"/>
  </r>
  <r>
    <x v="2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2"/>
  </r>
  <r>
    <x v="1"/>
  </r>
  <r>
    <x v="2"/>
  </r>
  <r>
    <x v="1"/>
  </r>
  <r>
    <x v="2"/>
  </r>
  <r>
    <x v="0"/>
  </r>
  <r>
    <x v="0"/>
  </r>
  <r>
    <x v="2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1"/>
  </r>
  <r>
    <x v="2"/>
  </r>
  <r>
    <x v="0"/>
  </r>
  <r>
    <x v="2"/>
  </r>
  <r>
    <x v="0"/>
  </r>
  <r>
    <x v="2"/>
  </r>
  <r>
    <x v="1"/>
  </r>
  <r>
    <x v="1"/>
  </r>
  <r>
    <x v="2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1"/>
  </r>
  <r>
    <x v="1"/>
  </r>
  <r>
    <x v="0"/>
  </r>
  <r>
    <x v="1"/>
  </r>
  <r>
    <x v="2"/>
  </r>
  <r>
    <x v="1"/>
  </r>
  <r>
    <x v="2"/>
  </r>
  <r>
    <x v="1"/>
  </r>
  <r>
    <x v="2"/>
  </r>
  <r>
    <x v="1"/>
  </r>
  <r>
    <x v="0"/>
  </r>
  <r>
    <x v="2"/>
  </r>
  <r>
    <x v="1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1"/>
  </r>
  <r>
    <x v="0"/>
  </r>
  <r>
    <x v="1"/>
  </r>
  <r>
    <x v="2"/>
  </r>
  <r>
    <x v="0"/>
  </r>
  <r>
    <x v="2"/>
  </r>
  <r>
    <x v="0"/>
  </r>
  <r>
    <x v="0"/>
  </r>
  <r>
    <x v="0"/>
  </r>
  <r>
    <x v="2"/>
  </r>
  <r>
    <x v="2"/>
  </r>
  <r>
    <x v="1"/>
  </r>
  <r>
    <x v="1"/>
  </r>
  <r>
    <x v="1"/>
  </r>
  <r>
    <x v="0"/>
  </r>
  <r>
    <x v="0"/>
  </r>
  <r>
    <x v="2"/>
  </r>
  <r>
    <x v="1"/>
  </r>
  <r>
    <x v="2"/>
  </r>
  <r>
    <x v="0"/>
  </r>
  <r>
    <x v="1"/>
  </r>
  <r>
    <x v="0"/>
  </r>
  <r>
    <x v="2"/>
  </r>
  <r>
    <x v="1"/>
  </r>
  <r>
    <x v="0"/>
  </r>
  <r>
    <x v="2"/>
  </r>
  <r>
    <x v="0"/>
  </r>
  <r>
    <x v="1"/>
  </r>
  <r>
    <x v="2"/>
  </r>
  <r>
    <x v="2"/>
  </r>
  <r>
    <x v="2"/>
  </r>
  <r>
    <x v="1"/>
  </r>
  <r>
    <x v="0"/>
  </r>
  <r>
    <x v="0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2"/>
  </r>
  <r>
    <x v="1"/>
  </r>
  <r>
    <x v="0"/>
  </r>
  <r>
    <x v="1"/>
  </r>
  <r>
    <x v="0"/>
  </r>
  <r>
    <x v="2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1"/>
  </r>
  <r>
    <x v="2"/>
  </r>
  <r>
    <x v="0"/>
  </r>
  <r>
    <x v="0"/>
  </r>
  <r>
    <x v="1"/>
  </r>
  <r>
    <x v="2"/>
  </r>
  <r>
    <x v="1"/>
  </r>
  <r>
    <x v="1"/>
  </r>
  <r>
    <x v="2"/>
  </r>
  <r>
    <x v="2"/>
  </r>
  <r>
    <x v="1"/>
  </r>
  <r>
    <x v="2"/>
  </r>
  <r>
    <x v="2"/>
  </r>
  <r>
    <x v="1"/>
  </r>
  <r>
    <x v="0"/>
  </r>
  <r>
    <x v="1"/>
  </r>
  <r>
    <x v="0"/>
  </r>
  <r>
    <x v="1"/>
  </r>
  <r>
    <x v="1"/>
  </r>
  <r>
    <x v="0"/>
  </r>
  <r>
    <x v="1"/>
  </r>
  <r>
    <x v="2"/>
  </r>
  <r>
    <x v="2"/>
  </r>
  <r>
    <x v="0"/>
  </r>
  <r>
    <x v="1"/>
  </r>
  <r>
    <x v="1"/>
  </r>
  <r>
    <x v="2"/>
  </r>
  <r>
    <x v="2"/>
  </r>
  <r>
    <x v="0"/>
  </r>
  <r>
    <x v="2"/>
  </r>
  <r>
    <x v="0"/>
  </r>
  <r>
    <x v="0"/>
  </r>
  <r>
    <x v="1"/>
  </r>
  <r>
    <x v="0"/>
  </r>
  <r>
    <x v="0"/>
  </r>
  <r>
    <x v="2"/>
  </r>
  <r>
    <x v="0"/>
  </r>
  <r>
    <x v="2"/>
  </r>
  <r>
    <x v="1"/>
  </r>
  <r>
    <x v="1"/>
  </r>
  <r>
    <x v="0"/>
  </r>
  <r>
    <x v="2"/>
  </r>
  <r>
    <x v="0"/>
  </r>
  <r>
    <x v="1"/>
  </r>
  <r>
    <x v="2"/>
  </r>
  <r>
    <x v="1"/>
  </r>
  <r>
    <x v="1"/>
  </r>
  <r>
    <x v="0"/>
  </r>
  <r>
    <x v="1"/>
  </r>
  <r>
    <x v="1"/>
  </r>
  <r>
    <x v="2"/>
  </r>
  <r>
    <x v="0"/>
  </r>
  <r>
    <x v="2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1"/>
  </r>
  <r>
    <x v="1"/>
  </r>
  <r>
    <x v="0"/>
  </r>
  <r>
    <x v="1"/>
  </r>
  <r>
    <x v="0"/>
  </r>
  <r>
    <x v="2"/>
  </r>
  <r>
    <x v="1"/>
  </r>
  <r>
    <x v="0"/>
  </r>
  <r>
    <x v="2"/>
  </r>
  <r>
    <x v="1"/>
  </r>
  <r>
    <x v="0"/>
  </r>
  <r>
    <x v="0"/>
  </r>
  <r>
    <x v="2"/>
  </r>
  <r>
    <x v="1"/>
  </r>
  <r>
    <x v="2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0"/>
  </r>
  <r>
    <x v="2"/>
  </r>
  <r>
    <x v="2"/>
  </r>
  <r>
    <x v="2"/>
  </r>
  <r>
    <x v="2"/>
  </r>
  <r>
    <x v="1"/>
  </r>
  <r>
    <x v="2"/>
  </r>
  <r>
    <x v="1"/>
  </r>
  <r>
    <x v="1"/>
  </r>
  <r>
    <x v="2"/>
  </r>
  <r>
    <x v="0"/>
  </r>
  <r>
    <x v="0"/>
  </r>
  <r>
    <x v="2"/>
  </r>
  <r>
    <x v="0"/>
  </r>
  <r>
    <x v="1"/>
  </r>
  <r>
    <x v="2"/>
  </r>
  <r>
    <x v="0"/>
  </r>
  <r>
    <x v="2"/>
  </r>
  <r>
    <x v="0"/>
  </r>
  <r>
    <x v="0"/>
  </r>
  <r>
    <x v="1"/>
  </r>
  <r>
    <x v="2"/>
  </r>
  <r>
    <x v="0"/>
  </r>
  <r>
    <x v="0"/>
  </r>
  <r>
    <x v="1"/>
  </r>
  <r>
    <x v="1"/>
  </r>
  <r>
    <x v="1"/>
  </r>
  <r>
    <x v="2"/>
  </r>
  <r>
    <x v="1"/>
  </r>
  <r>
    <x v="1"/>
  </r>
  <r>
    <x v="0"/>
  </r>
  <r>
    <x v="2"/>
  </r>
  <r>
    <x v="2"/>
  </r>
  <r>
    <x v="1"/>
  </r>
  <r>
    <x v="0"/>
  </r>
  <r>
    <x v="2"/>
  </r>
  <r>
    <x v="1"/>
  </r>
  <r>
    <x v="1"/>
  </r>
  <r>
    <x v="0"/>
  </r>
  <r>
    <x v="2"/>
  </r>
  <r>
    <x v="2"/>
  </r>
  <r>
    <x v="1"/>
  </r>
  <r>
    <x v="2"/>
  </r>
  <r>
    <x v="1"/>
  </r>
  <r>
    <x v="0"/>
  </r>
  <r>
    <x v="2"/>
  </r>
  <r>
    <x v="0"/>
  </r>
  <r>
    <x v="0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1"/>
  </r>
  <r>
    <x v="2"/>
  </r>
  <r>
    <x v="2"/>
  </r>
  <r>
    <x v="2"/>
  </r>
  <r>
    <x v="2"/>
  </r>
  <r>
    <x v="2"/>
  </r>
  <r>
    <x v="0"/>
  </r>
  <r>
    <x v="0"/>
  </r>
  <r>
    <x v="2"/>
  </r>
  <r>
    <x v="1"/>
  </r>
  <r>
    <x v="1"/>
  </r>
  <r>
    <x v="2"/>
  </r>
  <r>
    <x v="0"/>
  </r>
  <r>
    <x v="1"/>
  </r>
  <r>
    <x v="2"/>
  </r>
  <r>
    <x v="1"/>
  </r>
  <r>
    <x v="2"/>
  </r>
  <r>
    <x v="1"/>
  </r>
  <r>
    <x v="2"/>
  </r>
  <r>
    <x v="1"/>
  </r>
  <r>
    <x v="1"/>
  </r>
  <r>
    <x v="0"/>
  </r>
  <r>
    <x v="2"/>
  </r>
  <r>
    <x v="2"/>
  </r>
  <r>
    <x v="2"/>
  </r>
  <r>
    <x v="2"/>
  </r>
  <r>
    <x v="2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0"/>
  </r>
  <r>
    <x v="2"/>
  </r>
  <r>
    <x v="1"/>
  </r>
  <r>
    <x v="2"/>
  </r>
  <r>
    <x v="0"/>
  </r>
  <r>
    <x v="0"/>
  </r>
  <r>
    <x v="0"/>
  </r>
  <r>
    <x v="2"/>
  </r>
  <r>
    <x v="1"/>
  </r>
  <r>
    <x v="2"/>
  </r>
  <r>
    <x v="1"/>
  </r>
  <r>
    <x v="0"/>
  </r>
  <r>
    <x v="0"/>
  </r>
  <r>
    <x v="2"/>
  </r>
  <r>
    <x v="0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0"/>
  </r>
  <r>
    <x v="2"/>
  </r>
  <r>
    <x v="1"/>
  </r>
  <r>
    <x v="2"/>
  </r>
  <r>
    <x v="2"/>
  </r>
  <r>
    <x v="2"/>
  </r>
  <r>
    <x v="1"/>
  </r>
  <r>
    <x v="1"/>
  </r>
  <r>
    <x v="2"/>
  </r>
  <r>
    <x v="1"/>
  </r>
  <r>
    <x v="0"/>
  </r>
  <r>
    <x v="0"/>
  </r>
  <r>
    <x v="2"/>
  </r>
  <r>
    <x v="2"/>
  </r>
  <r>
    <x v="1"/>
  </r>
  <r>
    <x v="0"/>
  </r>
  <r>
    <x v="2"/>
  </r>
  <r>
    <x v="0"/>
  </r>
  <r>
    <x v="1"/>
  </r>
  <r>
    <x v="1"/>
  </r>
  <r>
    <x v="2"/>
  </r>
  <r>
    <x v="0"/>
  </r>
  <r>
    <x v="2"/>
  </r>
  <r>
    <x v="0"/>
  </r>
  <r>
    <x v="1"/>
  </r>
  <r>
    <x v="0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2"/>
  </r>
  <r>
    <x v="1"/>
  </r>
  <r>
    <x v="2"/>
  </r>
  <r>
    <x v="1"/>
  </r>
  <r>
    <x v="1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1"/>
  </r>
  <r>
    <x v="1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2"/>
  </r>
  <r>
    <x v="2"/>
  </r>
  <r>
    <x v="1"/>
  </r>
  <r>
    <x v="1"/>
  </r>
  <r>
    <x v="0"/>
  </r>
  <r>
    <x v="0"/>
  </r>
  <r>
    <x v="2"/>
  </r>
  <r>
    <x v="0"/>
  </r>
  <r>
    <x v="1"/>
  </r>
  <r>
    <x v="1"/>
  </r>
  <r>
    <x v="0"/>
  </r>
  <r>
    <x v="2"/>
  </r>
  <r>
    <x v="1"/>
  </r>
  <r>
    <x v="2"/>
  </r>
  <r>
    <x v="2"/>
  </r>
  <r>
    <x v="1"/>
  </r>
  <r>
    <x v="0"/>
  </r>
  <r>
    <x v="2"/>
  </r>
  <r>
    <x v="0"/>
  </r>
  <r>
    <x v="1"/>
  </r>
  <r>
    <x v="1"/>
  </r>
  <r>
    <x v="0"/>
  </r>
  <r>
    <x v="0"/>
  </r>
  <r>
    <x v="0"/>
  </r>
  <r>
    <x v="0"/>
  </r>
  <r>
    <x v="1"/>
  </r>
  <r>
    <x v="2"/>
  </r>
  <r>
    <x v="0"/>
  </r>
  <r>
    <x v="1"/>
  </r>
  <r>
    <x v="1"/>
  </r>
  <r>
    <x v="1"/>
  </r>
  <r>
    <x v="2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2"/>
  </r>
  <r>
    <x v="2"/>
  </r>
  <r>
    <x v="1"/>
  </r>
  <r>
    <x v="0"/>
  </r>
  <r>
    <x v="0"/>
  </r>
  <r>
    <x v="0"/>
  </r>
  <r>
    <x v="2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0"/>
  </r>
  <r>
    <x v="2"/>
  </r>
  <r>
    <x v="0"/>
  </r>
  <r>
    <x v="0"/>
  </r>
  <r>
    <x v="1"/>
  </r>
  <r>
    <x v="2"/>
  </r>
  <r>
    <x v="1"/>
  </r>
  <r>
    <x v="0"/>
  </r>
  <r>
    <x v="0"/>
  </r>
  <r>
    <x v="2"/>
  </r>
  <r>
    <x v="2"/>
  </r>
  <r>
    <x v="0"/>
  </r>
  <r>
    <x v="0"/>
  </r>
  <r>
    <x v="1"/>
  </r>
  <r>
    <x v="2"/>
  </r>
  <r>
    <x v="1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1"/>
  </r>
  <r>
    <x v="0"/>
  </r>
  <r>
    <x v="0"/>
  </r>
  <r>
    <x v="0"/>
  </r>
  <r>
    <x v="2"/>
  </r>
  <r>
    <x v="1"/>
  </r>
  <r>
    <x v="2"/>
  </r>
  <r>
    <x v="0"/>
  </r>
  <r>
    <x v="2"/>
  </r>
  <r>
    <x v="0"/>
  </r>
  <r>
    <x v="1"/>
  </r>
  <r>
    <x v="1"/>
  </r>
  <r>
    <x v="1"/>
  </r>
  <r>
    <x v="1"/>
  </r>
  <r>
    <x v="0"/>
  </r>
  <r>
    <x v="2"/>
  </r>
  <r>
    <x v="0"/>
  </r>
  <r>
    <x v="2"/>
  </r>
  <r>
    <x v="2"/>
  </r>
  <r>
    <x v="0"/>
  </r>
  <r>
    <x v="0"/>
  </r>
  <r>
    <x v="0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1"/>
  </r>
  <r>
    <x v="0"/>
  </r>
  <r>
    <x v="1"/>
  </r>
  <r>
    <x v="2"/>
  </r>
  <r>
    <x v="2"/>
  </r>
  <r>
    <x v="1"/>
  </r>
  <r>
    <x v="2"/>
  </r>
  <r>
    <x v="2"/>
  </r>
  <r>
    <x v="0"/>
  </r>
  <r>
    <x v="1"/>
  </r>
  <r>
    <x v="0"/>
  </r>
  <r>
    <x v="1"/>
  </r>
  <r>
    <x v="1"/>
  </r>
  <r>
    <x v="0"/>
  </r>
  <r>
    <x v="1"/>
  </r>
  <r>
    <x v="1"/>
  </r>
  <r>
    <x v="2"/>
  </r>
  <r>
    <x v="2"/>
  </r>
  <r>
    <x v="0"/>
  </r>
  <r>
    <x v="2"/>
  </r>
  <r>
    <x v="1"/>
  </r>
  <r>
    <x v="1"/>
  </r>
  <r>
    <x v="2"/>
  </r>
  <r>
    <x v="2"/>
  </r>
  <r>
    <x v="0"/>
  </r>
  <r>
    <x v="2"/>
  </r>
  <r>
    <x v="2"/>
  </r>
  <r>
    <x v="0"/>
  </r>
  <r>
    <x v="0"/>
  </r>
  <r>
    <x v="0"/>
  </r>
  <r>
    <x v="1"/>
  </r>
  <r>
    <x v="2"/>
  </r>
  <r>
    <x v="1"/>
  </r>
  <r>
    <x v="0"/>
  </r>
  <r>
    <x v="2"/>
  </r>
  <r>
    <x v="2"/>
  </r>
  <r>
    <x v="0"/>
  </r>
  <r>
    <x v="0"/>
  </r>
  <r>
    <x v="2"/>
  </r>
  <r>
    <x v="1"/>
  </r>
  <r>
    <x v="2"/>
  </r>
  <r>
    <x v="1"/>
  </r>
  <r>
    <x v="1"/>
  </r>
  <r>
    <x v="1"/>
  </r>
  <r>
    <x v="0"/>
  </r>
  <r>
    <x v="2"/>
  </r>
  <r>
    <x v="1"/>
  </r>
  <r>
    <x v="2"/>
  </r>
  <r>
    <x v="0"/>
  </r>
  <r>
    <x v="0"/>
  </r>
  <r>
    <x v="0"/>
  </r>
  <r>
    <x v="1"/>
  </r>
  <r>
    <x v="2"/>
  </r>
  <r>
    <x v="2"/>
  </r>
  <r>
    <x v="2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2"/>
  </r>
  <r>
    <x v="2"/>
  </r>
  <r>
    <x v="1"/>
  </r>
  <r>
    <x v="0"/>
  </r>
  <r>
    <x v="0"/>
  </r>
  <r>
    <x v="1"/>
  </r>
  <r>
    <x v="1"/>
  </r>
  <r>
    <x v="2"/>
  </r>
  <r>
    <x v="1"/>
  </r>
  <r>
    <x v="0"/>
  </r>
  <r>
    <x v="2"/>
  </r>
  <r>
    <x v="1"/>
  </r>
  <r>
    <x v="0"/>
  </r>
  <r>
    <x v="1"/>
  </r>
  <r>
    <x v="0"/>
  </r>
  <r>
    <x v="0"/>
  </r>
  <r>
    <x v="2"/>
  </r>
  <r>
    <x v="1"/>
  </r>
  <r>
    <x v="0"/>
  </r>
  <r>
    <x v="2"/>
  </r>
  <r>
    <x v="0"/>
  </r>
  <r>
    <x v="1"/>
  </r>
  <r>
    <x v="2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2"/>
  </r>
  <r>
    <x v="2"/>
  </r>
  <r>
    <x v="1"/>
  </r>
  <r>
    <x v="2"/>
  </r>
  <r>
    <x v="1"/>
  </r>
  <r>
    <x v="0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1"/>
  </r>
  <r>
    <x v="2"/>
  </r>
  <r>
    <x v="2"/>
  </r>
  <r>
    <x v="0"/>
  </r>
  <r>
    <x v="0"/>
  </r>
  <r>
    <x v="2"/>
  </r>
  <r>
    <x v="0"/>
  </r>
  <r>
    <x v="2"/>
  </r>
  <r>
    <x v="0"/>
  </r>
  <r>
    <x v="1"/>
  </r>
  <r>
    <x v="0"/>
  </r>
  <r>
    <x v="2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2"/>
  </r>
  <r>
    <x v="1"/>
  </r>
  <r>
    <x v="0"/>
  </r>
  <r>
    <x v="2"/>
  </r>
  <r>
    <x v="2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2"/>
  </r>
  <r>
    <x v="0"/>
  </r>
  <r>
    <x v="0"/>
  </r>
  <r>
    <x v="0"/>
  </r>
  <r>
    <x v="2"/>
  </r>
  <r>
    <x v="1"/>
  </r>
  <r>
    <x v="0"/>
  </r>
  <r>
    <x v="0"/>
  </r>
  <r>
    <x v="2"/>
  </r>
  <r>
    <x v="1"/>
  </r>
  <r>
    <x v="0"/>
  </r>
  <r>
    <x v="1"/>
  </r>
  <r>
    <x v="0"/>
  </r>
  <r>
    <x v="2"/>
  </r>
  <r>
    <x v="0"/>
  </r>
  <r>
    <x v="1"/>
  </r>
  <r>
    <x v="1"/>
  </r>
  <r>
    <x v="2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0"/>
  </r>
  <r>
    <x v="0"/>
  </r>
  <r>
    <x v="2"/>
  </r>
  <r>
    <x v="2"/>
  </r>
  <r>
    <x v="2"/>
  </r>
  <r>
    <x v="1"/>
  </r>
  <r>
    <x v="0"/>
  </r>
  <r>
    <x v="1"/>
  </r>
  <r>
    <x v="0"/>
  </r>
  <r>
    <x v="2"/>
  </r>
  <r>
    <x v="1"/>
  </r>
  <r>
    <x v="1"/>
  </r>
  <r>
    <x v="0"/>
  </r>
  <r>
    <x v="1"/>
  </r>
  <r>
    <x v="2"/>
  </r>
  <r>
    <x v="1"/>
  </r>
  <r>
    <x v="2"/>
  </r>
  <r>
    <x v="2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x v="2"/>
    <x v="2"/>
    <x v="1"/>
    <x v="1"/>
    <x v="0"/>
    <x v="2"/>
    <x v="2"/>
    <x v="1"/>
    <x v="1"/>
    <x v="2"/>
    <x v="2"/>
    <x v="2"/>
    <x v="2"/>
    <x v="2"/>
    <x v="2"/>
    <x v="0"/>
    <x v="1"/>
    <x v="2"/>
    <x v="0"/>
    <x v="1"/>
    <x v="0"/>
    <x v="2"/>
    <x v="2"/>
    <x v="2"/>
    <x v="2"/>
    <x v="2"/>
  </r>
  <r>
    <x v="3"/>
    <x v="3"/>
    <x v="2"/>
    <x v="1"/>
    <x v="2"/>
    <x v="3"/>
    <x v="3"/>
    <x v="2"/>
    <x v="2"/>
    <x v="3"/>
    <x v="3"/>
    <x v="2"/>
    <x v="3"/>
    <x v="3"/>
    <x v="2"/>
    <x v="0"/>
    <x v="2"/>
    <x v="3"/>
    <x v="0"/>
    <x v="0"/>
    <x v="0"/>
    <x v="3"/>
    <x v="3"/>
    <x v="3"/>
    <x v="3"/>
    <x v="3"/>
  </r>
  <r>
    <x v="4"/>
    <x v="4"/>
    <x v="1"/>
    <x v="1"/>
    <x v="3"/>
    <x v="4"/>
    <x v="4"/>
    <x v="3"/>
    <x v="1"/>
    <x v="4"/>
    <x v="4"/>
    <x v="0"/>
    <x v="3"/>
    <x v="4"/>
    <x v="0"/>
    <x v="1"/>
    <x v="2"/>
    <x v="4"/>
    <x v="1"/>
    <x v="2"/>
    <x v="1"/>
    <x v="4"/>
    <x v="4"/>
    <x v="4"/>
    <x v="4"/>
    <x v="4"/>
  </r>
  <r>
    <x v="5"/>
    <x v="5"/>
    <x v="2"/>
    <x v="2"/>
    <x v="3"/>
    <x v="5"/>
    <x v="5"/>
    <x v="1"/>
    <x v="1"/>
    <x v="5"/>
    <x v="5"/>
    <x v="3"/>
    <x v="4"/>
    <x v="5"/>
    <x v="3"/>
    <x v="1"/>
    <x v="0"/>
    <x v="5"/>
    <x v="1"/>
    <x v="0"/>
    <x v="1"/>
    <x v="5"/>
    <x v="5"/>
    <x v="5"/>
    <x v="5"/>
    <x v="5"/>
  </r>
  <r>
    <x v="6"/>
    <x v="6"/>
    <x v="1"/>
    <x v="3"/>
    <x v="3"/>
    <x v="3"/>
    <x v="6"/>
    <x v="0"/>
    <x v="1"/>
    <x v="6"/>
    <x v="6"/>
    <x v="1"/>
    <x v="0"/>
    <x v="6"/>
    <x v="1"/>
    <x v="1"/>
    <x v="2"/>
    <x v="6"/>
    <x v="1"/>
    <x v="2"/>
    <x v="1"/>
    <x v="6"/>
    <x v="6"/>
    <x v="6"/>
    <x v="6"/>
    <x v="6"/>
  </r>
  <r>
    <x v="7"/>
    <x v="7"/>
    <x v="0"/>
    <x v="3"/>
    <x v="2"/>
    <x v="4"/>
    <x v="7"/>
    <x v="1"/>
    <x v="0"/>
    <x v="7"/>
    <x v="7"/>
    <x v="3"/>
    <x v="3"/>
    <x v="5"/>
    <x v="3"/>
    <x v="1"/>
    <x v="2"/>
    <x v="7"/>
    <x v="1"/>
    <x v="0"/>
    <x v="0"/>
    <x v="7"/>
    <x v="7"/>
    <x v="7"/>
    <x v="7"/>
    <x v="7"/>
  </r>
  <r>
    <x v="8"/>
    <x v="8"/>
    <x v="1"/>
    <x v="4"/>
    <x v="0"/>
    <x v="5"/>
    <x v="6"/>
    <x v="0"/>
    <x v="2"/>
    <x v="8"/>
    <x v="8"/>
    <x v="2"/>
    <x v="1"/>
    <x v="7"/>
    <x v="2"/>
    <x v="2"/>
    <x v="2"/>
    <x v="8"/>
    <x v="1"/>
    <x v="1"/>
    <x v="1"/>
    <x v="8"/>
    <x v="8"/>
    <x v="8"/>
    <x v="8"/>
    <x v="8"/>
  </r>
  <r>
    <x v="9"/>
    <x v="9"/>
    <x v="0"/>
    <x v="1"/>
    <x v="0"/>
    <x v="0"/>
    <x v="8"/>
    <x v="3"/>
    <x v="0"/>
    <x v="9"/>
    <x v="9"/>
    <x v="0"/>
    <x v="1"/>
    <x v="8"/>
    <x v="0"/>
    <x v="1"/>
    <x v="0"/>
    <x v="9"/>
    <x v="1"/>
    <x v="2"/>
    <x v="1"/>
    <x v="9"/>
    <x v="9"/>
    <x v="9"/>
    <x v="9"/>
    <x v="6"/>
  </r>
  <r>
    <x v="10"/>
    <x v="10"/>
    <x v="0"/>
    <x v="0"/>
    <x v="1"/>
    <x v="0"/>
    <x v="9"/>
    <x v="3"/>
    <x v="0"/>
    <x v="10"/>
    <x v="10"/>
    <x v="1"/>
    <x v="0"/>
    <x v="9"/>
    <x v="1"/>
    <x v="0"/>
    <x v="0"/>
    <x v="10"/>
    <x v="0"/>
    <x v="3"/>
    <x v="0"/>
    <x v="10"/>
    <x v="10"/>
    <x v="10"/>
    <x v="10"/>
    <x v="9"/>
  </r>
  <r>
    <x v="11"/>
    <x v="11"/>
    <x v="1"/>
    <x v="3"/>
    <x v="0"/>
    <x v="0"/>
    <x v="10"/>
    <x v="2"/>
    <x v="2"/>
    <x v="11"/>
    <x v="11"/>
    <x v="2"/>
    <x v="0"/>
    <x v="10"/>
    <x v="2"/>
    <x v="2"/>
    <x v="3"/>
    <x v="11"/>
    <x v="1"/>
    <x v="0"/>
    <x v="0"/>
    <x v="11"/>
    <x v="11"/>
    <x v="11"/>
    <x v="11"/>
    <x v="8"/>
  </r>
  <r>
    <x v="12"/>
    <x v="12"/>
    <x v="0"/>
    <x v="1"/>
    <x v="2"/>
    <x v="0"/>
    <x v="11"/>
    <x v="3"/>
    <x v="3"/>
    <x v="12"/>
    <x v="12"/>
    <x v="0"/>
    <x v="2"/>
    <x v="11"/>
    <x v="0"/>
    <x v="1"/>
    <x v="1"/>
    <x v="10"/>
    <x v="1"/>
    <x v="4"/>
    <x v="1"/>
    <x v="12"/>
    <x v="12"/>
    <x v="12"/>
    <x v="12"/>
    <x v="10"/>
  </r>
  <r>
    <x v="13"/>
    <x v="13"/>
    <x v="2"/>
    <x v="4"/>
    <x v="1"/>
    <x v="3"/>
    <x v="4"/>
    <x v="3"/>
    <x v="3"/>
    <x v="13"/>
    <x v="13"/>
    <x v="0"/>
    <x v="0"/>
    <x v="12"/>
    <x v="0"/>
    <x v="2"/>
    <x v="4"/>
    <x v="0"/>
    <x v="1"/>
    <x v="1"/>
    <x v="1"/>
    <x v="13"/>
    <x v="13"/>
    <x v="13"/>
    <x v="13"/>
    <x v="11"/>
  </r>
  <r>
    <x v="14"/>
    <x v="3"/>
    <x v="0"/>
    <x v="0"/>
    <x v="1"/>
    <x v="3"/>
    <x v="3"/>
    <x v="2"/>
    <x v="1"/>
    <x v="14"/>
    <x v="14"/>
    <x v="3"/>
    <x v="4"/>
    <x v="13"/>
    <x v="3"/>
    <x v="2"/>
    <x v="1"/>
    <x v="12"/>
    <x v="1"/>
    <x v="0"/>
    <x v="0"/>
    <x v="14"/>
    <x v="14"/>
    <x v="14"/>
    <x v="14"/>
    <x v="5"/>
  </r>
  <r>
    <x v="15"/>
    <x v="14"/>
    <x v="2"/>
    <x v="3"/>
    <x v="2"/>
    <x v="3"/>
    <x v="3"/>
    <x v="3"/>
    <x v="1"/>
    <x v="15"/>
    <x v="15"/>
    <x v="3"/>
    <x v="3"/>
    <x v="14"/>
    <x v="3"/>
    <x v="1"/>
    <x v="2"/>
    <x v="13"/>
    <x v="1"/>
    <x v="3"/>
    <x v="1"/>
    <x v="15"/>
    <x v="15"/>
    <x v="15"/>
    <x v="15"/>
    <x v="12"/>
  </r>
  <r>
    <x v="16"/>
    <x v="15"/>
    <x v="0"/>
    <x v="2"/>
    <x v="0"/>
    <x v="4"/>
    <x v="12"/>
    <x v="0"/>
    <x v="3"/>
    <x v="16"/>
    <x v="16"/>
    <x v="0"/>
    <x v="3"/>
    <x v="15"/>
    <x v="0"/>
    <x v="0"/>
    <x v="4"/>
    <x v="14"/>
    <x v="0"/>
    <x v="3"/>
    <x v="0"/>
    <x v="16"/>
    <x v="16"/>
    <x v="16"/>
    <x v="16"/>
    <x v="13"/>
  </r>
  <r>
    <x v="17"/>
    <x v="8"/>
    <x v="1"/>
    <x v="3"/>
    <x v="0"/>
    <x v="5"/>
    <x v="8"/>
    <x v="1"/>
    <x v="0"/>
    <x v="17"/>
    <x v="17"/>
    <x v="3"/>
    <x v="2"/>
    <x v="16"/>
    <x v="3"/>
    <x v="2"/>
    <x v="0"/>
    <x v="15"/>
    <x v="1"/>
    <x v="3"/>
    <x v="0"/>
    <x v="17"/>
    <x v="17"/>
    <x v="12"/>
    <x v="17"/>
    <x v="3"/>
  </r>
  <r>
    <x v="18"/>
    <x v="9"/>
    <x v="2"/>
    <x v="1"/>
    <x v="4"/>
    <x v="2"/>
    <x v="13"/>
    <x v="2"/>
    <x v="2"/>
    <x v="18"/>
    <x v="18"/>
    <x v="1"/>
    <x v="4"/>
    <x v="17"/>
    <x v="1"/>
    <x v="2"/>
    <x v="1"/>
    <x v="14"/>
    <x v="1"/>
    <x v="2"/>
    <x v="1"/>
    <x v="18"/>
    <x v="18"/>
    <x v="17"/>
    <x v="18"/>
    <x v="14"/>
  </r>
  <r>
    <x v="19"/>
    <x v="11"/>
    <x v="0"/>
    <x v="3"/>
    <x v="1"/>
    <x v="0"/>
    <x v="0"/>
    <x v="3"/>
    <x v="3"/>
    <x v="19"/>
    <x v="19"/>
    <x v="0"/>
    <x v="0"/>
    <x v="18"/>
    <x v="0"/>
    <x v="1"/>
    <x v="0"/>
    <x v="9"/>
    <x v="1"/>
    <x v="2"/>
    <x v="1"/>
    <x v="19"/>
    <x v="19"/>
    <x v="17"/>
    <x v="19"/>
    <x v="15"/>
  </r>
  <r>
    <x v="20"/>
    <x v="16"/>
    <x v="2"/>
    <x v="0"/>
    <x v="1"/>
    <x v="0"/>
    <x v="10"/>
    <x v="0"/>
    <x v="2"/>
    <x v="20"/>
    <x v="20"/>
    <x v="1"/>
    <x v="4"/>
    <x v="19"/>
    <x v="1"/>
    <x v="0"/>
    <x v="3"/>
    <x v="16"/>
    <x v="0"/>
    <x v="1"/>
    <x v="1"/>
    <x v="20"/>
    <x v="20"/>
    <x v="17"/>
    <x v="20"/>
    <x v="16"/>
  </r>
  <r>
    <x v="21"/>
    <x v="17"/>
    <x v="0"/>
    <x v="4"/>
    <x v="4"/>
    <x v="1"/>
    <x v="14"/>
    <x v="3"/>
    <x v="1"/>
    <x v="21"/>
    <x v="21"/>
    <x v="3"/>
    <x v="3"/>
    <x v="20"/>
    <x v="3"/>
    <x v="1"/>
    <x v="0"/>
    <x v="17"/>
    <x v="1"/>
    <x v="3"/>
    <x v="0"/>
    <x v="16"/>
    <x v="21"/>
    <x v="18"/>
    <x v="21"/>
    <x v="17"/>
  </r>
  <r>
    <x v="22"/>
    <x v="18"/>
    <x v="0"/>
    <x v="3"/>
    <x v="1"/>
    <x v="2"/>
    <x v="15"/>
    <x v="3"/>
    <x v="2"/>
    <x v="22"/>
    <x v="22"/>
    <x v="0"/>
    <x v="4"/>
    <x v="21"/>
    <x v="0"/>
    <x v="1"/>
    <x v="1"/>
    <x v="18"/>
    <x v="1"/>
    <x v="2"/>
    <x v="0"/>
    <x v="21"/>
    <x v="22"/>
    <x v="19"/>
    <x v="22"/>
    <x v="9"/>
  </r>
  <r>
    <x v="23"/>
    <x v="3"/>
    <x v="0"/>
    <x v="4"/>
    <x v="2"/>
    <x v="1"/>
    <x v="0"/>
    <x v="3"/>
    <x v="3"/>
    <x v="23"/>
    <x v="23"/>
    <x v="1"/>
    <x v="1"/>
    <x v="22"/>
    <x v="1"/>
    <x v="1"/>
    <x v="1"/>
    <x v="19"/>
    <x v="1"/>
    <x v="4"/>
    <x v="1"/>
    <x v="22"/>
    <x v="23"/>
    <x v="5"/>
    <x v="23"/>
    <x v="18"/>
  </r>
  <r>
    <x v="24"/>
    <x v="19"/>
    <x v="2"/>
    <x v="4"/>
    <x v="2"/>
    <x v="1"/>
    <x v="16"/>
    <x v="1"/>
    <x v="2"/>
    <x v="24"/>
    <x v="24"/>
    <x v="3"/>
    <x v="4"/>
    <x v="23"/>
    <x v="3"/>
    <x v="2"/>
    <x v="3"/>
    <x v="20"/>
    <x v="1"/>
    <x v="1"/>
    <x v="0"/>
    <x v="23"/>
    <x v="24"/>
    <x v="18"/>
    <x v="24"/>
    <x v="8"/>
  </r>
  <r>
    <x v="25"/>
    <x v="20"/>
    <x v="0"/>
    <x v="0"/>
    <x v="1"/>
    <x v="0"/>
    <x v="11"/>
    <x v="1"/>
    <x v="0"/>
    <x v="25"/>
    <x v="25"/>
    <x v="0"/>
    <x v="2"/>
    <x v="24"/>
    <x v="0"/>
    <x v="2"/>
    <x v="3"/>
    <x v="21"/>
    <x v="1"/>
    <x v="0"/>
    <x v="1"/>
    <x v="24"/>
    <x v="25"/>
    <x v="20"/>
    <x v="25"/>
    <x v="19"/>
  </r>
  <r>
    <x v="26"/>
    <x v="4"/>
    <x v="2"/>
    <x v="1"/>
    <x v="4"/>
    <x v="0"/>
    <x v="11"/>
    <x v="0"/>
    <x v="0"/>
    <x v="26"/>
    <x v="26"/>
    <x v="1"/>
    <x v="3"/>
    <x v="25"/>
    <x v="1"/>
    <x v="1"/>
    <x v="0"/>
    <x v="22"/>
    <x v="1"/>
    <x v="2"/>
    <x v="0"/>
    <x v="25"/>
    <x v="26"/>
    <x v="21"/>
    <x v="26"/>
    <x v="20"/>
  </r>
  <r>
    <x v="27"/>
    <x v="21"/>
    <x v="0"/>
    <x v="3"/>
    <x v="4"/>
    <x v="5"/>
    <x v="7"/>
    <x v="2"/>
    <x v="3"/>
    <x v="27"/>
    <x v="27"/>
    <x v="1"/>
    <x v="4"/>
    <x v="26"/>
    <x v="1"/>
    <x v="1"/>
    <x v="0"/>
    <x v="23"/>
    <x v="1"/>
    <x v="3"/>
    <x v="1"/>
    <x v="26"/>
    <x v="27"/>
    <x v="7"/>
    <x v="27"/>
    <x v="21"/>
  </r>
  <r>
    <x v="28"/>
    <x v="13"/>
    <x v="2"/>
    <x v="2"/>
    <x v="4"/>
    <x v="0"/>
    <x v="7"/>
    <x v="2"/>
    <x v="2"/>
    <x v="28"/>
    <x v="28"/>
    <x v="2"/>
    <x v="4"/>
    <x v="27"/>
    <x v="2"/>
    <x v="2"/>
    <x v="1"/>
    <x v="9"/>
    <x v="1"/>
    <x v="1"/>
    <x v="1"/>
    <x v="27"/>
    <x v="28"/>
    <x v="22"/>
    <x v="16"/>
    <x v="22"/>
  </r>
  <r>
    <x v="29"/>
    <x v="22"/>
    <x v="2"/>
    <x v="1"/>
    <x v="1"/>
    <x v="1"/>
    <x v="11"/>
    <x v="1"/>
    <x v="2"/>
    <x v="29"/>
    <x v="29"/>
    <x v="3"/>
    <x v="2"/>
    <x v="28"/>
    <x v="3"/>
    <x v="0"/>
    <x v="0"/>
    <x v="24"/>
    <x v="0"/>
    <x v="4"/>
    <x v="1"/>
    <x v="28"/>
    <x v="29"/>
    <x v="23"/>
    <x v="28"/>
    <x v="23"/>
  </r>
  <r>
    <x v="30"/>
    <x v="23"/>
    <x v="2"/>
    <x v="0"/>
    <x v="0"/>
    <x v="1"/>
    <x v="4"/>
    <x v="1"/>
    <x v="3"/>
    <x v="30"/>
    <x v="30"/>
    <x v="2"/>
    <x v="3"/>
    <x v="29"/>
    <x v="2"/>
    <x v="1"/>
    <x v="3"/>
    <x v="25"/>
    <x v="1"/>
    <x v="4"/>
    <x v="0"/>
    <x v="29"/>
    <x v="30"/>
    <x v="24"/>
    <x v="29"/>
    <x v="24"/>
  </r>
  <r>
    <x v="31"/>
    <x v="24"/>
    <x v="1"/>
    <x v="4"/>
    <x v="0"/>
    <x v="3"/>
    <x v="6"/>
    <x v="3"/>
    <x v="0"/>
    <x v="31"/>
    <x v="31"/>
    <x v="1"/>
    <x v="0"/>
    <x v="13"/>
    <x v="1"/>
    <x v="0"/>
    <x v="4"/>
    <x v="26"/>
    <x v="0"/>
    <x v="2"/>
    <x v="0"/>
    <x v="30"/>
    <x v="31"/>
    <x v="18"/>
    <x v="30"/>
    <x v="25"/>
  </r>
  <r>
    <x v="32"/>
    <x v="25"/>
    <x v="0"/>
    <x v="3"/>
    <x v="1"/>
    <x v="1"/>
    <x v="14"/>
    <x v="3"/>
    <x v="0"/>
    <x v="32"/>
    <x v="32"/>
    <x v="0"/>
    <x v="2"/>
    <x v="30"/>
    <x v="0"/>
    <x v="0"/>
    <x v="1"/>
    <x v="27"/>
    <x v="0"/>
    <x v="3"/>
    <x v="1"/>
    <x v="31"/>
    <x v="32"/>
    <x v="25"/>
    <x v="31"/>
    <x v="26"/>
  </r>
  <r>
    <x v="33"/>
    <x v="26"/>
    <x v="2"/>
    <x v="0"/>
    <x v="1"/>
    <x v="0"/>
    <x v="4"/>
    <x v="3"/>
    <x v="1"/>
    <x v="33"/>
    <x v="33"/>
    <x v="2"/>
    <x v="2"/>
    <x v="31"/>
    <x v="2"/>
    <x v="1"/>
    <x v="3"/>
    <x v="28"/>
    <x v="1"/>
    <x v="4"/>
    <x v="0"/>
    <x v="32"/>
    <x v="33"/>
    <x v="26"/>
    <x v="32"/>
    <x v="27"/>
  </r>
  <r>
    <x v="34"/>
    <x v="27"/>
    <x v="1"/>
    <x v="0"/>
    <x v="4"/>
    <x v="5"/>
    <x v="2"/>
    <x v="2"/>
    <x v="3"/>
    <x v="34"/>
    <x v="34"/>
    <x v="1"/>
    <x v="0"/>
    <x v="32"/>
    <x v="1"/>
    <x v="2"/>
    <x v="4"/>
    <x v="29"/>
    <x v="1"/>
    <x v="4"/>
    <x v="0"/>
    <x v="33"/>
    <x v="34"/>
    <x v="27"/>
    <x v="9"/>
    <x v="28"/>
  </r>
  <r>
    <x v="35"/>
    <x v="28"/>
    <x v="2"/>
    <x v="0"/>
    <x v="2"/>
    <x v="0"/>
    <x v="17"/>
    <x v="1"/>
    <x v="2"/>
    <x v="35"/>
    <x v="35"/>
    <x v="1"/>
    <x v="0"/>
    <x v="33"/>
    <x v="1"/>
    <x v="1"/>
    <x v="1"/>
    <x v="30"/>
    <x v="1"/>
    <x v="1"/>
    <x v="0"/>
    <x v="34"/>
    <x v="9"/>
    <x v="14"/>
    <x v="33"/>
    <x v="5"/>
  </r>
  <r>
    <x v="36"/>
    <x v="17"/>
    <x v="2"/>
    <x v="3"/>
    <x v="3"/>
    <x v="5"/>
    <x v="11"/>
    <x v="0"/>
    <x v="3"/>
    <x v="36"/>
    <x v="36"/>
    <x v="3"/>
    <x v="2"/>
    <x v="34"/>
    <x v="3"/>
    <x v="2"/>
    <x v="4"/>
    <x v="31"/>
    <x v="1"/>
    <x v="2"/>
    <x v="1"/>
    <x v="35"/>
    <x v="35"/>
    <x v="28"/>
    <x v="34"/>
    <x v="29"/>
  </r>
  <r>
    <x v="37"/>
    <x v="14"/>
    <x v="1"/>
    <x v="4"/>
    <x v="3"/>
    <x v="2"/>
    <x v="0"/>
    <x v="2"/>
    <x v="0"/>
    <x v="37"/>
    <x v="37"/>
    <x v="3"/>
    <x v="4"/>
    <x v="35"/>
    <x v="3"/>
    <x v="0"/>
    <x v="1"/>
    <x v="32"/>
    <x v="0"/>
    <x v="1"/>
    <x v="0"/>
    <x v="36"/>
    <x v="36"/>
    <x v="5"/>
    <x v="35"/>
    <x v="30"/>
  </r>
  <r>
    <x v="38"/>
    <x v="29"/>
    <x v="0"/>
    <x v="4"/>
    <x v="2"/>
    <x v="2"/>
    <x v="10"/>
    <x v="0"/>
    <x v="3"/>
    <x v="38"/>
    <x v="38"/>
    <x v="1"/>
    <x v="4"/>
    <x v="36"/>
    <x v="1"/>
    <x v="1"/>
    <x v="1"/>
    <x v="33"/>
    <x v="1"/>
    <x v="3"/>
    <x v="0"/>
    <x v="37"/>
    <x v="37"/>
    <x v="21"/>
    <x v="36"/>
    <x v="22"/>
  </r>
  <r>
    <x v="39"/>
    <x v="30"/>
    <x v="0"/>
    <x v="3"/>
    <x v="4"/>
    <x v="4"/>
    <x v="17"/>
    <x v="3"/>
    <x v="1"/>
    <x v="39"/>
    <x v="39"/>
    <x v="0"/>
    <x v="0"/>
    <x v="37"/>
    <x v="0"/>
    <x v="1"/>
    <x v="3"/>
    <x v="34"/>
    <x v="1"/>
    <x v="3"/>
    <x v="1"/>
    <x v="38"/>
    <x v="38"/>
    <x v="29"/>
    <x v="37"/>
    <x v="31"/>
  </r>
  <r>
    <x v="40"/>
    <x v="6"/>
    <x v="1"/>
    <x v="4"/>
    <x v="3"/>
    <x v="0"/>
    <x v="6"/>
    <x v="2"/>
    <x v="1"/>
    <x v="40"/>
    <x v="40"/>
    <x v="1"/>
    <x v="1"/>
    <x v="36"/>
    <x v="1"/>
    <x v="2"/>
    <x v="1"/>
    <x v="35"/>
    <x v="1"/>
    <x v="2"/>
    <x v="1"/>
    <x v="39"/>
    <x v="39"/>
    <x v="30"/>
    <x v="38"/>
    <x v="32"/>
  </r>
  <r>
    <x v="41"/>
    <x v="14"/>
    <x v="0"/>
    <x v="2"/>
    <x v="1"/>
    <x v="0"/>
    <x v="4"/>
    <x v="3"/>
    <x v="3"/>
    <x v="41"/>
    <x v="41"/>
    <x v="1"/>
    <x v="2"/>
    <x v="18"/>
    <x v="1"/>
    <x v="2"/>
    <x v="2"/>
    <x v="36"/>
    <x v="1"/>
    <x v="3"/>
    <x v="1"/>
    <x v="40"/>
    <x v="28"/>
    <x v="3"/>
    <x v="39"/>
    <x v="0"/>
  </r>
  <r>
    <x v="42"/>
    <x v="31"/>
    <x v="2"/>
    <x v="1"/>
    <x v="0"/>
    <x v="1"/>
    <x v="18"/>
    <x v="1"/>
    <x v="2"/>
    <x v="42"/>
    <x v="42"/>
    <x v="0"/>
    <x v="3"/>
    <x v="20"/>
    <x v="0"/>
    <x v="1"/>
    <x v="4"/>
    <x v="37"/>
    <x v="1"/>
    <x v="1"/>
    <x v="1"/>
    <x v="41"/>
    <x v="40"/>
    <x v="31"/>
    <x v="40"/>
    <x v="11"/>
  </r>
  <r>
    <x v="43"/>
    <x v="32"/>
    <x v="2"/>
    <x v="4"/>
    <x v="3"/>
    <x v="0"/>
    <x v="10"/>
    <x v="1"/>
    <x v="1"/>
    <x v="43"/>
    <x v="43"/>
    <x v="3"/>
    <x v="3"/>
    <x v="36"/>
    <x v="3"/>
    <x v="2"/>
    <x v="2"/>
    <x v="38"/>
    <x v="1"/>
    <x v="1"/>
    <x v="1"/>
    <x v="42"/>
    <x v="41"/>
    <x v="4"/>
    <x v="41"/>
    <x v="33"/>
  </r>
  <r>
    <x v="44"/>
    <x v="16"/>
    <x v="2"/>
    <x v="1"/>
    <x v="0"/>
    <x v="0"/>
    <x v="15"/>
    <x v="1"/>
    <x v="3"/>
    <x v="44"/>
    <x v="44"/>
    <x v="1"/>
    <x v="1"/>
    <x v="38"/>
    <x v="1"/>
    <x v="2"/>
    <x v="3"/>
    <x v="39"/>
    <x v="1"/>
    <x v="1"/>
    <x v="0"/>
    <x v="43"/>
    <x v="42"/>
    <x v="32"/>
    <x v="42"/>
    <x v="34"/>
  </r>
  <r>
    <x v="45"/>
    <x v="33"/>
    <x v="0"/>
    <x v="2"/>
    <x v="3"/>
    <x v="3"/>
    <x v="12"/>
    <x v="1"/>
    <x v="3"/>
    <x v="45"/>
    <x v="45"/>
    <x v="1"/>
    <x v="2"/>
    <x v="39"/>
    <x v="1"/>
    <x v="2"/>
    <x v="2"/>
    <x v="40"/>
    <x v="1"/>
    <x v="0"/>
    <x v="1"/>
    <x v="44"/>
    <x v="43"/>
    <x v="33"/>
    <x v="43"/>
    <x v="35"/>
  </r>
  <r>
    <x v="46"/>
    <x v="34"/>
    <x v="2"/>
    <x v="0"/>
    <x v="4"/>
    <x v="0"/>
    <x v="13"/>
    <x v="0"/>
    <x v="0"/>
    <x v="46"/>
    <x v="46"/>
    <x v="3"/>
    <x v="4"/>
    <x v="40"/>
    <x v="3"/>
    <x v="1"/>
    <x v="2"/>
    <x v="41"/>
    <x v="1"/>
    <x v="4"/>
    <x v="0"/>
    <x v="45"/>
    <x v="44"/>
    <x v="9"/>
    <x v="9"/>
    <x v="36"/>
  </r>
  <r>
    <x v="47"/>
    <x v="35"/>
    <x v="0"/>
    <x v="1"/>
    <x v="4"/>
    <x v="3"/>
    <x v="13"/>
    <x v="1"/>
    <x v="1"/>
    <x v="47"/>
    <x v="47"/>
    <x v="0"/>
    <x v="0"/>
    <x v="41"/>
    <x v="0"/>
    <x v="2"/>
    <x v="0"/>
    <x v="42"/>
    <x v="1"/>
    <x v="4"/>
    <x v="0"/>
    <x v="46"/>
    <x v="13"/>
    <x v="3"/>
    <x v="44"/>
    <x v="21"/>
  </r>
  <r>
    <x v="48"/>
    <x v="36"/>
    <x v="2"/>
    <x v="0"/>
    <x v="2"/>
    <x v="0"/>
    <x v="4"/>
    <x v="0"/>
    <x v="1"/>
    <x v="48"/>
    <x v="48"/>
    <x v="1"/>
    <x v="2"/>
    <x v="42"/>
    <x v="1"/>
    <x v="1"/>
    <x v="4"/>
    <x v="43"/>
    <x v="1"/>
    <x v="3"/>
    <x v="1"/>
    <x v="47"/>
    <x v="45"/>
    <x v="20"/>
    <x v="45"/>
    <x v="37"/>
  </r>
  <r>
    <x v="49"/>
    <x v="37"/>
    <x v="1"/>
    <x v="4"/>
    <x v="2"/>
    <x v="0"/>
    <x v="18"/>
    <x v="2"/>
    <x v="0"/>
    <x v="49"/>
    <x v="49"/>
    <x v="1"/>
    <x v="3"/>
    <x v="1"/>
    <x v="1"/>
    <x v="1"/>
    <x v="3"/>
    <x v="44"/>
    <x v="1"/>
    <x v="2"/>
    <x v="1"/>
    <x v="48"/>
    <x v="46"/>
    <x v="34"/>
    <x v="13"/>
    <x v="38"/>
  </r>
  <r>
    <x v="50"/>
    <x v="37"/>
    <x v="1"/>
    <x v="2"/>
    <x v="3"/>
    <x v="0"/>
    <x v="18"/>
    <x v="1"/>
    <x v="2"/>
    <x v="50"/>
    <x v="50"/>
    <x v="3"/>
    <x v="1"/>
    <x v="43"/>
    <x v="3"/>
    <x v="0"/>
    <x v="1"/>
    <x v="45"/>
    <x v="0"/>
    <x v="1"/>
    <x v="1"/>
    <x v="49"/>
    <x v="47"/>
    <x v="35"/>
    <x v="46"/>
    <x v="39"/>
  </r>
  <r>
    <x v="51"/>
    <x v="3"/>
    <x v="2"/>
    <x v="2"/>
    <x v="0"/>
    <x v="4"/>
    <x v="11"/>
    <x v="1"/>
    <x v="1"/>
    <x v="51"/>
    <x v="51"/>
    <x v="2"/>
    <x v="1"/>
    <x v="44"/>
    <x v="2"/>
    <x v="2"/>
    <x v="4"/>
    <x v="23"/>
    <x v="1"/>
    <x v="1"/>
    <x v="1"/>
    <x v="50"/>
    <x v="48"/>
    <x v="36"/>
    <x v="47"/>
    <x v="40"/>
  </r>
  <r>
    <x v="52"/>
    <x v="7"/>
    <x v="0"/>
    <x v="4"/>
    <x v="1"/>
    <x v="0"/>
    <x v="4"/>
    <x v="1"/>
    <x v="2"/>
    <x v="52"/>
    <x v="52"/>
    <x v="2"/>
    <x v="2"/>
    <x v="45"/>
    <x v="2"/>
    <x v="0"/>
    <x v="0"/>
    <x v="16"/>
    <x v="0"/>
    <x v="1"/>
    <x v="1"/>
    <x v="32"/>
    <x v="49"/>
    <x v="7"/>
    <x v="29"/>
    <x v="41"/>
  </r>
  <r>
    <x v="53"/>
    <x v="38"/>
    <x v="0"/>
    <x v="4"/>
    <x v="2"/>
    <x v="0"/>
    <x v="12"/>
    <x v="1"/>
    <x v="2"/>
    <x v="53"/>
    <x v="53"/>
    <x v="1"/>
    <x v="4"/>
    <x v="46"/>
    <x v="1"/>
    <x v="1"/>
    <x v="4"/>
    <x v="46"/>
    <x v="1"/>
    <x v="3"/>
    <x v="1"/>
    <x v="51"/>
    <x v="50"/>
    <x v="37"/>
    <x v="18"/>
    <x v="42"/>
  </r>
  <r>
    <x v="54"/>
    <x v="27"/>
    <x v="2"/>
    <x v="1"/>
    <x v="1"/>
    <x v="5"/>
    <x v="6"/>
    <x v="1"/>
    <x v="1"/>
    <x v="54"/>
    <x v="54"/>
    <x v="0"/>
    <x v="2"/>
    <x v="47"/>
    <x v="0"/>
    <x v="0"/>
    <x v="3"/>
    <x v="47"/>
    <x v="0"/>
    <x v="1"/>
    <x v="0"/>
    <x v="52"/>
    <x v="51"/>
    <x v="38"/>
    <x v="48"/>
    <x v="43"/>
  </r>
  <r>
    <x v="55"/>
    <x v="39"/>
    <x v="1"/>
    <x v="2"/>
    <x v="4"/>
    <x v="0"/>
    <x v="9"/>
    <x v="2"/>
    <x v="0"/>
    <x v="55"/>
    <x v="55"/>
    <x v="0"/>
    <x v="1"/>
    <x v="48"/>
    <x v="0"/>
    <x v="0"/>
    <x v="4"/>
    <x v="48"/>
    <x v="0"/>
    <x v="1"/>
    <x v="0"/>
    <x v="53"/>
    <x v="52"/>
    <x v="39"/>
    <x v="49"/>
    <x v="44"/>
  </r>
  <r>
    <x v="56"/>
    <x v="0"/>
    <x v="2"/>
    <x v="1"/>
    <x v="0"/>
    <x v="2"/>
    <x v="3"/>
    <x v="3"/>
    <x v="0"/>
    <x v="56"/>
    <x v="56"/>
    <x v="1"/>
    <x v="0"/>
    <x v="49"/>
    <x v="1"/>
    <x v="2"/>
    <x v="3"/>
    <x v="49"/>
    <x v="1"/>
    <x v="4"/>
    <x v="1"/>
    <x v="54"/>
    <x v="53"/>
    <x v="40"/>
    <x v="18"/>
    <x v="45"/>
  </r>
  <r>
    <x v="57"/>
    <x v="19"/>
    <x v="1"/>
    <x v="1"/>
    <x v="0"/>
    <x v="2"/>
    <x v="8"/>
    <x v="1"/>
    <x v="3"/>
    <x v="57"/>
    <x v="57"/>
    <x v="2"/>
    <x v="4"/>
    <x v="50"/>
    <x v="2"/>
    <x v="1"/>
    <x v="2"/>
    <x v="44"/>
    <x v="1"/>
    <x v="0"/>
    <x v="0"/>
    <x v="55"/>
    <x v="54"/>
    <x v="14"/>
    <x v="50"/>
    <x v="46"/>
  </r>
  <r>
    <x v="58"/>
    <x v="40"/>
    <x v="2"/>
    <x v="4"/>
    <x v="2"/>
    <x v="0"/>
    <x v="9"/>
    <x v="2"/>
    <x v="0"/>
    <x v="58"/>
    <x v="58"/>
    <x v="2"/>
    <x v="1"/>
    <x v="44"/>
    <x v="2"/>
    <x v="1"/>
    <x v="2"/>
    <x v="50"/>
    <x v="1"/>
    <x v="0"/>
    <x v="0"/>
    <x v="32"/>
    <x v="55"/>
    <x v="21"/>
    <x v="51"/>
    <x v="47"/>
  </r>
  <r>
    <x v="59"/>
    <x v="41"/>
    <x v="2"/>
    <x v="0"/>
    <x v="1"/>
    <x v="5"/>
    <x v="9"/>
    <x v="2"/>
    <x v="2"/>
    <x v="59"/>
    <x v="59"/>
    <x v="2"/>
    <x v="0"/>
    <x v="51"/>
    <x v="2"/>
    <x v="0"/>
    <x v="4"/>
    <x v="51"/>
    <x v="0"/>
    <x v="3"/>
    <x v="0"/>
    <x v="56"/>
    <x v="56"/>
    <x v="41"/>
    <x v="52"/>
    <x v="48"/>
  </r>
  <r>
    <x v="60"/>
    <x v="42"/>
    <x v="0"/>
    <x v="1"/>
    <x v="2"/>
    <x v="0"/>
    <x v="16"/>
    <x v="3"/>
    <x v="1"/>
    <x v="60"/>
    <x v="60"/>
    <x v="1"/>
    <x v="4"/>
    <x v="52"/>
    <x v="1"/>
    <x v="0"/>
    <x v="2"/>
    <x v="52"/>
    <x v="0"/>
    <x v="0"/>
    <x v="0"/>
    <x v="57"/>
    <x v="57"/>
    <x v="29"/>
    <x v="53"/>
    <x v="49"/>
  </r>
  <r>
    <x v="61"/>
    <x v="43"/>
    <x v="1"/>
    <x v="0"/>
    <x v="1"/>
    <x v="5"/>
    <x v="4"/>
    <x v="3"/>
    <x v="1"/>
    <x v="61"/>
    <x v="61"/>
    <x v="1"/>
    <x v="3"/>
    <x v="7"/>
    <x v="1"/>
    <x v="1"/>
    <x v="3"/>
    <x v="1"/>
    <x v="1"/>
    <x v="4"/>
    <x v="1"/>
    <x v="58"/>
    <x v="58"/>
    <x v="15"/>
    <x v="7"/>
    <x v="50"/>
  </r>
  <r>
    <x v="62"/>
    <x v="4"/>
    <x v="2"/>
    <x v="2"/>
    <x v="2"/>
    <x v="2"/>
    <x v="5"/>
    <x v="2"/>
    <x v="1"/>
    <x v="62"/>
    <x v="62"/>
    <x v="3"/>
    <x v="4"/>
    <x v="53"/>
    <x v="3"/>
    <x v="2"/>
    <x v="0"/>
    <x v="41"/>
    <x v="1"/>
    <x v="1"/>
    <x v="1"/>
    <x v="59"/>
    <x v="59"/>
    <x v="38"/>
    <x v="54"/>
    <x v="51"/>
  </r>
  <r>
    <x v="63"/>
    <x v="43"/>
    <x v="1"/>
    <x v="1"/>
    <x v="3"/>
    <x v="1"/>
    <x v="4"/>
    <x v="2"/>
    <x v="2"/>
    <x v="63"/>
    <x v="63"/>
    <x v="2"/>
    <x v="1"/>
    <x v="54"/>
    <x v="2"/>
    <x v="0"/>
    <x v="3"/>
    <x v="53"/>
    <x v="0"/>
    <x v="0"/>
    <x v="1"/>
    <x v="10"/>
    <x v="29"/>
    <x v="14"/>
    <x v="5"/>
    <x v="52"/>
  </r>
  <r>
    <x v="64"/>
    <x v="44"/>
    <x v="2"/>
    <x v="2"/>
    <x v="0"/>
    <x v="0"/>
    <x v="10"/>
    <x v="0"/>
    <x v="0"/>
    <x v="64"/>
    <x v="64"/>
    <x v="0"/>
    <x v="2"/>
    <x v="55"/>
    <x v="0"/>
    <x v="1"/>
    <x v="1"/>
    <x v="54"/>
    <x v="1"/>
    <x v="1"/>
    <x v="1"/>
    <x v="60"/>
    <x v="60"/>
    <x v="30"/>
    <x v="48"/>
    <x v="53"/>
  </r>
  <r>
    <x v="65"/>
    <x v="45"/>
    <x v="1"/>
    <x v="4"/>
    <x v="4"/>
    <x v="3"/>
    <x v="14"/>
    <x v="3"/>
    <x v="2"/>
    <x v="65"/>
    <x v="65"/>
    <x v="3"/>
    <x v="3"/>
    <x v="56"/>
    <x v="3"/>
    <x v="0"/>
    <x v="3"/>
    <x v="55"/>
    <x v="0"/>
    <x v="0"/>
    <x v="1"/>
    <x v="22"/>
    <x v="61"/>
    <x v="42"/>
    <x v="42"/>
    <x v="54"/>
  </r>
  <r>
    <x v="66"/>
    <x v="16"/>
    <x v="1"/>
    <x v="2"/>
    <x v="2"/>
    <x v="0"/>
    <x v="3"/>
    <x v="3"/>
    <x v="3"/>
    <x v="66"/>
    <x v="66"/>
    <x v="1"/>
    <x v="4"/>
    <x v="57"/>
    <x v="1"/>
    <x v="1"/>
    <x v="3"/>
    <x v="56"/>
    <x v="1"/>
    <x v="1"/>
    <x v="1"/>
    <x v="61"/>
    <x v="62"/>
    <x v="43"/>
    <x v="55"/>
    <x v="23"/>
  </r>
  <r>
    <x v="67"/>
    <x v="46"/>
    <x v="0"/>
    <x v="0"/>
    <x v="0"/>
    <x v="5"/>
    <x v="10"/>
    <x v="0"/>
    <x v="0"/>
    <x v="67"/>
    <x v="67"/>
    <x v="0"/>
    <x v="4"/>
    <x v="58"/>
    <x v="0"/>
    <x v="1"/>
    <x v="4"/>
    <x v="14"/>
    <x v="1"/>
    <x v="1"/>
    <x v="0"/>
    <x v="62"/>
    <x v="63"/>
    <x v="18"/>
    <x v="56"/>
    <x v="55"/>
  </r>
  <r>
    <x v="68"/>
    <x v="47"/>
    <x v="2"/>
    <x v="1"/>
    <x v="0"/>
    <x v="0"/>
    <x v="12"/>
    <x v="2"/>
    <x v="1"/>
    <x v="68"/>
    <x v="68"/>
    <x v="1"/>
    <x v="2"/>
    <x v="59"/>
    <x v="1"/>
    <x v="0"/>
    <x v="0"/>
    <x v="57"/>
    <x v="0"/>
    <x v="0"/>
    <x v="1"/>
    <x v="63"/>
    <x v="64"/>
    <x v="17"/>
    <x v="57"/>
    <x v="56"/>
  </r>
  <r>
    <x v="69"/>
    <x v="48"/>
    <x v="2"/>
    <x v="2"/>
    <x v="4"/>
    <x v="1"/>
    <x v="14"/>
    <x v="0"/>
    <x v="3"/>
    <x v="69"/>
    <x v="69"/>
    <x v="0"/>
    <x v="4"/>
    <x v="8"/>
    <x v="0"/>
    <x v="0"/>
    <x v="2"/>
    <x v="22"/>
    <x v="0"/>
    <x v="2"/>
    <x v="0"/>
    <x v="64"/>
    <x v="65"/>
    <x v="6"/>
    <x v="45"/>
    <x v="57"/>
  </r>
  <r>
    <x v="70"/>
    <x v="49"/>
    <x v="2"/>
    <x v="2"/>
    <x v="2"/>
    <x v="0"/>
    <x v="16"/>
    <x v="3"/>
    <x v="3"/>
    <x v="70"/>
    <x v="70"/>
    <x v="0"/>
    <x v="0"/>
    <x v="60"/>
    <x v="0"/>
    <x v="1"/>
    <x v="1"/>
    <x v="58"/>
    <x v="1"/>
    <x v="3"/>
    <x v="1"/>
    <x v="65"/>
    <x v="66"/>
    <x v="22"/>
    <x v="58"/>
    <x v="58"/>
  </r>
  <r>
    <x v="71"/>
    <x v="2"/>
    <x v="2"/>
    <x v="4"/>
    <x v="4"/>
    <x v="0"/>
    <x v="15"/>
    <x v="0"/>
    <x v="1"/>
    <x v="71"/>
    <x v="71"/>
    <x v="0"/>
    <x v="2"/>
    <x v="6"/>
    <x v="0"/>
    <x v="2"/>
    <x v="0"/>
    <x v="59"/>
    <x v="1"/>
    <x v="4"/>
    <x v="1"/>
    <x v="66"/>
    <x v="67"/>
    <x v="31"/>
    <x v="59"/>
    <x v="32"/>
  </r>
  <r>
    <x v="72"/>
    <x v="39"/>
    <x v="0"/>
    <x v="3"/>
    <x v="1"/>
    <x v="0"/>
    <x v="1"/>
    <x v="3"/>
    <x v="3"/>
    <x v="72"/>
    <x v="72"/>
    <x v="3"/>
    <x v="3"/>
    <x v="29"/>
    <x v="3"/>
    <x v="2"/>
    <x v="2"/>
    <x v="60"/>
    <x v="1"/>
    <x v="0"/>
    <x v="0"/>
    <x v="67"/>
    <x v="62"/>
    <x v="44"/>
    <x v="44"/>
    <x v="59"/>
  </r>
  <r>
    <x v="73"/>
    <x v="50"/>
    <x v="0"/>
    <x v="4"/>
    <x v="4"/>
    <x v="2"/>
    <x v="5"/>
    <x v="0"/>
    <x v="3"/>
    <x v="73"/>
    <x v="73"/>
    <x v="3"/>
    <x v="2"/>
    <x v="61"/>
    <x v="3"/>
    <x v="2"/>
    <x v="0"/>
    <x v="61"/>
    <x v="1"/>
    <x v="1"/>
    <x v="1"/>
    <x v="68"/>
    <x v="68"/>
    <x v="17"/>
    <x v="60"/>
    <x v="46"/>
  </r>
  <r>
    <x v="74"/>
    <x v="21"/>
    <x v="0"/>
    <x v="0"/>
    <x v="4"/>
    <x v="1"/>
    <x v="9"/>
    <x v="2"/>
    <x v="2"/>
    <x v="74"/>
    <x v="74"/>
    <x v="1"/>
    <x v="4"/>
    <x v="62"/>
    <x v="1"/>
    <x v="2"/>
    <x v="3"/>
    <x v="62"/>
    <x v="1"/>
    <x v="0"/>
    <x v="0"/>
    <x v="69"/>
    <x v="69"/>
    <x v="45"/>
    <x v="40"/>
    <x v="60"/>
  </r>
  <r>
    <x v="75"/>
    <x v="37"/>
    <x v="0"/>
    <x v="0"/>
    <x v="0"/>
    <x v="0"/>
    <x v="18"/>
    <x v="0"/>
    <x v="0"/>
    <x v="75"/>
    <x v="75"/>
    <x v="1"/>
    <x v="1"/>
    <x v="63"/>
    <x v="1"/>
    <x v="0"/>
    <x v="3"/>
    <x v="63"/>
    <x v="0"/>
    <x v="4"/>
    <x v="1"/>
    <x v="70"/>
    <x v="70"/>
    <x v="46"/>
    <x v="61"/>
    <x v="61"/>
  </r>
  <r>
    <x v="76"/>
    <x v="20"/>
    <x v="2"/>
    <x v="2"/>
    <x v="3"/>
    <x v="2"/>
    <x v="0"/>
    <x v="0"/>
    <x v="3"/>
    <x v="76"/>
    <x v="76"/>
    <x v="1"/>
    <x v="3"/>
    <x v="27"/>
    <x v="1"/>
    <x v="2"/>
    <x v="4"/>
    <x v="64"/>
    <x v="1"/>
    <x v="3"/>
    <x v="1"/>
    <x v="71"/>
    <x v="71"/>
    <x v="47"/>
    <x v="62"/>
    <x v="43"/>
  </r>
  <r>
    <x v="77"/>
    <x v="51"/>
    <x v="1"/>
    <x v="3"/>
    <x v="3"/>
    <x v="5"/>
    <x v="4"/>
    <x v="2"/>
    <x v="3"/>
    <x v="77"/>
    <x v="77"/>
    <x v="0"/>
    <x v="1"/>
    <x v="64"/>
    <x v="0"/>
    <x v="2"/>
    <x v="1"/>
    <x v="65"/>
    <x v="1"/>
    <x v="3"/>
    <x v="1"/>
    <x v="72"/>
    <x v="72"/>
    <x v="8"/>
    <x v="63"/>
    <x v="62"/>
  </r>
  <r>
    <x v="78"/>
    <x v="34"/>
    <x v="2"/>
    <x v="0"/>
    <x v="0"/>
    <x v="0"/>
    <x v="8"/>
    <x v="0"/>
    <x v="1"/>
    <x v="78"/>
    <x v="78"/>
    <x v="2"/>
    <x v="1"/>
    <x v="54"/>
    <x v="2"/>
    <x v="2"/>
    <x v="4"/>
    <x v="66"/>
    <x v="1"/>
    <x v="3"/>
    <x v="1"/>
    <x v="73"/>
    <x v="73"/>
    <x v="48"/>
    <x v="64"/>
    <x v="63"/>
  </r>
  <r>
    <x v="79"/>
    <x v="11"/>
    <x v="2"/>
    <x v="1"/>
    <x v="0"/>
    <x v="0"/>
    <x v="10"/>
    <x v="3"/>
    <x v="2"/>
    <x v="79"/>
    <x v="79"/>
    <x v="0"/>
    <x v="1"/>
    <x v="8"/>
    <x v="0"/>
    <x v="0"/>
    <x v="1"/>
    <x v="53"/>
    <x v="0"/>
    <x v="1"/>
    <x v="1"/>
    <x v="74"/>
    <x v="74"/>
    <x v="49"/>
    <x v="65"/>
    <x v="64"/>
  </r>
  <r>
    <x v="80"/>
    <x v="42"/>
    <x v="1"/>
    <x v="4"/>
    <x v="4"/>
    <x v="4"/>
    <x v="0"/>
    <x v="1"/>
    <x v="1"/>
    <x v="80"/>
    <x v="80"/>
    <x v="1"/>
    <x v="0"/>
    <x v="65"/>
    <x v="1"/>
    <x v="2"/>
    <x v="0"/>
    <x v="33"/>
    <x v="1"/>
    <x v="1"/>
    <x v="1"/>
    <x v="75"/>
    <x v="75"/>
    <x v="17"/>
    <x v="56"/>
    <x v="49"/>
  </r>
  <r>
    <x v="81"/>
    <x v="52"/>
    <x v="1"/>
    <x v="2"/>
    <x v="4"/>
    <x v="0"/>
    <x v="16"/>
    <x v="1"/>
    <x v="3"/>
    <x v="57"/>
    <x v="81"/>
    <x v="3"/>
    <x v="0"/>
    <x v="39"/>
    <x v="3"/>
    <x v="1"/>
    <x v="1"/>
    <x v="34"/>
    <x v="1"/>
    <x v="1"/>
    <x v="1"/>
    <x v="76"/>
    <x v="76"/>
    <x v="42"/>
    <x v="66"/>
    <x v="65"/>
  </r>
  <r>
    <x v="82"/>
    <x v="4"/>
    <x v="0"/>
    <x v="2"/>
    <x v="2"/>
    <x v="0"/>
    <x v="19"/>
    <x v="0"/>
    <x v="0"/>
    <x v="81"/>
    <x v="82"/>
    <x v="1"/>
    <x v="4"/>
    <x v="35"/>
    <x v="1"/>
    <x v="0"/>
    <x v="1"/>
    <x v="37"/>
    <x v="0"/>
    <x v="0"/>
    <x v="0"/>
    <x v="13"/>
    <x v="77"/>
    <x v="35"/>
    <x v="40"/>
    <x v="66"/>
  </r>
  <r>
    <x v="83"/>
    <x v="47"/>
    <x v="0"/>
    <x v="2"/>
    <x v="2"/>
    <x v="0"/>
    <x v="9"/>
    <x v="3"/>
    <x v="3"/>
    <x v="82"/>
    <x v="83"/>
    <x v="3"/>
    <x v="2"/>
    <x v="66"/>
    <x v="3"/>
    <x v="0"/>
    <x v="0"/>
    <x v="67"/>
    <x v="0"/>
    <x v="1"/>
    <x v="0"/>
    <x v="77"/>
    <x v="78"/>
    <x v="50"/>
    <x v="67"/>
    <x v="39"/>
  </r>
  <r>
    <x v="84"/>
    <x v="35"/>
    <x v="1"/>
    <x v="4"/>
    <x v="1"/>
    <x v="0"/>
    <x v="13"/>
    <x v="0"/>
    <x v="0"/>
    <x v="83"/>
    <x v="84"/>
    <x v="1"/>
    <x v="2"/>
    <x v="67"/>
    <x v="1"/>
    <x v="0"/>
    <x v="3"/>
    <x v="68"/>
    <x v="0"/>
    <x v="0"/>
    <x v="0"/>
    <x v="78"/>
    <x v="79"/>
    <x v="49"/>
    <x v="68"/>
    <x v="49"/>
  </r>
  <r>
    <x v="85"/>
    <x v="46"/>
    <x v="2"/>
    <x v="4"/>
    <x v="2"/>
    <x v="0"/>
    <x v="18"/>
    <x v="2"/>
    <x v="1"/>
    <x v="84"/>
    <x v="85"/>
    <x v="0"/>
    <x v="0"/>
    <x v="20"/>
    <x v="0"/>
    <x v="2"/>
    <x v="3"/>
    <x v="69"/>
    <x v="1"/>
    <x v="2"/>
    <x v="1"/>
    <x v="79"/>
    <x v="77"/>
    <x v="34"/>
    <x v="69"/>
    <x v="12"/>
  </r>
  <r>
    <x v="86"/>
    <x v="53"/>
    <x v="0"/>
    <x v="1"/>
    <x v="4"/>
    <x v="0"/>
    <x v="7"/>
    <x v="0"/>
    <x v="2"/>
    <x v="85"/>
    <x v="86"/>
    <x v="3"/>
    <x v="0"/>
    <x v="68"/>
    <x v="3"/>
    <x v="1"/>
    <x v="4"/>
    <x v="70"/>
    <x v="1"/>
    <x v="1"/>
    <x v="0"/>
    <x v="18"/>
    <x v="80"/>
    <x v="51"/>
    <x v="70"/>
    <x v="67"/>
  </r>
  <r>
    <x v="87"/>
    <x v="54"/>
    <x v="0"/>
    <x v="2"/>
    <x v="1"/>
    <x v="0"/>
    <x v="8"/>
    <x v="0"/>
    <x v="3"/>
    <x v="86"/>
    <x v="87"/>
    <x v="3"/>
    <x v="1"/>
    <x v="69"/>
    <x v="3"/>
    <x v="1"/>
    <x v="0"/>
    <x v="71"/>
    <x v="1"/>
    <x v="4"/>
    <x v="1"/>
    <x v="80"/>
    <x v="81"/>
    <x v="52"/>
    <x v="71"/>
    <x v="34"/>
  </r>
  <r>
    <x v="88"/>
    <x v="52"/>
    <x v="1"/>
    <x v="4"/>
    <x v="4"/>
    <x v="5"/>
    <x v="8"/>
    <x v="1"/>
    <x v="0"/>
    <x v="4"/>
    <x v="88"/>
    <x v="0"/>
    <x v="3"/>
    <x v="70"/>
    <x v="0"/>
    <x v="1"/>
    <x v="2"/>
    <x v="60"/>
    <x v="1"/>
    <x v="0"/>
    <x v="1"/>
    <x v="81"/>
    <x v="82"/>
    <x v="46"/>
    <x v="72"/>
    <x v="58"/>
  </r>
  <r>
    <x v="89"/>
    <x v="19"/>
    <x v="0"/>
    <x v="3"/>
    <x v="3"/>
    <x v="2"/>
    <x v="0"/>
    <x v="1"/>
    <x v="2"/>
    <x v="87"/>
    <x v="89"/>
    <x v="3"/>
    <x v="0"/>
    <x v="39"/>
    <x v="3"/>
    <x v="2"/>
    <x v="0"/>
    <x v="72"/>
    <x v="1"/>
    <x v="2"/>
    <x v="0"/>
    <x v="82"/>
    <x v="83"/>
    <x v="49"/>
    <x v="73"/>
    <x v="68"/>
  </r>
  <r>
    <x v="90"/>
    <x v="37"/>
    <x v="2"/>
    <x v="4"/>
    <x v="0"/>
    <x v="0"/>
    <x v="3"/>
    <x v="2"/>
    <x v="1"/>
    <x v="88"/>
    <x v="90"/>
    <x v="2"/>
    <x v="3"/>
    <x v="71"/>
    <x v="2"/>
    <x v="2"/>
    <x v="0"/>
    <x v="73"/>
    <x v="1"/>
    <x v="0"/>
    <x v="0"/>
    <x v="83"/>
    <x v="84"/>
    <x v="17"/>
    <x v="74"/>
    <x v="69"/>
  </r>
  <r>
    <x v="91"/>
    <x v="3"/>
    <x v="1"/>
    <x v="1"/>
    <x v="3"/>
    <x v="1"/>
    <x v="19"/>
    <x v="0"/>
    <x v="1"/>
    <x v="89"/>
    <x v="91"/>
    <x v="3"/>
    <x v="4"/>
    <x v="72"/>
    <x v="3"/>
    <x v="2"/>
    <x v="3"/>
    <x v="74"/>
    <x v="1"/>
    <x v="2"/>
    <x v="1"/>
    <x v="84"/>
    <x v="85"/>
    <x v="53"/>
    <x v="75"/>
    <x v="70"/>
  </r>
  <r>
    <x v="92"/>
    <x v="55"/>
    <x v="2"/>
    <x v="4"/>
    <x v="3"/>
    <x v="0"/>
    <x v="16"/>
    <x v="1"/>
    <x v="2"/>
    <x v="90"/>
    <x v="92"/>
    <x v="0"/>
    <x v="1"/>
    <x v="26"/>
    <x v="0"/>
    <x v="2"/>
    <x v="1"/>
    <x v="75"/>
    <x v="1"/>
    <x v="4"/>
    <x v="1"/>
    <x v="85"/>
    <x v="86"/>
    <x v="7"/>
    <x v="76"/>
    <x v="71"/>
  </r>
  <r>
    <x v="93"/>
    <x v="51"/>
    <x v="2"/>
    <x v="1"/>
    <x v="2"/>
    <x v="0"/>
    <x v="9"/>
    <x v="2"/>
    <x v="0"/>
    <x v="91"/>
    <x v="93"/>
    <x v="0"/>
    <x v="1"/>
    <x v="73"/>
    <x v="0"/>
    <x v="0"/>
    <x v="1"/>
    <x v="76"/>
    <x v="0"/>
    <x v="1"/>
    <x v="0"/>
    <x v="31"/>
    <x v="87"/>
    <x v="54"/>
    <x v="59"/>
    <x v="72"/>
  </r>
  <r>
    <x v="94"/>
    <x v="3"/>
    <x v="0"/>
    <x v="0"/>
    <x v="4"/>
    <x v="0"/>
    <x v="9"/>
    <x v="1"/>
    <x v="0"/>
    <x v="92"/>
    <x v="94"/>
    <x v="1"/>
    <x v="2"/>
    <x v="18"/>
    <x v="1"/>
    <x v="1"/>
    <x v="2"/>
    <x v="77"/>
    <x v="1"/>
    <x v="2"/>
    <x v="0"/>
    <x v="86"/>
    <x v="88"/>
    <x v="55"/>
    <x v="77"/>
    <x v="73"/>
  </r>
  <r>
    <x v="95"/>
    <x v="15"/>
    <x v="2"/>
    <x v="4"/>
    <x v="4"/>
    <x v="3"/>
    <x v="12"/>
    <x v="0"/>
    <x v="0"/>
    <x v="93"/>
    <x v="95"/>
    <x v="1"/>
    <x v="4"/>
    <x v="74"/>
    <x v="1"/>
    <x v="1"/>
    <x v="1"/>
    <x v="64"/>
    <x v="1"/>
    <x v="1"/>
    <x v="1"/>
    <x v="87"/>
    <x v="40"/>
    <x v="56"/>
    <x v="15"/>
    <x v="57"/>
  </r>
  <r>
    <x v="96"/>
    <x v="48"/>
    <x v="2"/>
    <x v="1"/>
    <x v="1"/>
    <x v="3"/>
    <x v="18"/>
    <x v="0"/>
    <x v="2"/>
    <x v="94"/>
    <x v="96"/>
    <x v="2"/>
    <x v="2"/>
    <x v="22"/>
    <x v="2"/>
    <x v="2"/>
    <x v="2"/>
    <x v="38"/>
    <x v="1"/>
    <x v="2"/>
    <x v="1"/>
    <x v="88"/>
    <x v="89"/>
    <x v="57"/>
    <x v="78"/>
    <x v="33"/>
  </r>
  <r>
    <x v="97"/>
    <x v="29"/>
    <x v="0"/>
    <x v="1"/>
    <x v="4"/>
    <x v="4"/>
    <x v="9"/>
    <x v="1"/>
    <x v="2"/>
    <x v="95"/>
    <x v="97"/>
    <x v="2"/>
    <x v="2"/>
    <x v="66"/>
    <x v="2"/>
    <x v="1"/>
    <x v="1"/>
    <x v="78"/>
    <x v="1"/>
    <x v="3"/>
    <x v="1"/>
    <x v="89"/>
    <x v="90"/>
    <x v="13"/>
    <x v="36"/>
    <x v="74"/>
  </r>
  <r>
    <x v="98"/>
    <x v="27"/>
    <x v="0"/>
    <x v="1"/>
    <x v="0"/>
    <x v="0"/>
    <x v="14"/>
    <x v="3"/>
    <x v="2"/>
    <x v="96"/>
    <x v="98"/>
    <x v="3"/>
    <x v="4"/>
    <x v="75"/>
    <x v="3"/>
    <x v="1"/>
    <x v="2"/>
    <x v="79"/>
    <x v="1"/>
    <x v="3"/>
    <x v="1"/>
    <x v="90"/>
    <x v="91"/>
    <x v="58"/>
    <x v="79"/>
    <x v="36"/>
  </r>
  <r>
    <x v="99"/>
    <x v="50"/>
    <x v="2"/>
    <x v="3"/>
    <x v="1"/>
    <x v="0"/>
    <x v="16"/>
    <x v="2"/>
    <x v="2"/>
    <x v="97"/>
    <x v="68"/>
    <x v="3"/>
    <x v="0"/>
    <x v="76"/>
    <x v="3"/>
    <x v="2"/>
    <x v="3"/>
    <x v="80"/>
    <x v="1"/>
    <x v="3"/>
    <x v="1"/>
    <x v="91"/>
    <x v="92"/>
    <x v="12"/>
    <x v="1"/>
    <x v="75"/>
  </r>
  <r>
    <x v="100"/>
    <x v="9"/>
    <x v="2"/>
    <x v="0"/>
    <x v="1"/>
    <x v="2"/>
    <x v="13"/>
    <x v="0"/>
    <x v="0"/>
    <x v="98"/>
    <x v="99"/>
    <x v="3"/>
    <x v="3"/>
    <x v="77"/>
    <x v="3"/>
    <x v="2"/>
    <x v="4"/>
    <x v="81"/>
    <x v="1"/>
    <x v="4"/>
    <x v="0"/>
    <x v="23"/>
    <x v="53"/>
    <x v="37"/>
    <x v="80"/>
    <x v="76"/>
  </r>
  <r>
    <x v="101"/>
    <x v="24"/>
    <x v="2"/>
    <x v="2"/>
    <x v="0"/>
    <x v="3"/>
    <x v="14"/>
    <x v="3"/>
    <x v="1"/>
    <x v="99"/>
    <x v="100"/>
    <x v="2"/>
    <x v="1"/>
    <x v="31"/>
    <x v="2"/>
    <x v="2"/>
    <x v="2"/>
    <x v="62"/>
    <x v="1"/>
    <x v="2"/>
    <x v="0"/>
    <x v="92"/>
    <x v="93"/>
    <x v="59"/>
    <x v="81"/>
    <x v="77"/>
  </r>
  <r>
    <x v="102"/>
    <x v="56"/>
    <x v="2"/>
    <x v="0"/>
    <x v="3"/>
    <x v="3"/>
    <x v="12"/>
    <x v="2"/>
    <x v="1"/>
    <x v="100"/>
    <x v="101"/>
    <x v="0"/>
    <x v="3"/>
    <x v="78"/>
    <x v="0"/>
    <x v="2"/>
    <x v="4"/>
    <x v="82"/>
    <x v="1"/>
    <x v="2"/>
    <x v="1"/>
    <x v="93"/>
    <x v="32"/>
    <x v="50"/>
    <x v="25"/>
    <x v="78"/>
  </r>
  <r>
    <x v="103"/>
    <x v="19"/>
    <x v="0"/>
    <x v="0"/>
    <x v="1"/>
    <x v="5"/>
    <x v="7"/>
    <x v="2"/>
    <x v="1"/>
    <x v="101"/>
    <x v="102"/>
    <x v="1"/>
    <x v="4"/>
    <x v="24"/>
    <x v="1"/>
    <x v="2"/>
    <x v="0"/>
    <x v="81"/>
    <x v="1"/>
    <x v="0"/>
    <x v="0"/>
    <x v="94"/>
    <x v="42"/>
    <x v="41"/>
    <x v="74"/>
    <x v="41"/>
  </r>
  <r>
    <x v="104"/>
    <x v="3"/>
    <x v="2"/>
    <x v="0"/>
    <x v="4"/>
    <x v="5"/>
    <x v="8"/>
    <x v="0"/>
    <x v="1"/>
    <x v="102"/>
    <x v="103"/>
    <x v="0"/>
    <x v="4"/>
    <x v="79"/>
    <x v="0"/>
    <x v="0"/>
    <x v="0"/>
    <x v="76"/>
    <x v="0"/>
    <x v="2"/>
    <x v="0"/>
    <x v="0"/>
    <x v="94"/>
    <x v="15"/>
    <x v="33"/>
    <x v="46"/>
  </r>
  <r>
    <x v="105"/>
    <x v="57"/>
    <x v="2"/>
    <x v="1"/>
    <x v="4"/>
    <x v="0"/>
    <x v="10"/>
    <x v="0"/>
    <x v="1"/>
    <x v="103"/>
    <x v="104"/>
    <x v="3"/>
    <x v="4"/>
    <x v="80"/>
    <x v="3"/>
    <x v="2"/>
    <x v="3"/>
    <x v="62"/>
    <x v="1"/>
    <x v="0"/>
    <x v="0"/>
    <x v="19"/>
    <x v="95"/>
    <x v="59"/>
    <x v="82"/>
    <x v="79"/>
  </r>
  <r>
    <x v="106"/>
    <x v="58"/>
    <x v="2"/>
    <x v="3"/>
    <x v="0"/>
    <x v="4"/>
    <x v="18"/>
    <x v="0"/>
    <x v="1"/>
    <x v="10"/>
    <x v="105"/>
    <x v="3"/>
    <x v="3"/>
    <x v="81"/>
    <x v="3"/>
    <x v="1"/>
    <x v="2"/>
    <x v="83"/>
    <x v="1"/>
    <x v="3"/>
    <x v="1"/>
    <x v="95"/>
    <x v="96"/>
    <x v="8"/>
    <x v="41"/>
    <x v="80"/>
  </r>
  <r>
    <x v="107"/>
    <x v="31"/>
    <x v="2"/>
    <x v="0"/>
    <x v="1"/>
    <x v="3"/>
    <x v="6"/>
    <x v="2"/>
    <x v="2"/>
    <x v="104"/>
    <x v="106"/>
    <x v="1"/>
    <x v="0"/>
    <x v="82"/>
    <x v="1"/>
    <x v="2"/>
    <x v="3"/>
    <x v="83"/>
    <x v="1"/>
    <x v="1"/>
    <x v="0"/>
    <x v="0"/>
    <x v="97"/>
    <x v="39"/>
    <x v="83"/>
    <x v="81"/>
  </r>
  <r>
    <x v="108"/>
    <x v="51"/>
    <x v="2"/>
    <x v="2"/>
    <x v="2"/>
    <x v="3"/>
    <x v="3"/>
    <x v="0"/>
    <x v="3"/>
    <x v="105"/>
    <x v="107"/>
    <x v="3"/>
    <x v="3"/>
    <x v="83"/>
    <x v="3"/>
    <x v="1"/>
    <x v="0"/>
    <x v="26"/>
    <x v="1"/>
    <x v="4"/>
    <x v="1"/>
    <x v="96"/>
    <x v="98"/>
    <x v="60"/>
    <x v="84"/>
    <x v="82"/>
  </r>
  <r>
    <x v="109"/>
    <x v="53"/>
    <x v="2"/>
    <x v="1"/>
    <x v="2"/>
    <x v="0"/>
    <x v="1"/>
    <x v="2"/>
    <x v="1"/>
    <x v="106"/>
    <x v="108"/>
    <x v="0"/>
    <x v="1"/>
    <x v="46"/>
    <x v="0"/>
    <x v="2"/>
    <x v="4"/>
    <x v="11"/>
    <x v="1"/>
    <x v="1"/>
    <x v="1"/>
    <x v="97"/>
    <x v="99"/>
    <x v="47"/>
    <x v="73"/>
    <x v="60"/>
  </r>
  <r>
    <x v="110"/>
    <x v="25"/>
    <x v="1"/>
    <x v="3"/>
    <x v="0"/>
    <x v="3"/>
    <x v="10"/>
    <x v="0"/>
    <x v="2"/>
    <x v="102"/>
    <x v="109"/>
    <x v="3"/>
    <x v="2"/>
    <x v="49"/>
    <x v="3"/>
    <x v="0"/>
    <x v="2"/>
    <x v="84"/>
    <x v="0"/>
    <x v="1"/>
    <x v="0"/>
    <x v="98"/>
    <x v="100"/>
    <x v="50"/>
    <x v="68"/>
    <x v="83"/>
  </r>
  <r>
    <x v="111"/>
    <x v="0"/>
    <x v="2"/>
    <x v="0"/>
    <x v="0"/>
    <x v="0"/>
    <x v="14"/>
    <x v="3"/>
    <x v="2"/>
    <x v="107"/>
    <x v="110"/>
    <x v="2"/>
    <x v="4"/>
    <x v="84"/>
    <x v="2"/>
    <x v="2"/>
    <x v="3"/>
    <x v="19"/>
    <x v="1"/>
    <x v="4"/>
    <x v="0"/>
    <x v="99"/>
    <x v="101"/>
    <x v="14"/>
    <x v="85"/>
    <x v="55"/>
  </r>
  <r>
    <x v="112"/>
    <x v="10"/>
    <x v="2"/>
    <x v="4"/>
    <x v="0"/>
    <x v="4"/>
    <x v="8"/>
    <x v="2"/>
    <x v="0"/>
    <x v="108"/>
    <x v="111"/>
    <x v="0"/>
    <x v="2"/>
    <x v="85"/>
    <x v="0"/>
    <x v="1"/>
    <x v="1"/>
    <x v="85"/>
    <x v="1"/>
    <x v="0"/>
    <x v="1"/>
    <x v="56"/>
    <x v="102"/>
    <x v="61"/>
    <x v="86"/>
    <x v="49"/>
  </r>
  <r>
    <x v="113"/>
    <x v="59"/>
    <x v="1"/>
    <x v="3"/>
    <x v="4"/>
    <x v="2"/>
    <x v="7"/>
    <x v="0"/>
    <x v="3"/>
    <x v="109"/>
    <x v="112"/>
    <x v="0"/>
    <x v="4"/>
    <x v="12"/>
    <x v="0"/>
    <x v="0"/>
    <x v="2"/>
    <x v="86"/>
    <x v="0"/>
    <x v="1"/>
    <x v="0"/>
    <x v="58"/>
    <x v="103"/>
    <x v="57"/>
    <x v="87"/>
    <x v="71"/>
  </r>
  <r>
    <x v="114"/>
    <x v="18"/>
    <x v="1"/>
    <x v="0"/>
    <x v="2"/>
    <x v="1"/>
    <x v="12"/>
    <x v="1"/>
    <x v="2"/>
    <x v="110"/>
    <x v="113"/>
    <x v="2"/>
    <x v="0"/>
    <x v="57"/>
    <x v="2"/>
    <x v="0"/>
    <x v="4"/>
    <x v="76"/>
    <x v="0"/>
    <x v="0"/>
    <x v="1"/>
    <x v="100"/>
    <x v="99"/>
    <x v="53"/>
    <x v="12"/>
    <x v="84"/>
  </r>
  <r>
    <x v="115"/>
    <x v="2"/>
    <x v="2"/>
    <x v="2"/>
    <x v="3"/>
    <x v="0"/>
    <x v="3"/>
    <x v="2"/>
    <x v="2"/>
    <x v="111"/>
    <x v="111"/>
    <x v="1"/>
    <x v="3"/>
    <x v="49"/>
    <x v="1"/>
    <x v="2"/>
    <x v="3"/>
    <x v="87"/>
    <x v="1"/>
    <x v="0"/>
    <x v="0"/>
    <x v="101"/>
    <x v="46"/>
    <x v="23"/>
    <x v="77"/>
    <x v="46"/>
  </r>
  <r>
    <x v="116"/>
    <x v="4"/>
    <x v="1"/>
    <x v="4"/>
    <x v="0"/>
    <x v="0"/>
    <x v="12"/>
    <x v="1"/>
    <x v="3"/>
    <x v="112"/>
    <x v="114"/>
    <x v="0"/>
    <x v="0"/>
    <x v="86"/>
    <x v="0"/>
    <x v="2"/>
    <x v="1"/>
    <x v="88"/>
    <x v="1"/>
    <x v="0"/>
    <x v="1"/>
    <x v="102"/>
    <x v="104"/>
    <x v="62"/>
    <x v="88"/>
    <x v="46"/>
  </r>
  <r>
    <x v="117"/>
    <x v="4"/>
    <x v="2"/>
    <x v="0"/>
    <x v="3"/>
    <x v="0"/>
    <x v="10"/>
    <x v="2"/>
    <x v="0"/>
    <x v="113"/>
    <x v="115"/>
    <x v="1"/>
    <x v="3"/>
    <x v="87"/>
    <x v="1"/>
    <x v="0"/>
    <x v="1"/>
    <x v="62"/>
    <x v="0"/>
    <x v="2"/>
    <x v="0"/>
    <x v="5"/>
    <x v="105"/>
    <x v="28"/>
    <x v="3"/>
    <x v="37"/>
  </r>
  <r>
    <x v="118"/>
    <x v="47"/>
    <x v="0"/>
    <x v="2"/>
    <x v="3"/>
    <x v="0"/>
    <x v="12"/>
    <x v="1"/>
    <x v="0"/>
    <x v="114"/>
    <x v="116"/>
    <x v="0"/>
    <x v="4"/>
    <x v="88"/>
    <x v="0"/>
    <x v="1"/>
    <x v="4"/>
    <x v="22"/>
    <x v="1"/>
    <x v="2"/>
    <x v="0"/>
    <x v="103"/>
    <x v="106"/>
    <x v="25"/>
    <x v="89"/>
    <x v="37"/>
  </r>
  <r>
    <x v="119"/>
    <x v="29"/>
    <x v="0"/>
    <x v="0"/>
    <x v="3"/>
    <x v="0"/>
    <x v="10"/>
    <x v="0"/>
    <x v="0"/>
    <x v="115"/>
    <x v="117"/>
    <x v="3"/>
    <x v="3"/>
    <x v="1"/>
    <x v="3"/>
    <x v="1"/>
    <x v="1"/>
    <x v="70"/>
    <x v="1"/>
    <x v="1"/>
    <x v="1"/>
    <x v="72"/>
    <x v="107"/>
    <x v="63"/>
    <x v="90"/>
    <x v="10"/>
  </r>
  <r>
    <x v="120"/>
    <x v="49"/>
    <x v="0"/>
    <x v="3"/>
    <x v="0"/>
    <x v="3"/>
    <x v="1"/>
    <x v="0"/>
    <x v="3"/>
    <x v="116"/>
    <x v="118"/>
    <x v="0"/>
    <x v="1"/>
    <x v="89"/>
    <x v="0"/>
    <x v="2"/>
    <x v="0"/>
    <x v="86"/>
    <x v="1"/>
    <x v="4"/>
    <x v="1"/>
    <x v="104"/>
    <x v="108"/>
    <x v="64"/>
    <x v="91"/>
    <x v="85"/>
  </r>
  <r>
    <x v="121"/>
    <x v="12"/>
    <x v="2"/>
    <x v="4"/>
    <x v="4"/>
    <x v="0"/>
    <x v="19"/>
    <x v="2"/>
    <x v="1"/>
    <x v="6"/>
    <x v="119"/>
    <x v="2"/>
    <x v="3"/>
    <x v="90"/>
    <x v="2"/>
    <x v="2"/>
    <x v="3"/>
    <x v="74"/>
    <x v="1"/>
    <x v="0"/>
    <x v="1"/>
    <x v="105"/>
    <x v="109"/>
    <x v="65"/>
    <x v="52"/>
    <x v="3"/>
  </r>
  <r>
    <x v="122"/>
    <x v="60"/>
    <x v="0"/>
    <x v="2"/>
    <x v="2"/>
    <x v="5"/>
    <x v="12"/>
    <x v="1"/>
    <x v="0"/>
    <x v="117"/>
    <x v="120"/>
    <x v="2"/>
    <x v="3"/>
    <x v="91"/>
    <x v="2"/>
    <x v="1"/>
    <x v="0"/>
    <x v="89"/>
    <x v="1"/>
    <x v="0"/>
    <x v="1"/>
    <x v="106"/>
    <x v="110"/>
    <x v="66"/>
    <x v="92"/>
    <x v="57"/>
  </r>
  <r>
    <x v="123"/>
    <x v="61"/>
    <x v="0"/>
    <x v="1"/>
    <x v="0"/>
    <x v="0"/>
    <x v="2"/>
    <x v="2"/>
    <x v="1"/>
    <x v="118"/>
    <x v="31"/>
    <x v="1"/>
    <x v="1"/>
    <x v="62"/>
    <x v="1"/>
    <x v="1"/>
    <x v="4"/>
    <x v="19"/>
    <x v="1"/>
    <x v="1"/>
    <x v="0"/>
    <x v="107"/>
    <x v="111"/>
    <x v="37"/>
    <x v="27"/>
    <x v="7"/>
  </r>
  <r>
    <x v="124"/>
    <x v="18"/>
    <x v="0"/>
    <x v="2"/>
    <x v="4"/>
    <x v="0"/>
    <x v="14"/>
    <x v="0"/>
    <x v="3"/>
    <x v="119"/>
    <x v="121"/>
    <x v="0"/>
    <x v="3"/>
    <x v="54"/>
    <x v="0"/>
    <x v="0"/>
    <x v="0"/>
    <x v="3"/>
    <x v="0"/>
    <x v="3"/>
    <x v="0"/>
    <x v="108"/>
    <x v="112"/>
    <x v="67"/>
    <x v="0"/>
    <x v="86"/>
  </r>
  <r>
    <x v="125"/>
    <x v="47"/>
    <x v="1"/>
    <x v="0"/>
    <x v="4"/>
    <x v="0"/>
    <x v="15"/>
    <x v="0"/>
    <x v="0"/>
    <x v="120"/>
    <x v="122"/>
    <x v="1"/>
    <x v="4"/>
    <x v="92"/>
    <x v="1"/>
    <x v="0"/>
    <x v="0"/>
    <x v="24"/>
    <x v="0"/>
    <x v="4"/>
    <x v="0"/>
    <x v="109"/>
    <x v="113"/>
    <x v="68"/>
    <x v="93"/>
    <x v="12"/>
  </r>
  <r>
    <x v="126"/>
    <x v="43"/>
    <x v="2"/>
    <x v="4"/>
    <x v="1"/>
    <x v="0"/>
    <x v="1"/>
    <x v="0"/>
    <x v="1"/>
    <x v="121"/>
    <x v="123"/>
    <x v="0"/>
    <x v="1"/>
    <x v="93"/>
    <x v="0"/>
    <x v="1"/>
    <x v="4"/>
    <x v="90"/>
    <x v="1"/>
    <x v="0"/>
    <x v="1"/>
    <x v="73"/>
    <x v="114"/>
    <x v="27"/>
    <x v="94"/>
    <x v="0"/>
  </r>
  <r>
    <x v="127"/>
    <x v="24"/>
    <x v="2"/>
    <x v="4"/>
    <x v="3"/>
    <x v="0"/>
    <x v="2"/>
    <x v="2"/>
    <x v="3"/>
    <x v="122"/>
    <x v="124"/>
    <x v="2"/>
    <x v="2"/>
    <x v="94"/>
    <x v="2"/>
    <x v="0"/>
    <x v="0"/>
    <x v="91"/>
    <x v="0"/>
    <x v="2"/>
    <x v="0"/>
    <x v="110"/>
    <x v="7"/>
    <x v="69"/>
    <x v="24"/>
    <x v="57"/>
  </r>
  <r>
    <x v="128"/>
    <x v="52"/>
    <x v="1"/>
    <x v="1"/>
    <x v="2"/>
    <x v="3"/>
    <x v="15"/>
    <x v="3"/>
    <x v="2"/>
    <x v="123"/>
    <x v="125"/>
    <x v="1"/>
    <x v="3"/>
    <x v="59"/>
    <x v="1"/>
    <x v="1"/>
    <x v="2"/>
    <x v="92"/>
    <x v="1"/>
    <x v="2"/>
    <x v="1"/>
    <x v="111"/>
    <x v="61"/>
    <x v="23"/>
    <x v="59"/>
    <x v="87"/>
  </r>
  <r>
    <x v="129"/>
    <x v="12"/>
    <x v="2"/>
    <x v="4"/>
    <x v="3"/>
    <x v="0"/>
    <x v="17"/>
    <x v="3"/>
    <x v="3"/>
    <x v="124"/>
    <x v="126"/>
    <x v="0"/>
    <x v="2"/>
    <x v="73"/>
    <x v="0"/>
    <x v="1"/>
    <x v="1"/>
    <x v="83"/>
    <x v="1"/>
    <x v="4"/>
    <x v="0"/>
    <x v="46"/>
    <x v="115"/>
    <x v="46"/>
    <x v="95"/>
    <x v="5"/>
  </r>
  <r>
    <x v="130"/>
    <x v="17"/>
    <x v="1"/>
    <x v="1"/>
    <x v="2"/>
    <x v="1"/>
    <x v="1"/>
    <x v="2"/>
    <x v="0"/>
    <x v="125"/>
    <x v="127"/>
    <x v="2"/>
    <x v="0"/>
    <x v="95"/>
    <x v="2"/>
    <x v="2"/>
    <x v="1"/>
    <x v="93"/>
    <x v="1"/>
    <x v="4"/>
    <x v="0"/>
    <x v="57"/>
    <x v="116"/>
    <x v="70"/>
    <x v="96"/>
    <x v="8"/>
  </r>
  <r>
    <x v="131"/>
    <x v="60"/>
    <x v="1"/>
    <x v="4"/>
    <x v="1"/>
    <x v="0"/>
    <x v="6"/>
    <x v="3"/>
    <x v="1"/>
    <x v="126"/>
    <x v="128"/>
    <x v="2"/>
    <x v="1"/>
    <x v="89"/>
    <x v="2"/>
    <x v="2"/>
    <x v="3"/>
    <x v="19"/>
    <x v="1"/>
    <x v="3"/>
    <x v="0"/>
    <x v="112"/>
    <x v="117"/>
    <x v="37"/>
    <x v="73"/>
    <x v="73"/>
  </r>
  <r>
    <x v="132"/>
    <x v="33"/>
    <x v="0"/>
    <x v="0"/>
    <x v="3"/>
    <x v="0"/>
    <x v="7"/>
    <x v="3"/>
    <x v="3"/>
    <x v="127"/>
    <x v="129"/>
    <x v="2"/>
    <x v="2"/>
    <x v="96"/>
    <x v="2"/>
    <x v="1"/>
    <x v="2"/>
    <x v="47"/>
    <x v="1"/>
    <x v="2"/>
    <x v="0"/>
    <x v="111"/>
    <x v="118"/>
    <x v="30"/>
    <x v="29"/>
    <x v="88"/>
  </r>
  <r>
    <x v="133"/>
    <x v="45"/>
    <x v="1"/>
    <x v="0"/>
    <x v="0"/>
    <x v="1"/>
    <x v="10"/>
    <x v="3"/>
    <x v="3"/>
    <x v="51"/>
    <x v="130"/>
    <x v="2"/>
    <x v="3"/>
    <x v="97"/>
    <x v="2"/>
    <x v="0"/>
    <x v="1"/>
    <x v="53"/>
    <x v="0"/>
    <x v="0"/>
    <x v="1"/>
    <x v="35"/>
    <x v="119"/>
    <x v="21"/>
    <x v="97"/>
    <x v="71"/>
  </r>
  <r>
    <x v="134"/>
    <x v="48"/>
    <x v="2"/>
    <x v="0"/>
    <x v="2"/>
    <x v="0"/>
    <x v="11"/>
    <x v="0"/>
    <x v="0"/>
    <x v="128"/>
    <x v="131"/>
    <x v="0"/>
    <x v="0"/>
    <x v="98"/>
    <x v="0"/>
    <x v="0"/>
    <x v="1"/>
    <x v="86"/>
    <x v="0"/>
    <x v="3"/>
    <x v="0"/>
    <x v="113"/>
    <x v="16"/>
    <x v="19"/>
    <x v="66"/>
    <x v="13"/>
  </r>
  <r>
    <x v="135"/>
    <x v="4"/>
    <x v="1"/>
    <x v="2"/>
    <x v="4"/>
    <x v="1"/>
    <x v="14"/>
    <x v="1"/>
    <x v="1"/>
    <x v="129"/>
    <x v="132"/>
    <x v="3"/>
    <x v="3"/>
    <x v="99"/>
    <x v="3"/>
    <x v="2"/>
    <x v="0"/>
    <x v="39"/>
    <x v="1"/>
    <x v="0"/>
    <x v="0"/>
    <x v="96"/>
    <x v="120"/>
    <x v="57"/>
    <x v="67"/>
    <x v="89"/>
  </r>
  <r>
    <x v="136"/>
    <x v="45"/>
    <x v="1"/>
    <x v="4"/>
    <x v="1"/>
    <x v="0"/>
    <x v="8"/>
    <x v="1"/>
    <x v="1"/>
    <x v="125"/>
    <x v="133"/>
    <x v="0"/>
    <x v="1"/>
    <x v="15"/>
    <x v="0"/>
    <x v="2"/>
    <x v="1"/>
    <x v="71"/>
    <x v="1"/>
    <x v="2"/>
    <x v="1"/>
    <x v="114"/>
    <x v="121"/>
    <x v="19"/>
    <x v="98"/>
    <x v="26"/>
  </r>
  <r>
    <x v="137"/>
    <x v="23"/>
    <x v="2"/>
    <x v="1"/>
    <x v="2"/>
    <x v="0"/>
    <x v="3"/>
    <x v="2"/>
    <x v="1"/>
    <x v="130"/>
    <x v="134"/>
    <x v="2"/>
    <x v="1"/>
    <x v="100"/>
    <x v="2"/>
    <x v="0"/>
    <x v="2"/>
    <x v="2"/>
    <x v="0"/>
    <x v="4"/>
    <x v="1"/>
    <x v="43"/>
    <x v="90"/>
    <x v="32"/>
    <x v="99"/>
    <x v="78"/>
  </r>
  <r>
    <x v="138"/>
    <x v="62"/>
    <x v="2"/>
    <x v="2"/>
    <x v="3"/>
    <x v="0"/>
    <x v="3"/>
    <x v="0"/>
    <x v="1"/>
    <x v="131"/>
    <x v="135"/>
    <x v="3"/>
    <x v="1"/>
    <x v="89"/>
    <x v="3"/>
    <x v="1"/>
    <x v="0"/>
    <x v="28"/>
    <x v="1"/>
    <x v="0"/>
    <x v="1"/>
    <x v="65"/>
    <x v="54"/>
    <x v="42"/>
    <x v="14"/>
    <x v="2"/>
  </r>
  <r>
    <x v="139"/>
    <x v="43"/>
    <x v="0"/>
    <x v="0"/>
    <x v="4"/>
    <x v="4"/>
    <x v="17"/>
    <x v="0"/>
    <x v="3"/>
    <x v="132"/>
    <x v="136"/>
    <x v="3"/>
    <x v="0"/>
    <x v="23"/>
    <x v="3"/>
    <x v="0"/>
    <x v="0"/>
    <x v="26"/>
    <x v="0"/>
    <x v="4"/>
    <x v="1"/>
    <x v="56"/>
    <x v="122"/>
    <x v="4"/>
    <x v="100"/>
    <x v="7"/>
  </r>
  <r>
    <x v="140"/>
    <x v="61"/>
    <x v="1"/>
    <x v="2"/>
    <x v="1"/>
    <x v="3"/>
    <x v="13"/>
    <x v="2"/>
    <x v="1"/>
    <x v="133"/>
    <x v="137"/>
    <x v="0"/>
    <x v="2"/>
    <x v="8"/>
    <x v="0"/>
    <x v="0"/>
    <x v="0"/>
    <x v="94"/>
    <x v="0"/>
    <x v="4"/>
    <x v="1"/>
    <x v="115"/>
    <x v="123"/>
    <x v="47"/>
    <x v="101"/>
    <x v="77"/>
  </r>
  <r>
    <x v="141"/>
    <x v="5"/>
    <x v="1"/>
    <x v="0"/>
    <x v="3"/>
    <x v="0"/>
    <x v="9"/>
    <x v="0"/>
    <x v="1"/>
    <x v="134"/>
    <x v="138"/>
    <x v="0"/>
    <x v="3"/>
    <x v="101"/>
    <x v="0"/>
    <x v="0"/>
    <x v="1"/>
    <x v="86"/>
    <x v="0"/>
    <x v="1"/>
    <x v="0"/>
    <x v="116"/>
    <x v="124"/>
    <x v="71"/>
    <x v="102"/>
    <x v="83"/>
  </r>
  <r>
    <x v="142"/>
    <x v="38"/>
    <x v="2"/>
    <x v="4"/>
    <x v="3"/>
    <x v="0"/>
    <x v="19"/>
    <x v="2"/>
    <x v="1"/>
    <x v="135"/>
    <x v="139"/>
    <x v="3"/>
    <x v="0"/>
    <x v="102"/>
    <x v="3"/>
    <x v="1"/>
    <x v="4"/>
    <x v="95"/>
    <x v="1"/>
    <x v="3"/>
    <x v="0"/>
    <x v="117"/>
    <x v="62"/>
    <x v="28"/>
    <x v="103"/>
    <x v="90"/>
  </r>
  <r>
    <x v="143"/>
    <x v="35"/>
    <x v="1"/>
    <x v="0"/>
    <x v="1"/>
    <x v="5"/>
    <x v="5"/>
    <x v="1"/>
    <x v="2"/>
    <x v="136"/>
    <x v="140"/>
    <x v="2"/>
    <x v="2"/>
    <x v="100"/>
    <x v="2"/>
    <x v="0"/>
    <x v="2"/>
    <x v="62"/>
    <x v="0"/>
    <x v="2"/>
    <x v="0"/>
    <x v="93"/>
    <x v="125"/>
    <x v="23"/>
    <x v="104"/>
    <x v="91"/>
  </r>
  <r>
    <x v="144"/>
    <x v="6"/>
    <x v="0"/>
    <x v="4"/>
    <x v="1"/>
    <x v="3"/>
    <x v="0"/>
    <x v="1"/>
    <x v="1"/>
    <x v="137"/>
    <x v="141"/>
    <x v="3"/>
    <x v="4"/>
    <x v="103"/>
    <x v="3"/>
    <x v="1"/>
    <x v="2"/>
    <x v="96"/>
    <x v="1"/>
    <x v="1"/>
    <x v="0"/>
    <x v="15"/>
    <x v="126"/>
    <x v="13"/>
    <x v="105"/>
    <x v="69"/>
  </r>
  <r>
    <x v="145"/>
    <x v="63"/>
    <x v="2"/>
    <x v="3"/>
    <x v="2"/>
    <x v="0"/>
    <x v="15"/>
    <x v="1"/>
    <x v="0"/>
    <x v="138"/>
    <x v="142"/>
    <x v="0"/>
    <x v="3"/>
    <x v="57"/>
    <x v="0"/>
    <x v="2"/>
    <x v="4"/>
    <x v="59"/>
    <x v="1"/>
    <x v="1"/>
    <x v="1"/>
    <x v="118"/>
    <x v="127"/>
    <x v="5"/>
    <x v="106"/>
    <x v="28"/>
  </r>
  <r>
    <x v="146"/>
    <x v="44"/>
    <x v="0"/>
    <x v="1"/>
    <x v="1"/>
    <x v="2"/>
    <x v="14"/>
    <x v="0"/>
    <x v="0"/>
    <x v="83"/>
    <x v="143"/>
    <x v="1"/>
    <x v="3"/>
    <x v="104"/>
    <x v="1"/>
    <x v="2"/>
    <x v="1"/>
    <x v="59"/>
    <x v="1"/>
    <x v="3"/>
    <x v="1"/>
    <x v="119"/>
    <x v="52"/>
    <x v="22"/>
    <x v="107"/>
    <x v="86"/>
  </r>
  <r>
    <x v="147"/>
    <x v="61"/>
    <x v="2"/>
    <x v="3"/>
    <x v="0"/>
    <x v="2"/>
    <x v="0"/>
    <x v="3"/>
    <x v="3"/>
    <x v="139"/>
    <x v="144"/>
    <x v="3"/>
    <x v="0"/>
    <x v="93"/>
    <x v="3"/>
    <x v="0"/>
    <x v="1"/>
    <x v="21"/>
    <x v="0"/>
    <x v="1"/>
    <x v="0"/>
    <x v="120"/>
    <x v="128"/>
    <x v="72"/>
    <x v="108"/>
    <x v="30"/>
  </r>
  <r>
    <x v="148"/>
    <x v="54"/>
    <x v="0"/>
    <x v="1"/>
    <x v="3"/>
    <x v="0"/>
    <x v="17"/>
    <x v="0"/>
    <x v="1"/>
    <x v="119"/>
    <x v="145"/>
    <x v="3"/>
    <x v="0"/>
    <x v="12"/>
    <x v="3"/>
    <x v="1"/>
    <x v="3"/>
    <x v="97"/>
    <x v="1"/>
    <x v="3"/>
    <x v="1"/>
    <x v="78"/>
    <x v="129"/>
    <x v="61"/>
    <x v="4"/>
    <x v="92"/>
  </r>
  <r>
    <x v="149"/>
    <x v="36"/>
    <x v="1"/>
    <x v="2"/>
    <x v="0"/>
    <x v="5"/>
    <x v="10"/>
    <x v="0"/>
    <x v="1"/>
    <x v="140"/>
    <x v="146"/>
    <x v="1"/>
    <x v="4"/>
    <x v="105"/>
    <x v="1"/>
    <x v="2"/>
    <x v="1"/>
    <x v="98"/>
    <x v="1"/>
    <x v="0"/>
    <x v="1"/>
    <x v="121"/>
    <x v="118"/>
    <x v="11"/>
    <x v="54"/>
    <x v="8"/>
  </r>
  <r>
    <x v="150"/>
    <x v="49"/>
    <x v="2"/>
    <x v="1"/>
    <x v="2"/>
    <x v="0"/>
    <x v="1"/>
    <x v="1"/>
    <x v="2"/>
    <x v="6"/>
    <x v="6"/>
    <x v="2"/>
    <x v="0"/>
    <x v="79"/>
    <x v="2"/>
    <x v="2"/>
    <x v="4"/>
    <x v="99"/>
    <x v="1"/>
    <x v="1"/>
    <x v="1"/>
    <x v="122"/>
    <x v="130"/>
    <x v="38"/>
    <x v="17"/>
    <x v="17"/>
  </r>
  <r>
    <x v="151"/>
    <x v="28"/>
    <x v="2"/>
    <x v="4"/>
    <x v="0"/>
    <x v="0"/>
    <x v="11"/>
    <x v="0"/>
    <x v="3"/>
    <x v="141"/>
    <x v="147"/>
    <x v="3"/>
    <x v="3"/>
    <x v="106"/>
    <x v="3"/>
    <x v="0"/>
    <x v="4"/>
    <x v="91"/>
    <x v="0"/>
    <x v="4"/>
    <x v="0"/>
    <x v="123"/>
    <x v="131"/>
    <x v="16"/>
    <x v="83"/>
    <x v="93"/>
  </r>
  <r>
    <x v="152"/>
    <x v="14"/>
    <x v="1"/>
    <x v="2"/>
    <x v="2"/>
    <x v="0"/>
    <x v="17"/>
    <x v="2"/>
    <x v="1"/>
    <x v="142"/>
    <x v="21"/>
    <x v="1"/>
    <x v="1"/>
    <x v="103"/>
    <x v="1"/>
    <x v="1"/>
    <x v="4"/>
    <x v="74"/>
    <x v="1"/>
    <x v="2"/>
    <x v="1"/>
    <x v="124"/>
    <x v="115"/>
    <x v="0"/>
    <x v="109"/>
    <x v="94"/>
  </r>
  <r>
    <x v="153"/>
    <x v="14"/>
    <x v="2"/>
    <x v="2"/>
    <x v="2"/>
    <x v="0"/>
    <x v="8"/>
    <x v="3"/>
    <x v="1"/>
    <x v="143"/>
    <x v="148"/>
    <x v="0"/>
    <x v="2"/>
    <x v="45"/>
    <x v="0"/>
    <x v="1"/>
    <x v="4"/>
    <x v="100"/>
    <x v="1"/>
    <x v="1"/>
    <x v="0"/>
    <x v="125"/>
    <x v="13"/>
    <x v="72"/>
    <x v="110"/>
    <x v="95"/>
  </r>
  <r>
    <x v="154"/>
    <x v="7"/>
    <x v="2"/>
    <x v="1"/>
    <x v="4"/>
    <x v="0"/>
    <x v="11"/>
    <x v="1"/>
    <x v="3"/>
    <x v="144"/>
    <x v="149"/>
    <x v="1"/>
    <x v="3"/>
    <x v="107"/>
    <x v="1"/>
    <x v="0"/>
    <x v="0"/>
    <x v="101"/>
    <x v="0"/>
    <x v="2"/>
    <x v="0"/>
    <x v="54"/>
    <x v="132"/>
    <x v="73"/>
    <x v="25"/>
    <x v="31"/>
  </r>
  <r>
    <x v="155"/>
    <x v="26"/>
    <x v="1"/>
    <x v="0"/>
    <x v="3"/>
    <x v="2"/>
    <x v="10"/>
    <x v="3"/>
    <x v="1"/>
    <x v="145"/>
    <x v="150"/>
    <x v="0"/>
    <x v="4"/>
    <x v="108"/>
    <x v="0"/>
    <x v="2"/>
    <x v="1"/>
    <x v="102"/>
    <x v="1"/>
    <x v="1"/>
    <x v="0"/>
    <x v="126"/>
    <x v="133"/>
    <x v="51"/>
    <x v="111"/>
    <x v="23"/>
  </r>
  <r>
    <x v="156"/>
    <x v="23"/>
    <x v="0"/>
    <x v="4"/>
    <x v="4"/>
    <x v="1"/>
    <x v="0"/>
    <x v="1"/>
    <x v="1"/>
    <x v="146"/>
    <x v="151"/>
    <x v="1"/>
    <x v="1"/>
    <x v="45"/>
    <x v="1"/>
    <x v="1"/>
    <x v="1"/>
    <x v="103"/>
    <x v="1"/>
    <x v="2"/>
    <x v="1"/>
    <x v="113"/>
    <x v="134"/>
    <x v="10"/>
    <x v="65"/>
    <x v="96"/>
  </r>
  <r>
    <x v="157"/>
    <x v="42"/>
    <x v="1"/>
    <x v="2"/>
    <x v="1"/>
    <x v="2"/>
    <x v="6"/>
    <x v="1"/>
    <x v="1"/>
    <x v="147"/>
    <x v="152"/>
    <x v="2"/>
    <x v="1"/>
    <x v="16"/>
    <x v="2"/>
    <x v="0"/>
    <x v="4"/>
    <x v="26"/>
    <x v="0"/>
    <x v="1"/>
    <x v="0"/>
    <x v="127"/>
    <x v="113"/>
    <x v="74"/>
    <x v="107"/>
    <x v="80"/>
  </r>
  <r>
    <x v="158"/>
    <x v="2"/>
    <x v="0"/>
    <x v="1"/>
    <x v="1"/>
    <x v="3"/>
    <x v="15"/>
    <x v="3"/>
    <x v="2"/>
    <x v="148"/>
    <x v="153"/>
    <x v="3"/>
    <x v="0"/>
    <x v="67"/>
    <x v="3"/>
    <x v="0"/>
    <x v="2"/>
    <x v="15"/>
    <x v="0"/>
    <x v="3"/>
    <x v="1"/>
    <x v="128"/>
    <x v="135"/>
    <x v="41"/>
    <x v="112"/>
    <x v="43"/>
  </r>
  <r>
    <x v="159"/>
    <x v="37"/>
    <x v="0"/>
    <x v="3"/>
    <x v="2"/>
    <x v="0"/>
    <x v="16"/>
    <x v="1"/>
    <x v="1"/>
    <x v="149"/>
    <x v="154"/>
    <x v="0"/>
    <x v="2"/>
    <x v="81"/>
    <x v="0"/>
    <x v="2"/>
    <x v="3"/>
    <x v="9"/>
    <x v="1"/>
    <x v="0"/>
    <x v="1"/>
    <x v="129"/>
    <x v="136"/>
    <x v="75"/>
    <x v="113"/>
    <x v="78"/>
  </r>
  <r>
    <x v="160"/>
    <x v="63"/>
    <x v="0"/>
    <x v="4"/>
    <x v="0"/>
    <x v="1"/>
    <x v="11"/>
    <x v="2"/>
    <x v="1"/>
    <x v="150"/>
    <x v="155"/>
    <x v="2"/>
    <x v="3"/>
    <x v="60"/>
    <x v="2"/>
    <x v="0"/>
    <x v="4"/>
    <x v="17"/>
    <x v="0"/>
    <x v="3"/>
    <x v="1"/>
    <x v="130"/>
    <x v="58"/>
    <x v="56"/>
    <x v="92"/>
    <x v="97"/>
  </r>
  <r>
    <x v="161"/>
    <x v="26"/>
    <x v="0"/>
    <x v="0"/>
    <x v="3"/>
    <x v="0"/>
    <x v="10"/>
    <x v="3"/>
    <x v="2"/>
    <x v="151"/>
    <x v="156"/>
    <x v="0"/>
    <x v="3"/>
    <x v="109"/>
    <x v="0"/>
    <x v="2"/>
    <x v="1"/>
    <x v="55"/>
    <x v="1"/>
    <x v="0"/>
    <x v="0"/>
    <x v="131"/>
    <x v="70"/>
    <x v="33"/>
    <x v="114"/>
    <x v="74"/>
  </r>
  <r>
    <x v="162"/>
    <x v="58"/>
    <x v="1"/>
    <x v="1"/>
    <x v="1"/>
    <x v="4"/>
    <x v="4"/>
    <x v="2"/>
    <x v="3"/>
    <x v="15"/>
    <x v="157"/>
    <x v="3"/>
    <x v="1"/>
    <x v="110"/>
    <x v="3"/>
    <x v="2"/>
    <x v="3"/>
    <x v="23"/>
    <x v="1"/>
    <x v="1"/>
    <x v="1"/>
    <x v="132"/>
    <x v="26"/>
    <x v="34"/>
    <x v="115"/>
    <x v="54"/>
  </r>
  <r>
    <x v="163"/>
    <x v="20"/>
    <x v="1"/>
    <x v="0"/>
    <x v="1"/>
    <x v="0"/>
    <x v="7"/>
    <x v="2"/>
    <x v="2"/>
    <x v="152"/>
    <x v="158"/>
    <x v="1"/>
    <x v="0"/>
    <x v="78"/>
    <x v="1"/>
    <x v="1"/>
    <x v="3"/>
    <x v="11"/>
    <x v="1"/>
    <x v="0"/>
    <x v="1"/>
    <x v="133"/>
    <x v="137"/>
    <x v="55"/>
    <x v="22"/>
    <x v="98"/>
  </r>
  <r>
    <x v="164"/>
    <x v="6"/>
    <x v="0"/>
    <x v="3"/>
    <x v="3"/>
    <x v="4"/>
    <x v="5"/>
    <x v="2"/>
    <x v="1"/>
    <x v="35"/>
    <x v="159"/>
    <x v="1"/>
    <x v="0"/>
    <x v="93"/>
    <x v="1"/>
    <x v="1"/>
    <x v="2"/>
    <x v="104"/>
    <x v="1"/>
    <x v="4"/>
    <x v="1"/>
    <x v="134"/>
    <x v="138"/>
    <x v="67"/>
    <x v="77"/>
    <x v="99"/>
  </r>
  <r>
    <x v="165"/>
    <x v="40"/>
    <x v="1"/>
    <x v="3"/>
    <x v="4"/>
    <x v="0"/>
    <x v="11"/>
    <x v="0"/>
    <x v="0"/>
    <x v="153"/>
    <x v="160"/>
    <x v="3"/>
    <x v="2"/>
    <x v="68"/>
    <x v="3"/>
    <x v="0"/>
    <x v="2"/>
    <x v="105"/>
    <x v="0"/>
    <x v="1"/>
    <x v="0"/>
    <x v="135"/>
    <x v="139"/>
    <x v="76"/>
    <x v="116"/>
    <x v="23"/>
  </r>
  <r>
    <x v="166"/>
    <x v="59"/>
    <x v="2"/>
    <x v="2"/>
    <x v="1"/>
    <x v="1"/>
    <x v="18"/>
    <x v="0"/>
    <x v="0"/>
    <x v="154"/>
    <x v="161"/>
    <x v="3"/>
    <x v="3"/>
    <x v="9"/>
    <x v="3"/>
    <x v="1"/>
    <x v="3"/>
    <x v="106"/>
    <x v="1"/>
    <x v="3"/>
    <x v="0"/>
    <x v="136"/>
    <x v="87"/>
    <x v="8"/>
    <x v="117"/>
    <x v="99"/>
  </r>
  <r>
    <x v="167"/>
    <x v="58"/>
    <x v="1"/>
    <x v="3"/>
    <x v="2"/>
    <x v="4"/>
    <x v="19"/>
    <x v="2"/>
    <x v="0"/>
    <x v="155"/>
    <x v="162"/>
    <x v="1"/>
    <x v="2"/>
    <x v="111"/>
    <x v="1"/>
    <x v="1"/>
    <x v="4"/>
    <x v="107"/>
    <x v="1"/>
    <x v="2"/>
    <x v="1"/>
    <x v="137"/>
    <x v="131"/>
    <x v="23"/>
    <x v="118"/>
    <x v="73"/>
  </r>
  <r>
    <x v="168"/>
    <x v="55"/>
    <x v="2"/>
    <x v="4"/>
    <x v="3"/>
    <x v="0"/>
    <x v="9"/>
    <x v="2"/>
    <x v="3"/>
    <x v="156"/>
    <x v="163"/>
    <x v="1"/>
    <x v="0"/>
    <x v="88"/>
    <x v="1"/>
    <x v="2"/>
    <x v="3"/>
    <x v="108"/>
    <x v="1"/>
    <x v="4"/>
    <x v="1"/>
    <x v="138"/>
    <x v="25"/>
    <x v="67"/>
    <x v="119"/>
    <x v="100"/>
  </r>
  <r>
    <x v="169"/>
    <x v="27"/>
    <x v="1"/>
    <x v="4"/>
    <x v="4"/>
    <x v="0"/>
    <x v="5"/>
    <x v="1"/>
    <x v="3"/>
    <x v="157"/>
    <x v="164"/>
    <x v="3"/>
    <x v="4"/>
    <x v="92"/>
    <x v="3"/>
    <x v="2"/>
    <x v="0"/>
    <x v="71"/>
    <x v="1"/>
    <x v="1"/>
    <x v="1"/>
    <x v="117"/>
    <x v="140"/>
    <x v="18"/>
    <x v="3"/>
    <x v="15"/>
  </r>
  <r>
    <x v="170"/>
    <x v="16"/>
    <x v="2"/>
    <x v="1"/>
    <x v="4"/>
    <x v="3"/>
    <x v="15"/>
    <x v="2"/>
    <x v="1"/>
    <x v="158"/>
    <x v="165"/>
    <x v="2"/>
    <x v="0"/>
    <x v="5"/>
    <x v="2"/>
    <x v="2"/>
    <x v="2"/>
    <x v="109"/>
    <x v="1"/>
    <x v="4"/>
    <x v="0"/>
    <x v="78"/>
    <x v="141"/>
    <x v="13"/>
    <x v="119"/>
    <x v="77"/>
  </r>
  <r>
    <x v="171"/>
    <x v="11"/>
    <x v="0"/>
    <x v="3"/>
    <x v="1"/>
    <x v="2"/>
    <x v="12"/>
    <x v="2"/>
    <x v="0"/>
    <x v="159"/>
    <x v="166"/>
    <x v="2"/>
    <x v="1"/>
    <x v="112"/>
    <x v="2"/>
    <x v="1"/>
    <x v="2"/>
    <x v="31"/>
    <x v="1"/>
    <x v="4"/>
    <x v="1"/>
    <x v="56"/>
    <x v="142"/>
    <x v="62"/>
    <x v="120"/>
    <x v="57"/>
  </r>
  <r>
    <x v="172"/>
    <x v="58"/>
    <x v="0"/>
    <x v="0"/>
    <x v="2"/>
    <x v="0"/>
    <x v="17"/>
    <x v="2"/>
    <x v="2"/>
    <x v="160"/>
    <x v="167"/>
    <x v="3"/>
    <x v="3"/>
    <x v="113"/>
    <x v="3"/>
    <x v="2"/>
    <x v="4"/>
    <x v="40"/>
    <x v="1"/>
    <x v="2"/>
    <x v="1"/>
    <x v="139"/>
    <x v="24"/>
    <x v="35"/>
    <x v="69"/>
    <x v="70"/>
  </r>
  <r>
    <x v="173"/>
    <x v="34"/>
    <x v="2"/>
    <x v="1"/>
    <x v="3"/>
    <x v="0"/>
    <x v="3"/>
    <x v="3"/>
    <x v="2"/>
    <x v="161"/>
    <x v="168"/>
    <x v="1"/>
    <x v="2"/>
    <x v="78"/>
    <x v="1"/>
    <x v="1"/>
    <x v="3"/>
    <x v="110"/>
    <x v="1"/>
    <x v="2"/>
    <x v="1"/>
    <x v="140"/>
    <x v="70"/>
    <x v="52"/>
    <x v="55"/>
    <x v="101"/>
  </r>
  <r>
    <x v="174"/>
    <x v="64"/>
    <x v="0"/>
    <x v="0"/>
    <x v="2"/>
    <x v="0"/>
    <x v="5"/>
    <x v="1"/>
    <x v="2"/>
    <x v="62"/>
    <x v="62"/>
    <x v="2"/>
    <x v="3"/>
    <x v="88"/>
    <x v="2"/>
    <x v="0"/>
    <x v="3"/>
    <x v="111"/>
    <x v="0"/>
    <x v="4"/>
    <x v="1"/>
    <x v="141"/>
    <x v="42"/>
    <x v="77"/>
    <x v="15"/>
    <x v="102"/>
  </r>
  <r>
    <x v="175"/>
    <x v="22"/>
    <x v="0"/>
    <x v="4"/>
    <x v="2"/>
    <x v="0"/>
    <x v="3"/>
    <x v="3"/>
    <x v="1"/>
    <x v="162"/>
    <x v="169"/>
    <x v="0"/>
    <x v="1"/>
    <x v="114"/>
    <x v="0"/>
    <x v="0"/>
    <x v="2"/>
    <x v="109"/>
    <x v="0"/>
    <x v="2"/>
    <x v="1"/>
    <x v="131"/>
    <x v="143"/>
    <x v="21"/>
    <x v="121"/>
    <x v="57"/>
  </r>
  <r>
    <x v="176"/>
    <x v="63"/>
    <x v="0"/>
    <x v="1"/>
    <x v="2"/>
    <x v="0"/>
    <x v="16"/>
    <x v="1"/>
    <x v="2"/>
    <x v="163"/>
    <x v="60"/>
    <x v="1"/>
    <x v="3"/>
    <x v="81"/>
    <x v="1"/>
    <x v="0"/>
    <x v="4"/>
    <x v="70"/>
    <x v="0"/>
    <x v="3"/>
    <x v="1"/>
    <x v="1"/>
    <x v="144"/>
    <x v="4"/>
    <x v="39"/>
    <x v="103"/>
  </r>
  <r>
    <x v="177"/>
    <x v="64"/>
    <x v="0"/>
    <x v="3"/>
    <x v="1"/>
    <x v="2"/>
    <x v="5"/>
    <x v="0"/>
    <x v="2"/>
    <x v="164"/>
    <x v="170"/>
    <x v="1"/>
    <x v="4"/>
    <x v="115"/>
    <x v="1"/>
    <x v="0"/>
    <x v="0"/>
    <x v="106"/>
    <x v="0"/>
    <x v="0"/>
    <x v="0"/>
    <x v="142"/>
    <x v="145"/>
    <x v="12"/>
    <x v="33"/>
    <x v="54"/>
  </r>
  <r>
    <x v="178"/>
    <x v="1"/>
    <x v="1"/>
    <x v="1"/>
    <x v="2"/>
    <x v="0"/>
    <x v="6"/>
    <x v="1"/>
    <x v="2"/>
    <x v="165"/>
    <x v="171"/>
    <x v="0"/>
    <x v="3"/>
    <x v="116"/>
    <x v="0"/>
    <x v="0"/>
    <x v="2"/>
    <x v="112"/>
    <x v="0"/>
    <x v="4"/>
    <x v="1"/>
    <x v="143"/>
    <x v="146"/>
    <x v="28"/>
    <x v="9"/>
    <x v="52"/>
  </r>
  <r>
    <x v="179"/>
    <x v="13"/>
    <x v="0"/>
    <x v="1"/>
    <x v="2"/>
    <x v="2"/>
    <x v="5"/>
    <x v="0"/>
    <x v="2"/>
    <x v="166"/>
    <x v="138"/>
    <x v="2"/>
    <x v="2"/>
    <x v="8"/>
    <x v="2"/>
    <x v="0"/>
    <x v="4"/>
    <x v="24"/>
    <x v="0"/>
    <x v="3"/>
    <x v="0"/>
    <x v="144"/>
    <x v="147"/>
    <x v="7"/>
    <x v="122"/>
    <x v="78"/>
  </r>
  <r>
    <x v="180"/>
    <x v="31"/>
    <x v="2"/>
    <x v="0"/>
    <x v="0"/>
    <x v="4"/>
    <x v="18"/>
    <x v="2"/>
    <x v="2"/>
    <x v="167"/>
    <x v="172"/>
    <x v="0"/>
    <x v="0"/>
    <x v="117"/>
    <x v="0"/>
    <x v="1"/>
    <x v="3"/>
    <x v="21"/>
    <x v="1"/>
    <x v="1"/>
    <x v="0"/>
    <x v="145"/>
    <x v="136"/>
    <x v="11"/>
    <x v="42"/>
    <x v="104"/>
  </r>
  <r>
    <x v="181"/>
    <x v="39"/>
    <x v="1"/>
    <x v="3"/>
    <x v="1"/>
    <x v="0"/>
    <x v="4"/>
    <x v="3"/>
    <x v="3"/>
    <x v="168"/>
    <x v="173"/>
    <x v="3"/>
    <x v="3"/>
    <x v="43"/>
    <x v="3"/>
    <x v="2"/>
    <x v="0"/>
    <x v="113"/>
    <x v="1"/>
    <x v="1"/>
    <x v="1"/>
    <x v="19"/>
    <x v="148"/>
    <x v="3"/>
    <x v="56"/>
    <x v="51"/>
  </r>
  <r>
    <x v="182"/>
    <x v="65"/>
    <x v="1"/>
    <x v="4"/>
    <x v="1"/>
    <x v="3"/>
    <x v="15"/>
    <x v="0"/>
    <x v="0"/>
    <x v="169"/>
    <x v="174"/>
    <x v="2"/>
    <x v="4"/>
    <x v="118"/>
    <x v="2"/>
    <x v="1"/>
    <x v="3"/>
    <x v="103"/>
    <x v="1"/>
    <x v="1"/>
    <x v="1"/>
    <x v="74"/>
    <x v="9"/>
    <x v="58"/>
    <x v="5"/>
    <x v="105"/>
  </r>
  <r>
    <x v="183"/>
    <x v="4"/>
    <x v="1"/>
    <x v="0"/>
    <x v="0"/>
    <x v="0"/>
    <x v="17"/>
    <x v="1"/>
    <x v="0"/>
    <x v="170"/>
    <x v="175"/>
    <x v="3"/>
    <x v="3"/>
    <x v="119"/>
    <x v="3"/>
    <x v="2"/>
    <x v="0"/>
    <x v="25"/>
    <x v="1"/>
    <x v="2"/>
    <x v="0"/>
    <x v="43"/>
    <x v="149"/>
    <x v="38"/>
    <x v="7"/>
    <x v="106"/>
  </r>
  <r>
    <x v="184"/>
    <x v="44"/>
    <x v="1"/>
    <x v="3"/>
    <x v="4"/>
    <x v="3"/>
    <x v="1"/>
    <x v="3"/>
    <x v="3"/>
    <x v="171"/>
    <x v="176"/>
    <x v="3"/>
    <x v="3"/>
    <x v="120"/>
    <x v="3"/>
    <x v="2"/>
    <x v="0"/>
    <x v="43"/>
    <x v="1"/>
    <x v="2"/>
    <x v="0"/>
    <x v="146"/>
    <x v="150"/>
    <x v="53"/>
    <x v="123"/>
    <x v="84"/>
  </r>
  <r>
    <x v="185"/>
    <x v="66"/>
    <x v="0"/>
    <x v="0"/>
    <x v="3"/>
    <x v="5"/>
    <x v="12"/>
    <x v="3"/>
    <x v="3"/>
    <x v="172"/>
    <x v="177"/>
    <x v="3"/>
    <x v="0"/>
    <x v="121"/>
    <x v="3"/>
    <x v="2"/>
    <x v="3"/>
    <x v="114"/>
    <x v="1"/>
    <x v="0"/>
    <x v="1"/>
    <x v="147"/>
    <x v="60"/>
    <x v="78"/>
    <x v="113"/>
    <x v="51"/>
  </r>
  <r>
    <x v="186"/>
    <x v="51"/>
    <x v="1"/>
    <x v="1"/>
    <x v="0"/>
    <x v="4"/>
    <x v="0"/>
    <x v="0"/>
    <x v="3"/>
    <x v="173"/>
    <x v="178"/>
    <x v="3"/>
    <x v="3"/>
    <x v="74"/>
    <x v="3"/>
    <x v="0"/>
    <x v="4"/>
    <x v="83"/>
    <x v="0"/>
    <x v="3"/>
    <x v="0"/>
    <x v="148"/>
    <x v="151"/>
    <x v="16"/>
    <x v="34"/>
    <x v="39"/>
  </r>
  <r>
    <x v="187"/>
    <x v="25"/>
    <x v="0"/>
    <x v="0"/>
    <x v="4"/>
    <x v="3"/>
    <x v="11"/>
    <x v="0"/>
    <x v="0"/>
    <x v="174"/>
    <x v="179"/>
    <x v="1"/>
    <x v="0"/>
    <x v="10"/>
    <x v="1"/>
    <x v="2"/>
    <x v="0"/>
    <x v="115"/>
    <x v="1"/>
    <x v="1"/>
    <x v="0"/>
    <x v="149"/>
    <x v="152"/>
    <x v="70"/>
    <x v="43"/>
    <x v="63"/>
  </r>
  <r>
    <x v="188"/>
    <x v="45"/>
    <x v="2"/>
    <x v="4"/>
    <x v="1"/>
    <x v="5"/>
    <x v="6"/>
    <x v="3"/>
    <x v="0"/>
    <x v="175"/>
    <x v="180"/>
    <x v="0"/>
    <x v="3"/>
    <x v="122"/>
    <x v="0"/>
    <x v="0"/>
    <x v="0"/>
    <x v="63"/>
    <x v="0"/>
    <x v="1"/>
    <x v="1"/>
    <x v="150"/>
    <x v="153"/>
    <x v="23"/>
    <x v="124"/>
    <x v="51"/>
  </r>
  <r>
    <x v="189"/>
    <x v="59"/>
    <x v="1"/>
    <x v="4"/>
    <x v="1"/>
    <x v="5"/>
    <x v="4"/>
    <x v="3"/>
    <x v="2"/>
    <x v="132"/>
    <x v="34"/>
    <x v="2"/>
    <x v="2"/>
    <x v="123"/>
    <x v="2"/>
    <x v="1"/>
    <x v="4"/>
    <x v="69"/>
    <x v="1"/>
    <x v="2"/>
    <x v="1"/>
    <x v="72"/>
    <x v="93"/>
    <x v="48"/>
    <x v="105"/>
    <x v="0"/>
  </r>
  <r>
    <x v="190"/>
    <x v="16"/>
    <x v="0"/>
    <x v="1"/>
    <x v="2"/>
    <x v="5"/>
    <x v="17"/>
    <x v="1"/>
    <x v="2"/>
    <x v="176"/>
    <x v="181"/>
    <x v="3"/>
    <x v="3"/>
    <x v="124"/>
    <x v="3"/>
    <x v="1"/>
    <x v="2"/>
    <x v="89"/>
    <x v="1"/>
    <x v="1"/>
    <x v="1"/>
    <x v="151"/>
    <x v="154"/>
    <x v="67"/>
    <x v="125"/>
    <x v="73"/>
  </r>
  <r>
    <x v="191"/>
    <x v="55"/>
    <x v="1"/>
    <x v="1"/>
    <x v="2"/>
    <x v="2"/>
    <x v="18"/>
    <x v="2"/>
    <x v="1"/>
    <x v="96"/>
    <x v="98"/>
    <x v="2"/>
    <x v="4"/>
    <x v="121"/>
    <x v="2"/>
    <x v="0"/>
    <x v="2"/>
    <x v="79"/>
    <x v="0"/>
    <x v="4"/>
    <x v="0"/>
    <x v="42"/>
    <x v="155"/>
    <x v="23"/>
    <x v="77"/>
    <x v="103"/>
  </r>
  <r>
    <x v="192"/>
    <x v="45"/>
    <x v="1"/>
    <x v="2"/>
    <x v="1"/>
    <x v="0"/>
    <x v="15"/>
    <x v="0"/>
    <x v="2"/>
    <x v="177"/>
    <x v="87"/>
    <x v="3"/>
    <x v="2"/>
    <x v="125"/>
    <x v="3"/>
    <x v="0"/>
    <x v="0"/>
    <x v="10"/>
    <x v="0"/>
    <x v="0"/>
    <x v="1"/>
    <x v="152"/>
    <x v="106"/>
    <x v="57"/>
    <x v="104"/>
    <x v="83"/>
  </r>
  <r>
    <x v="193"/>
    <x v="10"/>
    <x v="1"/>
    <x v="4"/>
    <x v="0"/>
    <x v="0"/>
    <x v="0"/>
    <x v="1"/>
    <x v="2"/>
    <x v="178"/>
    <x v="182"/>
    <x v="0"/>
    <x v="0"/>
    <x v="126"/>
    <x v="0"/>
    <x v="2"/>
    <x v="1"/>
    <x v="110"/>
    <x v="1"/>
    <x v="2"/>
    <x v="1"/>
    <x v="153"/>
    <x v="156"/>
    <x v="68"/>
    <x v="73"/>
    <x v="107"/>
  </r>
  <r>
    <x v="194"/>
    <x v="11"/>
    <x v="2"/>
    <x v="0"/>
    <x v="4"/>
    <x v="1"/>
    <x v="11"/>
    <x v="3"/>
    <x v="3"/>
    <x v="179"/>
    <x v="183"/>
    <x v="1"/>
    <x v="4"/>
    <x v="85"/>
    <x v="1"/>
    <x v="0"/>
    <x v="2"/>
    <x v="100"/>
    <x v="0"/>
    <x v="3"/>
    <x v="1"/>
    <x v="154"/>
    <x v="157"/>
    <x v="37"/>
    <x v="126"/>
    <x v="108"/>
  </r>
  <r>
    <x v="195"/>
    <x v="27"/>
    <x v="1"/>
    <x v="0"/>
    <x v="0"/>
    <x v="0"/>
    <x v="9"/>
    <x v="1"/>
    <x v="3"/>
    <x v="117"/>
    <x v="184"/>
    <x v="2"/>
    <x v="1"/>
    <x v="127"/>
    <x v="2"/>
    <x v="2"/>
    <x v="2"/>
    <x v="30"/>
    <x v="1"/>
    <x v="1"/>
    <x v="0"/>
    <x v="155"/>
    <x v="158"/>
    <x v="61"/>
    <x v="68"/>
    <x v="109"/>
  </r>
  <r>
    <x v="196"/>
    <x v="61"/>
    <x v="2"/>
    <x v="0"/>
    <x v="1"/>
    <x v="5"/>
    <x v="13"/>
    <x v="1"/>
    <x v="1"/>
    <x v="180"/>
    <x v="185"/>
    <x v="0"/>
    <x v="0"/>
    <x v="128"/>
    <x v="0"/>
    <x v="0"/>
    <x v="3"/>
    <x v="116"/>
    <x v="0"/>
    <x v="2"/>
    <x v="0"/>
    <x v="35"/>
    <x v="159"/>
    <x v="34"/>
    <x v="97"/>
    <x v="96"/>
  </r>
  <r>
    <x v="197"/>
    <x v="33"/>
    <x v="2"/>
    <x v="4"/>
    <x v="0"/>
    <x v="0"/>
    <x v="7"/>
    <x v="1"/>
    <x v="2"/>
    <x v="181"/>
    <x v="186"/>
    <x v="1"/>
    <x v="0"/>
    <x v="128"/>
    <x v="1"/>
    <x v="1"/>
    <x v="0"/>
    <x v="117"/>
    <x v="1"/>
    <x v="1"/>
    <x v="1"/>
    <x v="120"/>
    <x v="109"/>
    <x v="70"/>
    <x v="76"/>
    <x v="75"/>
  </r>
  <r>
    <x v="198"/>
    <x v="29"/>
    <x v="2"/>
    <x v="0"/>
    <x v="2"/>
    <x v="5"/>
    <x v="15"/>
    <x v="1"/>
    <x v="0"/>
    <x v="182"/>
    <x v="187"/>
    <x v="2"/>
    <x v="4"/>
    <x v="112"/>
    <x v="2"/>
    <x v="1"/>
    <x v="1"/>
    <x v="30"/>
    <x v="1"/>
    <x v="0"/>
    <x v="1"/>
    <x v="156"/>
    <x v="160"/>
    <x v="66"/>
    <x v="118"/>
    <x v="110"/>
  </r>
  <r>
    <x v="199"/>
    <x v="49"/>
    <x v="0"/>
    <x v="1"/>
    <x v="3"/>
    <x v="5"/>
    <x v="19"/>
    <x v="0"/>
    <x v="1"/>
    <x v="183"/>
    <x v="188"/>
    <x v="2"/>
    <x v="2"/>
    <x v="8"/>
    <x v="2"/>
    <x v="2"/>
    <x v="3"/>
    <x v="118"/>
    <x v="1"/>
    <x v="1"/>
    <x v="1"/>
    <x v="155"/>
    <x v="48"/>
    <x v="31"/>
    <x v="127"/>
    <x v="5"/>
  </r>
  <r>
    <x v="200"/>
    <x v="53"/>
    <x v="2"/>
    <x v="0"/>
    <x v="3"/>
    <x v="0"/>
    <x v="17"/>
    <x v="3"/>
    <x v="0"/>
    <x v="184"/>
    <x v="189"/>
    <x v="3"/>
    <x v="0"/>
    <x v="66"/>
    <x v="3"/>
    <x v="1"/>
    <x v="3"/>
    <x v="98"/>
    <x v="1"/>
    <x v="2"/>
    <x v="1"/>
    <x v="10"/>
    <x v="161"/>
    <x v="47"/>
    <x v="114"/>
    <x v="65"/>
  </r>
  <r>
    <x v="201"/>
    <x v="2"/>
    <x v="2"/>
    <x v="0"/>
    <x v="3"/>
    <x v="5"/>
    <x v="16"/>
    <x v="0"/>
    <x v="1"/>
    <x v="185"/>
    <x v="190"/>
    <x v="1"/>
    <x v="2"/>
    <x v="10"/>
    <x v="1"/>
    <x v="1"/>
    <x v="0"/>
    <x v="21"/>
    <x v="1"/>
    <x v="4"/>
    <x v="1"/>
    <x v="157"/>
    <x v="162"/>
    <x v="36"/>
    <x v="53"/>
    <x v="111"/>
  </r>
  <r>
    <x v="202"/>
    <x v="16"/>
    <x v="2"/>
    <x v="3"/>
    <x v="1"/>
    <x v="4"/>
    <x v="13"/>
    <x v="2"/>
    <x v="0"/>
    <x v="63"/>
    <x v="191"/>
    <x v="2"/>
    <x v="3"/>
    <x v="35"/>
    <x v="2"/>
    <x v="0"/>
    <x v="4"/>
    <x v="4"/>
    <x v="0"/>
    <x v="4"/>
    <x v="0"/>
    <x v="6"/>
    <x v="163"/>
    <x v="78"/>
    <x v="12"/>
    <x v="112"/>
  </r>
  <r>
    <x v="203"/>
    <x v="8"/>
    <x v="0"/>
    <x v="4"/>
    <x v="0"/>
    <x v="3"/>
    <x v="6"/>
    <x v="2"/>
    <x v="1"/>
    <x v="186"/>
    <x v="192"/>
    <x v="3"/>
    <x v="3"/>
    <x v="129"/>
    <x v="3"/>
    <x v="2"/>
    <x v="1"/>
    <x v="119"/>
    <x v="1"/>
    <x v="0"/>
    <x v="0"/>
    <x v="158"/>
    <x v="164"/>
    <x v="49"/>
    <x v="36"/>
    <x v="29"/>
  </r>
  <r>
    <x v="204"/>
    <x v="5"/>
    <x v="0"/>
    <x v="3"/>
    <x v="0"/>
    <x v="3"/>
    <x v="10"/>
    <x v="1"/>
    <x v="1"/>
    <x v="187"/>
    <x v="193"/>
    <x v="1"/>
    <x v="0"/>
    <x v="113"/>
    <x v="1"/>
    <x v="1"/>
    <x v="0"/>
    <x v="43"/>
    <x v="1"/>
    <x v="3"/>
    <x v="0"/>
    <x v="159"/>
    <x v="58"/>
    <x v="74"/>
    <x v="63"/>
    <x v="77"/>
  </r>
  <r>
    <x v="205"/>
    <x v="28"/>
    <x v="0"/>
    <x v="2"/>
    <x v="0"/>
    <x v="5"/>
    <x v="7"/>
    <x v="0"/>
    <x v="2"/>
    <x v="188"/>
    <x v="194"/>
    <x v="1"/>
    <x v="0"/>
    <x v="29"/>
    <x v="1"/>
    <x v="0"/>
    <x v="2"/>
    <x v="80"/>
    <x v="0"/>
    <x v="0"/>
    <x v="0"/>
    <x v="138"/>
    <x v="31"/>
    <x v="0"/>
    <x v="23"/>
    <x v="89"/>
  </r>
  <r>
    <x v="206"/>
    <x v="19"/>
    <x v="0"/>
    <x v="2"/>
    <x v="4"/>
    <x v="5"/>
    <x v="4"/>
    <x v="0"/>
    <x v="0"/>
    <x v="189"/>
    <x v="195"/>
    <x v="1"/>
    <x v="1"/>
    <x v="130"/>
    <x v="1"/>
    <x v="0"/>
    <x v="2"/>
    <x v="118"/>
    <x v="0"/>
    <x v="2"/>
    <x v="0"/>
    <x v="160"/>
    <x v="165"/>
    <x v="79"/>
    <x v="102"/>
    <x v="28"/>
  </r>
  <r>
    <x v="207"/>
    <x v="41"/>
    <x v="2"/>
    <x v="2"/>
    <x v="2"/>
    <x v="5"/>
    <x v="14"/>
    <x v="2"/>
    <x v="2"/>
    <x v="190"/>
    <x v="196"/>
    <x v="2"/>
    <x v="3"/>
    <x v="45"/>
    <x v="2"/>
    <x v="2"/>
    <x v="1"/>
    <x v="120"/>
    <x v="1"/>
    <x v="3"/>
    <x v="0"/>
    <x v="161"/>
    <x v="42"/>
    <x v="23"/>
    <x v="128"/>
    <x v="113"/>
  </r>
  <r>
    <x v="208"/>
    <x v="56"/>
    <x v="0"/>
    <x v="3"/>
    <x v="3"/>
    <x v="5"/>
    <x v="9"/>
    <x v="0"/>
    <x v="3"/>
    <x v="191"/>
    <x v="197"/>
    <x v="0"/>
    <x v="2"/>
    <x v="125"/>
    <x v="0"/>
    <x v="0"/>
    <x v="2"/>
    <x v="61"/>
    <x v="0"/>
    <x v="0"/>
    <x v="0"/>
    <x v="162"/>
    <x v="166"/>
    <x v="41"/>
    <x v="39"/>
    <x v="114"/>
  </r>
  <r>
    <x v="209"/>
    <x v="19"/>
    <x v="2"/>
    <x v="2"/>
    <x v="4"/>
    <x v="0"/>
    <x v="19"/>
    <x v="0"/>
    <x v="0"/>
    <x v="169"/>
    <x v="174"/>
    <x v="1"/>
    <x v="1"/>
    <x v="37"/>
    <x v="1"/>
    <x v="0"/>
    <x v="1"/>
    <x v="35"/>
    <x v="0"/>
    <x v="0"/>
    <x v="1"/>
    <x v="163"/>
    <x v="167"/>
    <x v="10"/>
    <x v="129"/>
    <x v="13"/>
  </r>
  <r>
    <x v="210"/>
    <x v="26"/>
    <x v="0"/>
    <x v="3"/>
    <x v="0"/>
    <x v="1"/>
    <x v="6"/>
    <x v="2"/>
    <x v="0"/>
    <x v="192"/>
    <x v="198"/>
    <x v="0"/>
    <x v="0"/>
    <x v="56"/>
    <x v="0"/>
    <x v="1"/>
    <x v="1"/>
    <x v="92"/>
    <x v="1"/>
    <x v="2"/>
    <x v="0"/>
    <x v="164"/>
    <x v="86"/>
    <x v="1"/>
    <x v="130"/>
    <x v="37"/>
  </r>
  <r>
    <x v="211"/>
    <x v="9"/>
    <x v="0"/>
    <x v="2"/>
    <x v="3"/>
    <x v="4"/>
    <x v="0"/>
    <x v="2"/>
    <x v="3"/>
    <x v="193"/>
    <x v="199"/>
    <x v="1"/>
    <x v="3"/>
    <x v="86"/>
    <x v="1"/>
    <x v="2"/>
    <x v="0"/>
    <x v="94"/>
    <x v="1"/>
    <x v="2"/>
    <x v="1"/>
    <x v="165"/>
    <x v="165"/>
    <x v="68"/>
    <x v="131"/>
    <x v="115"/>
  </r>
  <r>
    <x v="212"/>
    <x v="65"/>
    <x v="1"/>
    <x v="2"/>
    <x v="3"/>
    <x v="0"/>
    <x v="2"/>
    <x v="2"/>
    <x v="3"/>
    <x v="194"/>
    <x v="200"/>
    <x v="1"/>
    <x v="2"/>
    <x v="68"/>
    <x v="1"/>
    <x v="1"/>
    <x v="2"/>
    <x v="92"/>
    <x v="1"/>
    <x v="1"/>
    <x v="1"/>
    <x v="166"/>
    <x v="168"/>
    <x v="73"/>
    <x v="102"/>
    <x v="42"/>
  </r>
  <r>
    <x v="213"/>
    <x v="52"/>
    <x v="2"/>
    <x v="2"/>
    <x v="3"/>
    <x v="5"/>
    <x v="14"/>
    <x v="1"/>
    <x v="0"/>
    <x v="195"/>
    <x v="201"/>
    <x v="1"/>
    <x v="2"/>
    <x v="82"/>
    <x v="1"/>
    <x v="1"/>
    <x v="1"/>
    <x v="121"/>
    <x v="1"/>
    <x v="2"/>
    <x v="0"/>
    <x v="167"/>
    <x v="19"/>
    <x v="75"/>
    <x v="14"/>
    <x v="54"/>
  </r>
  <r>
    <x v="214"/>
    <x v="3"/>
    <x v="1"/>
    <x v="4"/>
    <x v="3"/>
    <x v="2"/>
    <x v="19"/>
    <x v="1"/>
    <x v="1"/>
    <x v="196"/>
    <x v="202"/>
    <x v="3"/>
    <x v="4"/>
    <x v="15"/>
    <x v="3"/>
    <x v="2"/>
    <x v="2"/>
    <x v="122"/>
    <x v="1"/>
    <x v="0"/>
    <x v="0"/>
    <x v="168"/>
    <x v="136"/>
    <x v="55"/>
    <x v="60"/>
    <x v="116"/>
  </r>
  <r>
    <x v="215"/>
    <x v="2"/>
    <x v="2"/>
    <x v="2"/>
    <x v="0"/>
    <x v="0"/>
    <x v="16"/>
    <x v="1"/>
    <x v="1"/>
    <x v="75"/>
    <x v="203"/>
    <x v="3"/>
    <x v="1"/>
    <x v="9"/>
    <x v="3"/>
    <x v="2"/>
    <x v="3"/>
    <x v="123"/>
    <x v="1"/>
    <x v="0"/>
    <x v="0"/>
    <x v="169"/>
    <x v="169"/>
    <x v="45"/>
    <x v="53"/>
    <x v="117"/>
  </r>
  <r>
    <x v="216"/>
    <x v="2"/>
    <x v="0"/>
    <x v="1"/>
    <x v="4"/>
    <x v="0"/>
    <x v="4"/>
    <x v="2"/>
    <x v="2"/>
    <x v="197"/>
    <x v="204"/>
    <x v="0"/>
    <x v="2"/>
    <x v="25"/>
    <x v="0"/>
    <x v="1"/>
    <x v="0"/>
    <x v="102"/>
    <x v="1"/>
    <x v="2"/>
    <x v="0"/>
    <x v="170"/>
    <x v="144"/>
    <x v="80"/>
    <x v="15"/>
    <x v="84"/>
  </r>
  <r>
    <x v="217"/>
    <x v="62"/>
    <x v="2"/>
    <x v="1"/>
    <x v="0"/>
    <x v="0"/>
    <x v="19"/>
    <x v="0"/>
    <x v="1"/>
    <x v="198"/>
    <x v="205"/>
    <x v="0"/>
    <x v="1"/>
    <x v="47"/>
    <x v="0"/>
    <x v="0"/>
    <x v="1"/>
    <x v="120"/>
    <x v="0"/>
    <x v="3"/>
    <x v="0"/>
    <x v="171"/>
    <x v="91"/>
    <x v="14"/>
    <x v="132"/>
    <x v="118"/>
  </r>
  <r>
    <x v="218"/>
    <x v="41"/>
    <x v="0"/>
    <x v="4"/>
    <x v="0"/>
    <x v="0"/>
    <x v="13"/>
    <x v="0"/>
    <x v="0"/>
    <x v="199"/>
    <x v="70"/>
    <x v="0"/>
    <x v="2"/>
    <x v="10"/>
    <x v="0"/>
    <x v="0"/>
    <x v="3"/>
    <x v="44"/>
    <x v="0"/>
    <x v="2"/>
    <x v="1"/>
    <x v="172"/>
    <x v="170"/>
    <x v="12"/>
    <x v="62"/>
    <x v="1"/>
  </r>
  <r>
    <x v="219"/>
    <x v="64"/>
    <x v="2"/>
    <x v="0"/>
    <x v="2"/>
    <x v="3"/>
    <x v="14"/>
    <x v="3"/>
    <x v="0"/>
    <x v="200"/>
    <x v="141"/>
    <x v="2"/>
    <x v="1"/>
    <x v="37"/>
    <x v="2"/>
    <x v="1"/>
    <x v="4"/>
    <x v="13"/>
    <x v="1"/>
    <x v="3"/>
    <x v="0"/>
    <x v="173"/>
    <x v="171"/>
    <x v="27"/>
    <x v="22"/>
    <x v="14"/>
  </r>
  <r>
    <x v="220"/>
    <x v="25"/>
    <x v="1"/>
    <x v="3"/>
    <x v="1"/>
    <x v="0"/>
    <x v="8"/>
    <x v="0"/>
    <x v="2"/>
    <x v="201"/>
    <x v="206"/>
    <x v="1"/>
    <x v="0"/>
    <x v="69"/>
    <x v="1"/>
    <x v="0"/>
    <x v="4"/>
    <x v="122"/>
    <x v="0"/>
    <x v="0"/>
    <x v="1"/>
    <x v="174"/>
    <x v="28"/>
    <x v="66"/>
    <x v="87"/>
    <x v="119"/>
  </r>
  <r>
    <x v="221"/>
    <x v="46"/>
    <x v="1"/>
    <x v="4"/>
    <x v="1"/>
    <x v="0"/>
    <x v="9"/>
    <x v="0"/>
    <x v="3"/>
    <x v="202"/>
    <x v="207"/>
    <x v="1"/>
    <x v="1"/>
    <x v="27"/>
    <x v="1"/>
    <x v="1"/>
    <x v="1"/>
    <x v="121"/>
    <x v="1"/>
    <x v="4"/>
    <x v="0"/>
    <x v="10"/>
    <x v="172"/>
    <x v="33"/>
    <x v="133"/>
    <x v="89"/>
  </r>
  <r>
    <x v="222"/>
    <x v="30"/>
    <x v="2"/>
    <x v="1"/>
    <x v="0"/>
    <x v="2"/>
    <x v="3"/>
    <x v="0"/>
    <x v="2"/>
    <x v="203"/>
    <x v="208"/>
    <x v="3"/>
    <x v="4"/>
    <x v="46"/>
    <x v="3"/>
    <x v="2"/>
    <x v="3"/>
    <x v="16"/>
    <x v="1"/>
    <x v="3"/>
    <x v="1"/>
    <x v="175"/>
    <x v="106"/>
    <x v="36"/>
    <x v="101"/>
    <x v="52"/>
  </r>
  <r>
    <x v="223"/>
    <x v="26"/>
    <x v="1"/>
    <x v="0"/>
    <x v="4"/>
    <x v="3"/>
    <x v="5"/>
    <x v="2"/>
    <x v="3"/>
    <x v="204"/>
    <x v="205"/>
    <x v="0"/>
    <x v="2"/>
    <x v="61"/>
    <x v="0"/>
    <x v="1"/>
    <x v="2"/>
    <x v="63"/>
    <x v="1"/>
    <x v="3"/>
    <x v="1"/>
    <x v="176"/>
    <x v="173"/>
    <x v="9"/>
    <x v="6"/>
    <x v="33"/>
  </r>
  <r>
    <x v="224"/>
    <x v="12"/>
    <x v="0"/>
    <x v="3"/>
    <x v="2"/>
    <x v="5"/>
    <x v="18"/>
    <x v="0"/>
    <x v="3"/>
    <x v="205"/>
    <x v="209"/>
    <x v="3"/>
    <x v="4"/>
    <x v="125"/>
    <x v="3"/>
    <x v="1"/>
    <x v="0"/>
    <x v="13"/>
    <x v="1"/>
    <x v="0"/>
    <x v="1"/>
    <x v="177"/>
    <x v="23"/>
    <x v="41"/>
    <x v="134"/>
    <x v="120"/>
  </r>
  <r>
    <x v="225"/>
    <x v="36"/>
    <x v="0"/>
    <x v="1"/>
    <x v="0"/>
    <x v="4"/>
    <x v="18"/>
    <x v="3"/>
    <x v="3"/>
    <x v="206"/>
    <x v="210"/>
    <x v="3"/>
    <x v="4"/>
    <x v="91"/>
    <x v="3"/>
    <x v="1"/>
    <x v="0"/>
    <x v="46"/>
    <x v="1"/>
    <x v="2"/>
    <x v="1"/>
    <x v="178"/>
    <x v="131"/>
    <x v="36"/>
    <x v="135"/>
    <x v="54"/>
  </r>
  <r>
    <x v="226"/>
    <x v="58"/>
    <x v="0"/>
    <x v="4"/>
    <x v="3"/>
    <x v="1"/>
    <x v="9"/>
    <x v="0"/>
    <x v="3"/>
    <x v="207"/>
    <x v="211"/>
    <x v="1"/>
    <x v="2"/>
    <x v="107"/>
    <x v="1"/>
    <x v="1"/>
    <x v="4"/>
    <x v="124"/>
    <x v="1"/>
    <x v="3"/>
    <x v="1"/>
    <x v="179"/>
    <x v="61"/>
    <x v="9"/>
    <x v="103"/>
    <x v="29"/>
  </r>
  <r>
    <x v="227"/>
    <x v="36"/>
    <x v="0"/>
    <x v="3"/>
    <x v="1"/>
    <x v="2"/>
    <x v="3"/>
    <x v="1"/>
    <x v="3"/>
    <x v="25"/>
    <x v="25"/>
    <x v="2"/>
    <x v="4"/>
    <x v="131"/>
    <x v="2"/>
    <x v="2"/>
    <x v="2"/>
    <x v="125"/>
    <x v="1"/>
    <x v="4"/>
    <x v="0"/>
    <x v="143"/>
    <x v="174"/>
    <x v="26"/>
    <x v="117"/>
    <x v="29"/>
  </r>
  <r>
    <x v="228"/>
    <x v="33"/>
    <x v="0"/>
    <x v="0"/>
    <x v="3"/>
    <x v="0"/>
    <x v="6"/>
    <x v="0"/>
    <x v="2"/>
    <x v="208"/>
    <x v="212"/>
    <x v="2"/>
    <x v="1"/>
    <x v="23"/>
    <x v="2"/>
    <x v="2"/>
    <x v="3"/>
    <x v="82"/>
    <x v="1"/>
    <x v="0"/>
    <x v="0"/>
    <x v="96"/>
    <x v="175"/>
    <x v="44"/>
    <x v="14"/>
    <x v="64"/>
  </r>
  <r>
    <x v="229"/>
    <x v="54"/>
    <x v="2"/>
    <x v="4"/>
    <x v="0"/>
    <x v="2"/>
    <x v="18"/>
    <x v="0"/>
    <x v="3"/>
    <x v="209"/>
    <x v="213"/>
    <x v="1"/>
    <x v="0"/>
    <x v="106"/>
    <x v="1"/>
    <x v="1"/>
    <x v="4"/>
    <x v="102"/>
    <x v="1"/>
    <x v="1"/>
    <x v="1"/>
    <x v="179"/>
    <x v="176"/>
    <x v="1"/>
    <x v="136"/>
    <x v="78"/>
  </r>
  <r>
    <x v="230"/>
    <x v="44"/>
    <x v="0"/>
    <x v="4"/>
    <x v="1"/>
    <x v="0"/>
    <x v="5"/>
    <x v="1"/>
    <x v="0"/>
    <x v="210"/>
    <x v="214"/>
    <x v="3"/>
    <x v="1"/>
    <x v="66"/>
    <x v="3"/>
    <x v="1"/>
    <x v="1"/>
    <x v="67"/>
    <x v="1"/>
    <x v="2"/>
    <x v="1"/>
    <x v="180"/>
    <x v="45"/>
    <x v="58"/>
    <x v="121"/>
    <x v="64"/>
  </r>
  <r>
    <x v="231"/>
    <x v="15"/>
    <x v="2"/>
    <x v="0"/>
    <x v="4"/>
    <x v="0"/>
    <x v="7"/>
    <x v="2"/>
    <x v="2"/>
    <x v="211"/>
    <x v="215"/>
    <x v="1"/>
    <x v="0"/>
    <x v="132"/>
    <x v="1"/>
    <x v="1"/>
    <x v="3"/>
    <x v="117"/>
    <x v="1"/>
    <x v="3"/>
    <x v="1"/>
    <x v="43"/>
    <x v="82"/>
    <x v="54"/>
    <x v="64"/>
    <x v="75"/>
  </r>
  <r>
    <x v="232"/>
    <x v="60"/>
    <x v="0"/>
    <x v="4"/>
    <x v="4"/>
    <x v="3"/>
    <x v="4"/>
    <x v="1"/>
    <x v="0"/>
    <x v="212"/>
    <x v="216"/>
    <x v="2"/>
    <x v="2"/>
    <x v="133"/>
    <x v="2"/>
    <x v="0"/>
    <x v="2"/>
    <x v="57"/>
    <x v="0"/>
    <x v="0"/>
    <x v="1"/>
    <x v="83"/>
    <x v="151"/>
    <x v="15"/>
    <x v="15"/>
    <x v="85"/>
  </r>
  <r>
    <x v="233"/>
    <x v="22"/>
    <x v="0"/>
    <x v="4"/>
    <x v="2"/>
    <x v="0"/>
    <x v="16"/>
    <x v="0"/>
    <x v="2"/>
    <x v="213"/>
    <x v="217"/>
    <x v="3"/>
    <x v="3"/>
    <x v="134"/>
    <x v="3"/>
    <x v="0"/>
    <x v="2"/>
    <x v="94"/>
    <x v="0"/>
    <x v="0"/>
    <x v="1"/>
    <x v="181"/>
    <x v="21"/>
    <x v="2"/>
    <x v="71"/>
    <x v="74"/>
  </r>
  <r>
    <x v="234"/>
    <x v="4"/>
    <x v="2"/>
    <x v="2"/>
    <x v="4"/>
    <x v="0"/>
    <x v="17"/>
    <x v="3"/>
    <x v="3"/>
    <x v="214"/>
    <x v="218"/>
    <x v="3"/>
    <x v="1"/>
    <x v="70"/>
    <x v="3"/>
    <x v="1"/>
    <x v="1"/>
    <x v="82"/>
    <x v="1"/>
    <x v="0"/>
    <x v="1"/>
    <x v="182"/>
    <x v="177"/>
    <x v="67"/>
    <x v="23"/>
    <x v="40"/>
  </r>
  <r>
    <x v="235"/>
    <x v="56"/>
    <x v="1"/>
    <x v="2"/>
    <x v="3"/>
    <x v="4"/>
    <x v="3"/>
    <x v="0"/>
    <x v="3"/>
    <x v="215"/>
    <x v="48"/>
    <x v="2"/>
    <x v="2"/>
    <x v="67"/>
    <x v="2"/>
    <x v="1"/>
    <x v="2"/>
    <x v="39"/>
    <x v="1"/>
    <x v="1"/>
    <x v="0"/>
    <x v="183"/>
    <x v="178"/>
    <x v="14"/>
    <x v="137"/>
    <x v="90"/>
  </r>
  <r>
    <x v="236"/>
    <x v="64"/>
    <x v="1"/>
    <x v="3"/>
    <x v="1"/>
    <x v="0"/>
    <x v="3"/>
    <x v="0"/>
    <x v="2"/>
    <x v="216"/>
    <x v="128"/>
    <x v="3"/>
    <x v="4"/>
    <x v="94"/>
    <x v="3"/>
    <x v="0"/>
    <x v="0"/>
    <x v="58"/>
    <x v="0"/>
    <x v="2"/>
    <x v="0"/>
    <x v="184"/>
    <x v="179"/>
    <x v="45"/>
    <x v="138"/>
    <x v="121"/>
  </r>
  <r>
    <x v="237"/>
    <x v="4"/>
    <x v="0"/>
    <x v="0"/>
    <x v="1"/>
    <x v="3"/>
    <x v="11"/>
    <x v="1"/>
    <x v="2"/>
    <x v="217"/>
    <x v="219"/>
    <x v="2"/>
    <x v="4"/>
    <x v="34"/>
    <x v="2"/>
    <x v="2"/>
    <x v="0"/>
    <x v="102"/>
    <x v="1"/>
    <x v="2"/>
    <x v="1"/>
    <x v="185"/>
    <x v="180"/>
    <x v="16"/>
    <x v="53"/>
    <x v="111"/>
  </r>
  <r>
    <x v="238"/>
    <x v="42"/>
    <x v="1"/>
    <x v="2"/>
    <x v="4"/>
    <x v="1"/>
    <x v="2"/>
    <x v="2"/>
    <x v="1"/>
    <x v="218"/>
    <x v="220"/>
    <x v="0"/>
    <x v="2"/>
    <x v="133"/>
    <x v="0"/>
    <x v="2"/>
    <x v="4"/>
    <x v="126"/>
    <x v="1"/>
    <x v="4"/>
    <x v="0"/>
    <x v="105"/>
    <x v="181"/>
    <x v="14"/>
    <x v="111"/>
    <x v="122"/>
  </r>
  <r>
    <x v="239"/>
    <x v="67"/>
    <x v="2"/>
    <x v="1"/>
    <x v="3"/>
    <x v="0"/>
    <x v="5"/>
    <x v="0"/>
    <x v="0"/>
    <x v="219"/>
    <x v="221"/>
    <x v="2"/>
    <x v="3"/>
    <x v="135"/>
    <x v="2"/>
    <x v="0"/>
    <x v="0"/>
    <x v="26"/>
    <x v="0"/>
    <x v="4"/>
    <x v="1"/>
    <x v="65"/>
    <x v="123"/>
    <x v="12"/>
    <x v="57"/>
    <x v="117"/>
  </r>
  <r>
    <x v="240"/>
    <x v="66"/>
    <x v="1"/>
    <x v="2"/>
    <x v="4"/>
    <x v="2"/>
    <x v="8"/>
    <x v="3"/>
    <x v="0"/>
    <x v="220"/>
    <x v="222"/>
    <x v="0"/>
    <x v="3"/>
    <x v="136"/>
    <x v="0"/>
    <x v="1"/>
    <x v="2"/>
    <x v="78"/>
    <x v="1"/>
    <x v="2"/>
    <x v="1"/>
    <x v="147"/>
    <x v="182"/>
    <x v="0"/>
    <x v="21"/>
    <x v="123"/>
  </r>
  <r>
    <x v="241"/>
    <x v="62"/>
    <x v="2"/>
    <x v="4"/>
    <x v="0"/>
    <x v="2"/>
    <x v="3"/>
    <x v="3"/>
    <x v="3"/>
    <x v="221"/>
    <x v="223"/>
    <x v="3"/>
    <x v="1"/>
    <x v="137"/>
    <x v="3"/>
    <x v="2"/>
    <x v="2"/>
    <x v="116"/>
    <x v="1"/>
    <x v="4"/>
    <x v="1"/>
    <x v="126"/>
    <x v="18"/>
    <x v="22"/>
    <x v="14"/>
    <x v="86"/>
  </r>
  <r>
    <x v="242"/>
    <x v="54"/>
    <x v="1"/>
    <x v="0"/>
    <x v="2"/>
    <x v="5"/>
    <x v="2"/>
    <x v="2"/>
    <x v="2"/>
    <x v="222"/>
    <x v="224"/>
    <x v="3"/>
    <x v="2"/>
    <x v="138"/>
    <x v="3"/>
    <x v="0"/>
    <x v="2"/>
    <x v="43"/>
    <x v="0"/>
    <x v="3"/>
    <x v="1"/>
    <x v="32"/>
    <x v="183"/>
    <x v="73"/>
    <x v="50"/>
    <x v="98"/>
  </r>
  <r>
    <x v="243"/>
    <x v="29"/>
    <x v="2"/>
    <x v="1"/>
    <x v="3"/>
    <x v="1"/>
    <x v="4"/>
    <x v="1"/>
    <x v="3"/>
    <x v="223"/>
    <x v="225"/>
    <x v="3"/>
    <x v="2"/>
    <x v="139"/>
    <x v="3"/>
    <x v="1"/>
    <x v="2"/>
    <x v="127"/>
    <x v="1"/>
    <x v="0"/>
    <x v="1"/>
    <x v="186"/>
    <x v="184"/>
    <x v="70"/>
    <x v="106"/>
    <x v="62"/>
  </r>
  <r>
    <x v="244"/>
    <x v="32"/>
    <x v="1"/>
    <x v="4"/>
    <x v="3"/>
    <x v="0"/>
    <x v="10"/>
    <x v="2"/>
    <x v="3"/>
    <x v="224"/>
    <x v="226"/>
    <x v="0"/>
    <x v="3"/>
    <x v="114"/>
    <x v="0"/>
    <x v="0"/>
    <x v="2"/>
    <x v="113"/>
    <x v="0"/>
    <x v="2"/>
    <x v="1"/>
    <x v="187"/>
    <x v="185"/>
    <x v="54"/>
    <x v="63"/>
    <x v="90"/>
  </r>
  <r>
    <x v="245"/>
    <x v="17"/>
    <x v="0"/>
    <x v="1"/>
    <x v="0"/>
    <x v="4"/>
    <x v="16"/>
    <x v="1"/>
    <x v="3"/>
    <x v="132"/>
    <x v="227"/>
    <x v="2"/>
    <x v="4"/>
    <x v="119"/>
    <x v="2"/>
    <x v="1"/>
    <x v="2"/>
    <x v="82"/>
    <x v="1"/>
    <x v="1"/>
    <x v="0"/>
    <x v="188"/>
    <x v="186"/>
    <x v="6"/>
    <x v="115"/>
    <x v="8"/>
  </r>
  <r>
    <x v="246"/>
    <x v="63"/>
    <x v="2"/>
    <x v="1"/>
    <x v="1"/>
    <x v="0"/>
    <x v="5"/>
    <x v="3"/>
    <x v="3"/>
    <x v="225"/>
    <x v="228"/>
    <x v="0"/>
    <x v="2"/>
    <x v="140"/>
    <x v="0"/>
    <x v="0"/>
    <x v="1"/>
    <x v="72"/>
    <x v="0"/>
    <x v="4"/>
    <x v="1"/>
    <x v="189"/>
    <x v="187"/>
    <x v="44"/>
    <x v="132"/>
    <x v="7"/>
  </r>
  <r>
    <x v="247"/>
    <x v="64"/>
    <x v="1"/>
    <x v="2"/>
    <x v="1"/>
    <x v="0"/>
    <x v="15"/>
    <x v="0"/>
    <x v="2"/>
    <x v="226"/>
    <x v="229"/>
    <x v="0"/>
    <x v="2"/>
    <x v="8"/>
    <x v="0"/>
    <x v="0"/>
    <x v="3"/>
    <x v="128"/>
    <x v="0"/>
    <x v="4"/>
    <x v="1"/>
    <x v="108"/>
    <x v="188"/>
    <x v="81"/>
    <x v="139"/>
    <x v="28"/>
  </r>
  <r>
    <x v="248"/>
    <x v="19"/>
    <x v="2"/>
    <x v="3"/>
    <x v="3"/>
    <x v="0"/>
    <x v="9"/>
    <x v="2"/>
    <x v="2"/>
    <x v="227"/>
    <x v="230"/>
    <x v="2"/>
    <x v="3"/>
    <x v="68"/>
    <x v="2"/>
    <x v="2"/>
    <x v="0"/>
    <x v="129"/>
    <x v="1"/>
    <x v="3"/>
    <x v="0"/>
    <x v="190"/>
    <x v="189"/>
    <x v="61"/>
    <x v="65"/>
    <x v="69"/>
  </r>
  <r>
    <x v="249"/>
    <x v="48"/>
    <x v="2"/>
    <x v="0"/>
    <x v="4"/>
    <x v="0"/>
    <x v="1"/>
    <x v="0"/>
    <x v="1"/>
    <x v="228"/>
    <x v="14"/>
    <x v="1"/>
    <x v="3"/>
    <x v="76"/>
    <x v="1"/>
    <x v="2"/>
    <x v="3"/>
    <x v="45"/>
    <x v="1"/>
    <x v="2"/>
    <x v="1"/>
    <x v="163"/>
    <x v="190"/>
    <x v="40"/>
    <x v="67"/>
    <x v="121"/>
  </r>
  <r>
    <x v="250"/>
    <x v="41"/>
    <x v="0"/>
    <x v="4"/>
    <x v="0"/>
    <x v="2"/>
    <x v="0"/>
    <x v="3"/>
    <x v="2"/>
    <x v="229"/>
    <x v="231"/>
    <x v="1"/>
    <x v="1"/>
    <x v="53"/>
    <x v="1"/>
    <x v="1"/>
    <x v="4"/>
    <x v="22"/>
    <x v="1"/>
    <x v="3"/>
    <x v="1"/>
    <x v="191"/>
    <x v="191"/>
    <x v="82"/>
    <x v="31"/>
    <x v="99"/>
  </r>
  <r>
    <x v="251"/>
    <x v="6"/>
    <x v="2"/>
    <x v="2"/>
    <x v="2"/>
    <x v="0"/>
    <x v="3"/>
    <x v="2"/>
    <x v="3"/>
    <x v="81"/>
    <x v="232"/>
    <x v="2"/>
    <x v="2"/>
    <x v="125"/>
    <x v="2"/>
    <x v="2"/>
    <x v="3"/>
    <x v="25"/>
    <x v="1"/>
    <x v="4"/>
    <x v="1"/>
    <x v="60"/>
    <x v="192"/>
    <x v="16"/>
    <x v="140"/>
    <x v="117"/>
  </r>
  <r>
    <x v="252"/>
    <x v="5"/>
    <x v="2"/>
    <x v="0"/>
    <x v="4"/>
    <x v="0"/>
    <x v="2"/>
    <x v="3"/>
    <x v="0"/>
    <x v="230"/>
    <x v="233"/>
    <x v="3"/>
    <x v="1"/>
    <x v="141"/>
    <x v="3"/>
    <x v="0"/>
    <x v="0"/>
    <x v="23"/>
    <x v="0"/>
    <x v="1"/>
    <x v="0"/>
    <x v="148"/>
    <x v="148"/>
    <x v="75"/>
    <x v="141"/>
    <x v="3"/>
  </r>
  <r>
    <x v="253"/>
    <x v="9"/>
    <x v="0"/>
    <x v="3"/>
    <x v="3"/>
    <x v="0"/>
    <x v="0"/>
    <x v="3"/>
    <x v="1"/>
    <x v="231"/>
    <x v="234"/>
    <x v="3"/>
    <x v="4"/>
    <x v="142"/>
    <x v="3"/>
    <x v="2"/>
    <x v="3"/>
    <x v="79"/>
    <x v="1"/>
    <x v="0"/>
    <x v="1"/>
    <x v="142"/>
    <x v="157"/>
    <x v="72"/>
    <x v="127"/>
    <x v="124"/>
  </r>
  <r>
    <x v="254"/>
    <x v="58"/>
    <x v="0"/>
    <x v="3"/>
    <x v="1"/>
    <x v="0"/>
    <x v="0"/>
    <x v="1"/>
    <x v="1"/>
    <x v="232"/>
    <x v="235"/>
    <x v="1"/>
    <x v="4"/>
    <x v="22"/>
    <x v="1"/>
    <x v="2"/>
    <x v="1"/>
    <x v="40"/>
    <x v="1"/>
    <x v="0"/>
    <x v="1"/>
    <x v="16"/>
    <x v="193"/>
    <x v="64"/>
    <x v="134"/>
    <x v="40"/>
  </r>
  <r>
    <x v="255"/>
    <x v="45"/>
    <x v="0"/>
    <x v="2"/>
    <x v="3"/>
    <x v="1"/>
    <x v="11"/>
    <x v="2"/>
    <x v="1"/>
    <x v="233"/>
    <x v="236"/>
    <x v="1"/>
    <x v="4"/>
    <x v="143"/>
    <x v="1"/>
    <x v="1"/>
    <x v="1"/>
    <x v="7"/>
    <x v="1"/>
    <x v="1"/>
    <x v="1"/>
    <x v="146"/>
    <x v="90"/>
    <x v="13"/>
    <x v="39"/>
    <x v="4"/>
  </r>
  <r>
    <x v="256"/>
    <x v="46"/>
    <x v="0"/>
    <x v="2"/>
    <x v="2"/>
    <x v="3"/>
    <x v="7"/>
    <x v="1"/>
    <x v="0"/>
    <x v="70"/>
    <x v="237"/>
    <x v="1"/>
    <x v="0"/>
    <x v="144"/>
    <x v="1"/>
    <x v="2"/>
    <x v="0"/>
    <x v="49"/>
    <x v="1"/>
    <x v="0"/>
    <x v="1"/>
    <x v="95"/>
    <x v="194"/>
    <x v="31"/>
    <x v="113"/>
    <x v="103"/>
  </r>
  <r>
    <x v="257"/>
    <x v="31"/>
    <x v="2"/>
    <x v="4"/>
    <x v="2"/>
    <x v="0"/>
    <x v="5"/>
    <x v="3"/>
    <x v="2"/>
    <x v="234"/>
    <x v="238"/>
    <x v="2"/>
    <x v="3"/>
    <x v="145"/>
    <x v="2"/>
    <x v="0"/>
    <x v="4"/>
    <x v="88"/>
    <x v="0"/>
    <x v="1"/>
    <x v="0"/>
    <x v="119"/>
    <x v="195"/>
    <x v="25"/>
    <x v="83"/>
    <x v="125"/>
  </r>
  <r>
    <x v="258"/>
    <x v="37"/>
    <x v="1"/>
    <x v="4"/>
    <x v="2"/>
    <x v="0"/>
    <x v="11"/>
    <x v="2"/>
    <x v="0"/>
    <x v="235"/>
    <x v="239"/>
    <x v="3"/>
    <x v="3"/>
    <x v="32"/>
    <x v="3"/>
    <x v="0"/>
    <x v="4"/>
    <x v="1"/>
    <x v="0"/>
    <x v="1"/>
    <x v="1"/>
    <x v="53"/>
    <x v="157"/>
    <x v="21"/>
    <x v="96"/>
    <x v="15"/>
  </r>
  <r>
    <x v="259"/>
    <x v="13"/>
    <x v="0"/>
    <x v="0"/>
    <x v="0"/>
    <x v="0"/>
    <x v="18"/>
    <x v="3"/>
    <x v="3"/>
    <x v="236"/>
    <x v="223"/>
    <x v="1"/>
    <x v="0"/>
    <x v="139"/>
    <x v="1"/>
    <x v="1"/>
    <x v="1"/>
    <x v="112"/>
    <x v="1"/>
    <x v="4"/>
    <x v="1"/>
    <x v="192"/>
    <x v="163"/>
    <x v="32"/>
    <x v="118"/>
    <x v="94"/>
  </r>
  <r>
    <x v="260"/>
    <x v="42"/>
    <x v="1"/>
    <x v="2"/>
    <x v="2"/>
    <x v="4"/>
    <x v="3"/>
    <x v="0"/>
    <x v="3"/>
    <x v="85"/>
    <x v="240"/>
    <x v="2"/>
    <x v="1"/>
    <x v="79"/>
    <x v="2"/>
    <x v="2"/>
    <x v="0"/>
    <x v="72"/>
    <x v="1"/>
    <x v="2"/>
    <x v="1"/>
    <x v="193"/>
    <x v="157"/>
    <x v="74"/>
    <x v="142"/>
    <x v="11"/>
  </r>
  <r>
    <x v="261"/>
    <x v="11"/>
    <x v="0"/>
    <x v="4"/>
    <x v="4"/>
    <x v="5"/>
    <x v="3"/>
    <x v="0"/>
    <x v="2"/>
    <x v="42"/>
    <x v="241"/>
    <x v="3"/>
    <x v="1"/>
    <x v="146"/>
    <x v="3"/>
    <x v="1"/>
    <x v="3"/>
    <x v="114"/>
    <x v="1"/>
    <x v="3"/>
    <x v="1"/>
    <x v="67"/>
    <x v="64"/>
    <x v="63"/>
    <x v="137"/>
    <x v="26"/>
  </r>
  <r>
    <x v="262"/>
    <x v="39"/>
    <x v="0"/>
    <x v="0"/>
    <x v="1"/>
    <x v="0"/>
    <x v="17"/>
    <x v="0"/>
    <x v="2"/>
    <x v="237"/>
    <x v="242"/>
    <x v="1"/>
    <x v="2"/>
    <x v="88"/>
    <x v="1"/>
    <x v="1"/>
    <x v="3"/>
    <x v="130"/>
    <x v="1"/>
    <x v="3"/>
    <x v="1"/>
    <x v="92"/>
    <x v="196"/>
    <x v="58"/>
    <x v="143"/>
    <x v="126"/>
  </r>
  <r>
    <x v="263"/>
    <x v="38"/>
    <x v="1"/>
    <x v="0"/>
    <x v="0"/>
    <x v="0"/>
    <x v="7"/>
    <x v="0"/>
    <x v="2"/>
    <x v="238"/>
    <x v="114"/>
    <x v="0"/>
    <x v="1"/>
    <x v="0"/>
    <x v="0"/>
    <x v="0"/>
    <x v="2"/>
    <x v="26"/>
    <x v="0"/>
    <x v="4"/>
    <x v="0"/>
    <x v="194"/>
    <x v="78"/>
    <x v="61"/>
    <x v="14"/>
    <x v="65"/>
  </r>
  <r>
    <x v="264"/>
    <x v="14"/>
    <x v="0"/>
    <x v="0"/>
    <x v="2"/>
    <x v="0"/>
    <x v="10"/>
    <x v="3"/>
    <x v="1"/>
    <x v="2"/>
    <x v="243"/>
    <x v="0"/>
    <x v="2"/>
    <x v="141"/>
    <x v="0"/>
    <x v="0"/>
    <x v="0"/>
    <x v="73"/>
    <x v="0"/>
    <x v="4"/>
    <x v="0"/>
    <x v="74"/>
    <x v="185"/>
    <x v="25"/>
    <x v="35"/>
    <x v="44"/>
  </r>
  <r>
    <x v="265"/>
    <x v="38"/>
    <x v="1"/>
    <x v="3"/>
    <x v="3"/>
    <x v="0"/>
    <x v="18"/>
    <x v="2"/>
    <x v="3"/>
    <x v="239"/>
    <x v="244"/>
    <x v="0"/>
    <x v="4"/>
    <x v="147"/>
    <x v="0"/>
    <x v="2"/>
    <x v="2"/>
    <x v="6"/>
    <x v="1"/>
    <x v="3"/>
    <x v="1"/>
    <x v="195"/>
    <x v="197"/>
    <x v="4"/>
    <x v="68"/>
    <x v="95"/>
  </r>
  <r>
    <x v="266"/>
    <x v="6"/>
    <x v="2"/>
    <x v="4"/>
    <x v="3"/>
    <x v="0"/>
    <x v="10"/>
    <x v="1"/>
    <x v="3"/>
    <x v="240"/>
    <x v="245"/>
    <x v="1"/>
    <x v="3"/>
    <x v="23"/>
    <x v="1"/>
    <x v="1"/>
    <x v="0"/>
    <x v="14"/>
    <x v="1"/>
    <x v="1"/>
    <x v="1"/>
    <x v="196"/>
    <x v="86"/>
    <x v="29"/>
    <x v="100"/>
    <x v="127"/>
  </r>
  <r>
    <x v="267"/>
    <x v="53"/>
    <x v="0"/>
    <x v="0"/>
    <x v="1"/>
    <x v="0"/>
    <x v="18"/>
    <x v="1"/>
    <x v="1"/>
    <x v="190"/>
    <x v="246"/>
    <x v="0"/>
    <x v="2"/>
    <x v="148"/>
    <x v="0"/>
    <x v="2"/>
    <x v="2"/>
    <x v="86"/>
    <x v="1"/>
    <x v="4"/>
    <x v="1"/>
    <x v="197"/>
    <x v="176"/>
    <x v="30"/>
    <x v="91"/>
    <x v="61"/>
  </r>
  <r>
    <x v="268"/>
    <x v="16"/>
    <x v="2"/>
    <x v="2"/>
    <x v="4"/>
    <x v="0"/>
    <x v="19"/>
    <x v="2"/>
    <x v="2"/>
    <x v="241"/>
    <x v="247"/>
    <x v="2"/>
    <x v="3"/>
    <x v="17"/>
    <x v="2"/>
    <x v="2"/>
    <x v="0"/>
    <x v="56"/>
    <x v="1"/>
    <x v="4"/>
    <x v="0"/>
    <x v="69"/>
    <x v="182"/>
    <x v="71"/>
    <x v="51"/>
    <x v="128"/>
  </r>
  <r>
    <x v="269"/>
    <x v="14"/>
    <x v="0"/>
    <x v="2"/>
    <x v="0"/>
    <x v="5"/>
    <x v="1"/>
    <x v="1"/>
    <x v="1"/>
    <x v="242"/>
    <x v="248"/>
    <x v="0"/>
    <x v="4"/>
    <x v="149"/>
    <x v="0"/>
    <x v="2"/>
    <x v="2"/>
    <x v="115"/>
    <x v="1"/>
    <x v="1"/>
    <x v="1"/>
    <x v="17"/>
    <x v="185"/>
    <x v="81"/>
    <x v="144"/>
    <x v="129"/>
  </r>
  <r>
    <x v="270"/>
    <x v="39"/>
    <x v="0"/>
    <x v="4"/>
    <x v="4"/>
    <x v="5"/>
    <x v="5"/>
    <x v="1"/>
    <x v="2"/>
    <x v="51"/>
    <x v="249"/>
    <x v="1"/>
    <x v="3"/>
    <x v="150"/>
    <x v="1"/>
    <x v="1"/>
    <x v="0"/>
    <x v="114"/>
    <x v="1"/>
    <x v="1"/>
    <x v="1"/>
    <x v="198"/>
    <x v="44"/>
    <x v="67"/>
    <x v="4"/>
    <x v="130"/>
  </r>
  <r>
    <x v="271"/>
    <x v="63"/>
    <x v="0"/>
    <x v="4"/>
    <x v="1"/>
    <x v="0"/>
    <x v="19"/>
    <x v="3"/>
    <x v="0"/>
    <x v="243"/>
    <x v="250"/>
    <x v="1"/>
    <x v="3"/>
    <x v="124"/>
    <x v="1"/>
    <x v="1"/>
    <x v="3"/>
    <x v="34"/>
    <x v="1"/>
    <x v="1"/>
    <x v="1"/>
    <x v="199"/>
    <x v="198"/>
    <x v="83"/>
    <x v="4"/>
    <x v="33"/>
  </r>
  <r>
    <x v="272"/>
    <x v="41"/>
    <x v="2"/>
    <x v="1"/>
    <x v="0"/>
    <x v="0"/>
    <x v="18"/>
    <x v="1"/>
    <x v="0"/>
    <x v="244"/>
    <x v="251"/>
    <x v="0"/>
    <x v="2"/>
    <x v="50"/>
    <x v="0"/>
    <x v="0"/>
    <x v="0"/>
    <x v="122"/>
    <x v="0"/>
    <x v="4"/>
    <x v="0"/>
    <x v="200"/>
    <x v="199"/>
    <x v="17"/>
    <x v="145"/>
    <x v="131"/>
  </r>
  <r>
    <x v="273"/>
    <x v="17"/>
    <x v="2"/>
    <x v="3"/>
    <x v="3"/>
    <x v="3"/>
    <x v="16"/>
    <x v="3"/>
    <x v="0"/>
    <x v="245"/>
    <x v="252"/>
    <x v="1"/>
    <x v="1"/>
    <x v="103"/>
    <x v="1"/>
    <x v="2"/>
    <x v="1"/>
    <x v="22"/>
    <x v="1"/>
    <x v="4"/>
    <x v="1"/>
    <x v="43"/>
    <x v="197"/>
    <x v="28"/>
    <x v="38"/>
    <x v="1"/>
  </r>
  <r>
    <x v="274"/>
    <x v="34"/>
    <x v="1"/>
    <x v="3"/>
    <x v="3"/>
    <x v="0"/>
    <x v="16"/>
    <x v="3"/>
    <x v="2"/>
    <x v="246"/>
    <x v="253"/>
    <x v="3"/>
    <x v="4"/>
    <x v="56"/>
    <x v="3"/>
    <x v="0"/>
    <x v="2"/>
    <x v="104"/>
    <x v="0"/>
    <x v="3"/>
    <x v="1"/>
    <x v="35"/>
    <x v="12"/>
    <x v="21"/>
    <x v="131"/>
    <x v="70"/>
  </r>
  <r>
    <x v="275"/>
    <x v="41"/>
    <x v="1"/>
    <x v="4"/>
    <x v="1"/>
    <x v="0"/>
    <x v="13"/>
    <x v="0"/>
    <x v="3"/>
    <x v="247"/>
    <x v="254"/>
    <x v="3"/>
    <x v="1"/>
    <x v="135"/>
    <x v="3"/>
    <x v="0"/>
    <x v="2"/>
    <x v="131"/>
    <x v="0"/>
    <x v="3"/>
    <x v="0"/>
    <x v="201"/>
    <x v="200"/>
    <x v="21"/>
    <x v="99"/>
    <x v="132"/>
  </r>
  <r>
    <x v="276"/>
    <x v="19"/>
    <x v="1"/>
    <x v="0"/>
    <x v="2"/>
    <x v="0"/>
    <x v="14"/>
    <x v="0"/>
    <x v="2"/>
    <x v="248"/>
    <x v="255"/>
    <x v="3"/>
    <x v="4"/>
    <x v="19"/>
    <x v="3"/>
    <x v="2"/>
    <x v="2"/>
    <x v="34"/>
    <x v="1"/>
    <x v="2"/>
    <x v="0"/>
    <x v="178"/>
    <x v="201"/>
    <x v="19"/>
    <x v="67"/>
    <x v="88"/>
  </r>
  <r>
    <x v="277"/>
    <x v="47"/>
    <x v="0"/>
    <x v="4"/>
    <x v="4"/>
    <x v="0"/>
    <x v="16"/>
    <x v="2"/>
    <x v="3"/>
    <x v="249"/>
    <x v="70"/>
    <x v="3"/>
    <x v="1"/>
    <x v="151"/>
    <x v="3"/>
    <x v="0"/>
    <x v="3"/>
    <x v="57"/>
    <x v="0"/>
    <x v="1"/>
    <x v="1"/>
    <x v="47"/>
    <x v="202"/>
    <x v="7"/>
    <x v="119"/>
    <x v="85"/>
  </r>
  <r>
    <x v="278"/>
    <x v="30"/>
    <x v="0"/>
    <x v="3"/>
    <x v="2"/>
    <x v="4"/>
    <x v="10"/>
    <x v="0"/>
    <x v="3"/>
    <x v="250"/>
    <x v="256"/>
    <x v="1"/>
    <x v="3"/>
    <x v="152"/>
    <x v="1"/>
    <x v="0"/>
    <x v="1"/>
    <x v="33"/>
    <x v="0"/>
    <x v="1"/>
    <x v="1"/>
    <x v="202"/>
    <x v="203"/>
    <x v="33"/>
    <x v="146"/>
    <x v="66"/>
  </r>
  <r>
    <x v="279"/>
    <x v="3"/>
    <x v="2"/>
    <x v="0"/>
    <x v="4"/>
    <x v="5"/>
    <x v="17"/>
    <x v="1"/>
    <x v="1"/>
    <x v="251"/>
    <x v="257"/>
    <x v="1"/>
    <x v="2"/>
    <x v="11"/>
    <x v="1"/>
    <x v="0"/>
    <x v="1"/>
    <x v="122"/>
    <x v="0"/>
    <x v="3"/>
    <x v="1"/>
    <x v="203"/>
    <x v="204"/>
    <x v="63"/>
    <x v="87"/>
    <x v="107"/>
  </r>
  <r>
    <x v="280"/>
    <x v="36"/>
    <x v="1"/>
    <x v="1"/>
    <x v="2"/>
    <x v="0"/>
    <x v="0"/>
    <x v="0"/>
    <x v="1"/>
    <x v="252"/>
    <x v="258"/>
    <x v="0"/>
    <x v="0"/>
    <x v="15"/>
    <x v="0"/>
    <x v="1"/>
    <x v="0"/>
    <x v="47"/>
    <x v="1"/>
    <x v="4"/>
    <x v="0"/>
    <x v="136"/>
    <x v="60"/>
    <x v="65"/>
    <x v="107"/>
    <x v="18"/>
  </r>
  <r>
    <x v="281"/>
    <x v="0"/>
    <x v="2"/>
    <x v="0"/>
    <x v="3"/>
    <x v="0"/>
    <x v="6"/>
    <x v="0"/>
    <x v="2"/>
    <x v="15"/>
    <x v="259"/>
    <x v="2"/>
    <x v="0"/>
    <x v="153"/>
    <x v="2"/>
    <x v="2"/>
    <x v="4"/>
    <x v="25"/>
    <x v="1"/>
    <x v="4"/>
    <x v="1"/>
    <x v="204"/>
    <x v="205"/>
    <x v="18"/>
    <x v="16"/>
    <x v="56"/>
  </r>
  <r>
    <x v="282"/>
    <x v="47"/>
    <x v="0"/>
    <x v="2"/>
    <x v="2"/>
    <x v="3"/>
    <x v="16"/>
    <x v="1"/>
    <x v="1"/>
    <x v="253"/>
    <x v="260"/>
    <x v="3"/>
    <x v="1"/>
    <x v="114"/>
    <x v="3"/>
    <x v="2"/>
    <x v="2"/>
    <x v="29"/>
    <x v="1"/>
    <x v="2"/>
    <x v="0"/>
    <x v="183"/>
    <x v="177"/>
    <x v="6"/>
    <x v="139"/>
    <x v="75"/>
  </r>
  <r>
    <x v="283"/>
    <x v="21"/>
    <x v="1"/>
    <x v="0"/>
    <x v="0"/>
    <x v="0"/>
    <x v="11"/>
    <x v="2"/>
    <x v="1"/>
    <x v="254"/>
    <x v="261"/>
    <x v="2"/>
    <x v="2"/>
    <x v="33"/>
    <x v="2"/>
    <x v="1"/>
    <x v="0"/>
    <x v="14"/>
    <x v="1"/>
    <x v="3"/>
    <x v="0"/>
    <x v="73"/>
    <x v="206"/>
    <x v="24"/>
    <x v="76"/>
    <x v="28"/>
  </r>
  <r>
    <x v="284"/>
    <x v="29"/>
    <x v="0"/>
    <x v="3"/>
    <x v="1"/>
    <x v="2"/>
    <x v="17"/>
    <x v="3"/>
    <x v="0"/>
    <x v="49"/>
    <x v="262"/>
    <x v="0"/>
    <x v="4"/>
    <x v="154"/>
    <x v="0"/>
    <x v="0"/>
    <x v="2"/>
    <x v="132"/>
    <x v="0"/>
    <x v="1"/>
    <x v="1"/>
    <x v="54"/>
    <x v="207"/>
    <x v="35"/>
    <x v="87"/>
    <x v="133"/>
  </r>
  <r>
    <x v="285"/>
    <x v="34"/>
    <x v="2"/>
    <x v="1"/>
    <x v="0"/>
    <x v="4"/>
    <x v="19"/>
    <x v="3"/>
    <x v="1"/>
    <x v="255"/>
    <x v="263"/>
    <x v="0"/>
    <x v="2"/>
    <x v="155"/>
    <x v="0"/>
    <x v="2"/>
    <x v="4"/>
    <x v="85"/>
    <x v="1"/>
    <x v="2"/>
    <x v="0"/>
    <x v="91"/>
    <x v="208"/>
    <x v="72"/>
    <x v="30"/>
    <x v="32"/>
  </r>
  <r>
    <x v="286"/>
    <x v="38"/>
    <x v="1"/>
    <x v="0"/>
    <x v="2"/>
    <x v="1"/>
    <x v="13"/>
    <x v="2"/>
    <x v="2"/>
    <x v="256"/>
    <x v="264"/>
    <x v="2"/>
    <x v="0"/>
    <x v="125"/>
    <x v="2"/>
    <x v="1"/>
    <x v="3"/>
    <x v="133"/>
    <x v="1"/>
    <x v="2"/>
    <x v="1"/>
    <x v="107"/>
    <x v="209"/>
    <x v="10"/>
    <x v="53"/>
    <x v="134"/>
  </r>
  <r>
    <x v="287"/>
    <x v="57"/>
    <x v="0"/>
    <x v="3"/>
    <x v="3"/>
    <x v="0"/>
    <x v="4"/>
    <x v="3"/>
    <x v="3"/>
    <x v="257"/>
    <x v="265"/>
    <x v="1"/>
    <x v="3"/>
    <x v="38"/>
    <x v="1"/>
    <x v="1"/>
    <x v="0"/>
    <x v="101"/>
    <x v="1"/>
    <x v="0"/>
    <x v="1"/>
    <x v="205"/>
    <x v="69"/>
    <x v="1"/>
    <x v="45"/>
    <x v="80"/>
  </r>
  <r>
    <x v="288"/>
    <x v="39"/>
    <x v="2"/>
    <x v="1"/>
    <x v="3"/>
    <x v="1"/>
    <x v="0"/>
    <x v="1"/>
    <x v="0"/>
    <x v="258"/>
    <x v="46"/>
    <x v="3"/>
    <x v="1"/>
    <x v="89"/>
    <x v="3"/>
    <x v="0"/>
    <x v="1"/>
    <x v="78"/>
    <x v="0"/>
    <x v="2"/>
    <x v="0"/>
    <x v="104"/>
    <x v="210"/>
    <x v="76"/>
    <x v="147"/>
    <x v="40"/>
  </r>
  <r>
    <x v="289"/>
    <x v="18"/>
    <x v="0"/>
    <x v="3"/>
    <x v="0"/>
    <x v="0"/>
    <x v="7"/>
    <x v="2"/>
    <x v="1"/>
    <x v="259"/>
    <x v="266"/>
    <x v="0"/>
    <x v="3"/>
    <x v="87"/>
    <x v="0"/>
    <x v="1"/>
    <x v="0"/>
    <x v="22"/>
    <x v="1"/>
    <x v="3"/>
    <x v="1"/>
    <x v="127"/>
    <x v="211"/>
    <x v="43"/>
    <x v="16"/>
    <x v="109"/>
  </r>
  <r>
    <x v="290"/>
    <x v="63"/>
    <x v="1"/>
    <x v="3"/>
    <x v="1"/>
    <x v="3"/>
    <x v="0"/>
    <x v="3"/>
    <x v="3"/>
    <x v="260"/>
    <x v="267"/>
    <x v="1"/>
    <x v="0"/>
    <x v="127"/>
    <x v="1"/>
    <x v="0"/>
    <x v="1"/>
    <x v="16"/>
    <x v="0"/>
    <x v="1"/>
    <x v="0"/>
    <x v="29"/>
    <x v="107"/>
    <x v="80"/>
    <x v="80"/>
    <x v="83"/>
  </r>
  <r>
    <x v="291"/>
    <x v="33"/>
    <x v="2"/>
    <x v="0"/>
    <x v="1"/>
    <x v="5"/>
    <x v="18"/>
    <x v="3"/>
    <x v="1"/>
    <x v="261"/>
    <x v="268"/>
    <x v="2"/>
    <x v="2"/>
    <x v="56"/>
    <x v="2"/>
    <x v="0"/>
    <x v="2"/>
    <x v="22"/>
    <x v="0"/>
    <x v="0"/>
    <x v="1"/>
    <x v="206"/>
    <x v="212"/>
    <x v="62"/>
    <x v="113"/>
    <x v="40"/>
  </r>
  <r>
    <x v="292"/>
    <x v="55"/>
    <x v="2"/>
    <x v="3"/>
    <x v="4"/>
    <x v="2"/>
    <x v="19"/>
    <x v="3"/>
    <x v="1"/>
    <x v="262"/>
    <x v="269"/>
    <x v="1"/>
    <x v="1"/>
    <x v="18"/>
    <x v="1"/>
    <x v="2"/>
    <x v="3"/>
    <x v="28"/>
    <x v="1"/>
    <x v="2"/>
    <x v="0"/>
    <x v="49"/>
    <x v="213"/>
    <x v="59"/>
    <x v="148"/>
    <x v="25"/>
  </r>
  <r>
    <x v="293"/>
    <x v="20"/>
    <x v="2"/>
    <x v="3"/>
    <x v="3"/>
    <x v="3"/>
    <x v="5"/>
    <x v="2"/>
    <x v="3"/>
    <x v="193"/>
    <x v="270"/>
    <x v="0"/>
    <x v="4"/>
    <x v="140"/>
    <x v="0"/>
    <x v="2"/>
    <x v="4"/>
    <x v="41"/>
    <x v="1"/>
    <x v="3"/>
    <x v="0"/>
    <x v="168"/>
    <x v="214"/>
    <x v="18"/>
    <x v="46"/>
    <x v="60"/>
  </r>
  <r>
    <x v="294"/>
    <x v="52"/>
    <x v="1"/>
    <x v="1"/>
    <x v="2"/>
    <x v="0"/>
    <x v="11"/>
    <x v="0"/>
    <x v="2"/>
    <x v="263"/>
    <x v="271"/>
    <x v="1"/>
    <x v="3"/>
    <x v="150"/>
    <x v="1"/>
    <x v="1"/>
    <x v="3"/>
    <x v="64"/>
    <x v="1"/>
    <x v="2"/>
    <x v="1"/>
    <x v="207"/>
    <x v="119"/>
    <x v="5"/>
    <x v="149"/>
    <x v="135"/>
  </r>
  <r>
    <x v="295"/>
    <x v="60"/>
    <x v="0"/>
    <x v="1"/>
    <x v="0"/>
    <x v="0"/>
    <x v="0"/>
    <x v="0"/>
    <x v="3"/>
    <x v="264"/>
    <x v="272"/>
    <x v="2"/>
    <x v="0"/>
    <x v="156"/>
    <x v="2"/>
    <x v="1"/>
    <x v="3"/>
    <x v="2"/>
    <x v="1"/>
    <x v="3"/>
    <x v="1"/>
    <x v="208"/>
    <x v="215"/>
    <x v="13"/>
    <x v="73"/>
    <x v="4"/>
  </r>
  <r>
    <x v="296"/>
    <x v="30"/>
    <x v="0"/>
    <x v="4"/>
    <x v="3"/>
    <x v="0"/>
    <x v="3"/>
    <x v="3"/>
    <x v="1"/>
    <x v="265"/>
    <x v="273"/>
    <x v="0"/>
    <x v="2"/>
    <x v="156"/>
    <x v="0"/>
    <x v="1"/>
    <x v="0"/>
    <x v="61"/>
    <x v="1"/>
    <x v="3"/>
    <x v="0"/>
    <x v="23"/>
    <x v="216"/>
    <x v="83"/>
    <x v="24"/>
    <x v="121"/>
  </r>
  <r>
    <x v="297"/>
    <x v="65"/>
    <x v="1"/>
    <x v="4"/>
    <x v="3"/>
    <x v="5"/>
    <x v="15"/>
    <x v="0"/>
    <x v="2"/>
    <x v="266"/>
    <x v="274"/>
    <x v="1"/>
    <x v="4"/>
    <x v="21"/>
    <x v="1"/>
    <x v="0"/>
    <x v="4"/>
    <x v="18"/>
    <x v="0"/>
    <x v="2"/>
    <x v="0"/>
    <x v="132"/>
    <x v="217"/>
    <x v="69"/>
    <x v="44"/>
    <x v="33"/>
  </r>
  <r>
    <x v="298"/>
    <x v="30"/>
    <x v="0"/>
    <x v="3"/>
    <x v="4"/>
    <x v="0"/>
    <x v="4"/>
    <x v="3"/>
    <x v="2"/>
    <x v="267"/>
    <x v="275"/>
    <x v="1"/>
    <x v="3"/>
    <x v="157"/>
    <x v="1"/>
    <x v="2"/>
    <x v="3"/>
    <x v="132"/>
    <x v="1"/>
    <x v="4"/>
    <x v="0"/>
    <x v="209"/>
    <x v="138"/>
    <x v="25"/>
    <x v="38"/>
    <x v="136"/>
  </r>
  <r>
    <x v="299"/>
    <x v="18"/>
    <x v="2"/>
    <x v="0"/>
    <x v="1"/>
    <x v="0"/>
    <x v="13"/>
    <x v="0"/>
    <x v="0"/>
    <x v="64"/>
    <x v="276"/>
    <x v="3"/>
    <x v="4"/>
    <x v="60"/>
    <x v="3"/>
    <x v="0"/>
    <x v="2"/>
    <x v="97"/>
    <x v="0"/>
    <x v="1"/>
    <x v="1"/>
    <x v="197"/>
    <x v="205"/>
    <x v="32"/>
    <x v="5"/>
    <x v="27"/>
  </r>
  <r>
    <x v="300"/>
    <x v="18"/>
    <x v="0"/>
    <x v="4"/>
    <x v="4"/>
    <x v="1"/>
    <x v="14"/>
    <x v="3"/>
    <x v="3"/>
    <x v="268"/>
    <x v="277"/>
    <x v="3"/>
    <x v="2"/>
    <x v="59"/>
    <x v="3"/>
    <x v="0"/>
    <x v="1"/>
    <x v="47"/>
    <x v="0"/>
    <x v="0"/>
    <x v="1"/>
    <x v="87"/>
    <x v="218"/>
    <x v="52"/>
    <x v="81"/>
    <x v="91"/>
  </r>
  <r>
    <x v="301"/>
    <x v="5"/>
    <x v="0"/>
    <x v="2"/>
    <x v="4"/>
    <x v="5"/>
    <x v="4"/>
    <x v="0"/>
    <x v="3"/>
    <x v="269"/>
    <x v="278"/>
    <x v="2"/>
    <x v="1"/>
    <x v="158"/>
    <x v="2"/>
    <x v="0"/>
    <x v="3"/>
    <x v="32"/>
    <x v="0"/>
    <x v="3"/>
    <x v="1"/>
    <x v="41"/>
    <x v="188"/>
    <x v="73"/>
    <x v="83"/>
    <x v="77"/>
  </r>
  <r>
    <x v="302"/>
    <x v="38"/>
    <x v="0"/>
    <x v="2"/>
    <x v="4"/>
    <x v="5"/>
    <x v="6"/>
    <x v="1"/>
    <x v="0"/>
    <x v="167"/>
    <x v="279"/>
    <x v="0"/>
    <x v="2"/>
    <x v="46"/>
    <x v="0"/>
    <x v="0"/>
    <x v="2"/>
    <x v="79"/>
    <x v="0"/>
    <x v="4"/>
    <x v="1"/>
    <x v="130"/>
    <x v="183"/>
    <x v="52"/>
    <x v="150"/>
    <x v="53"/>
  </r>
  <r>
    <x v="303"/>
    <x v="8"/>
    <x v="0"/>
    <x v="1"/>
    <x v="3"/>
    <x v="3"/>
    <x v="12"/>
    <x v="1"/>
    <x v="0"/>
    <x v="270"/>
    <x v="280"/>
    <x v="3"/>
    <x v="2"/>
    <x v="106"/>
    <x v="3"/>
    <x v="1"/>
    <x v="2"/>
    <x v="134"/>
    <x v="1"/>
    <x v="3"/>
    <x v="0"/>
    <x v="210"/>
    <x v="61"/>
    <x v="49"/>
    <x v="143"/>
    <x v="104"/>
  </r>
  <r>
    <x v="304"/>
    <x v="37"/>
    <x v="2"/>
    <x v="2"/>
    <x v="0"/>
    <x v="0"/>
    <x v="5"/>
    <x v="2"/>
    <x v="3"/>
    <x v="271"/>
    <x v="281"/>
    <x v="0"/>
    <x v="0"/>
    <x v="13"/>
    <x v="0"/>
    <x v="0"/>
    <x v="3"/>
    <x v="132"/>
    <x v="0"/>
    <x v="4"/>
    <x v="1"/>
    <x v="114"/>
    <x v="219"/>
    <x v="2"/>
    <x v="151"/>
    <x v="69"/>
  </r>
  <r>
    <x v="305"/>
    <x v="55"/>
    <x v="2"/>
    <x v="0"/>
    <x v="2"/>
    <x v="0"/>
    <x v="14"/>
    <x v="2"/>
    <x v="2"/>
    <x v="131"/>
    <x v="282"/>
    <x v="2"/>
    <x v="2"/>
    <x v="40"/>
    <x v="2"/>
    <x v="0"/>
    <x v="2"/>
    <x v="123"/>
    <x v="0"/>
    <x v="3"/>
    <x v="1"/>
    <x v="211"/>
    <x v="220"/>
    <x v="84"/>
    <x v="39"/>
    <x v="86"/>
  </r>
  <r>
    <x v="306"/>
    <x v="21"/>
    <x v="0"/>
    <x v="4"/>
    <x v="1"/>
    <x v="0"/>
    <x v="0"/>
    <x v="2"/>
    <x v="0"/>
    <x v="93"/>
    <x v="283"/>
    <x v="2"/>
    <x v="1"/>
    <x v="154"/>
    <x v="2"/>
    <x v="0"/>
    <x v="0"/>
    <x v="85"/>
    <x v="0"/>
    <x v="1"/>
    <x v="0"/>
    <x v="212"/>
    <x v="221"/>
    <x v="31"/>
    <x v="33"/>
    <x v="110"/>
  </r>
  <r>
    <x v="307"/>
    <x v="30"/>
    <x v="2"/>
    <x v="4"/>
    <x v="1"/>
    <x v="4"/>
    <x v="2"/>
    <x v="3"/>
    <x v="3"/>
    <x v="272"/>
    <x v="257"/>
    <x v="3"/>
    <x v="2"/>
    <x v="159"/>
    <x v="3"/>
    <x v="0"/>
    <x v="2"/>
    <x v="24"/>
    <x v="0"/>
    <x v="0"/>
    <x v="1"/>
    <x v="99"/>
    <x v="222"/>
    <x v="26"/>
    <x v="152"/>
    <x v="19"/>
  </r>
  <r>
    <x v="308"/>
    <x v="66"/>
    <x v="0"/>
    <x v="1"/>
    <x v="2"/>
    <x v="5"/>
    <x v="5"/>
    <x v="2"/>
    <x v="3"/>
    <x v="273"/>
    <x v="284"/>
    <x v="1"/>
    <x v="3"/>
    <x v="93"/>
    <x v="1"/>
    <x v="0"/>
    <x v="3"/>
    <x v="61"/>
    <x v="0"/>
    <x v="4"/>
    <x v="0"/>
    <x v="213"/>
    <x v="219"/>
    <x v="44"/>
    <x v="71"/>
    <x v="137"/>
  </r>
  <r>
    <x v="309"/>
    <x v="63"/>
    <x v="2"/>
    <x v="4"/>
    <x v="3"/>
    <x v="0"/>
    <x v="7"/>
    <x v="0"/>
    <x v="2"/>
    <x v="274"/>
    <x v="111"/>
    <x v="2"/>
    <x v="0"/>
    <x v="118"/>
    <x v="2"/>
    <x v="0"/>
    <x v="1"/>
    <x v="37"/>
    <x v="0"/>
    <x v="0"/>
    <x v="0"/>
    <x v="73"/>
    <x v="172"/>
    <x v="79"/>
    <x v="145"/>
    <x v="126"/>
  </r>
  <r>
    <x v="310"/>
    <x v="43"/>
    <x v="2"/>
    <x v="0"/>
    <x v="2"/>
    <x v="0"/>
    <x v="2"/>
    <x v="1"/>
    <x v="2"/>
    <x v="275"/>
    <x v="193"/>
    <x v="2"/>
    <x v="2"/>
    <x v="49"/>
    <x v="2"/>
    <x v="1"/>
    <x v="1"/>
    <x v="63"/>
    <x v="1"/>
    <x v="2"/>
    <x v="1"/>
    <x v="214"/>
    <x v="223"/>
    <x v="28"/>
    <x v="105"/>
    <x v="138"/>
  </r>
  <r>
    <x v="311"/>
    <x v="31"/>
    <x v="2"/>
    <x v="2"/>
    <x v="3"/>
    <x v="0"/>
    <x v="12"/>
    <x v="1"/>
    <x v="2"/>
    <x v="276"/>
    <x v="285"/>
    <x v="2"/>
    <x v="3"/>
    <x v="93"/>
    <x v="2"/>
    <x v="1"/>
    <x v="4"/>
    <x v="135"/>
    <x v="1"/>
    <x v="1"/>
    <x v="1"/>
    <x v="176"/>
    <x v="25"/>
    <x v="68"/>
    <x v="153"/>
    <x v="117"/>
  </r>
  <r>
    <x v="312"/>
    <x v="62"/>
    <x v="1"/>
    <x v="1"/>
    <x v="3"/>
    <x v="0"/>
    <x v="4"/>
    <x v="1"/>
    <x v="2"/>
    <x v="277"/>
    <x v="286"/>
    <x v="0"/>
    <x v="1"/>
    <x v="59"/>
    <x v="0"/>
    <x v="1"/>
    <x v="2"/>
    <x v="95"/>
    <x v="1"/>
    <x v="4"/>
    <x v="1"/>
    <x v="188"/>
    <x v="224"/>
    <x v="3"/>
    <x v="50"/>
    <x v="139"/>
  </r>
  <r>
    <x v="313"/>
    <x v="16"/>
    <x v="0"/>
    <x v="2"/>
    <x v="2"/>
    <x v="2"/>
    <x v="2"/>
    <x v="1"/>
    <x v="0"/>
    <x v="278"/>
    <x v="287"/>
    <x v="0"/>
    <x v="4"/>
    <x v="155"/>
    <x v="0"/>
    <x v="1"/>
    <x v="4"/>
    <x v="15"/>
    <x v="1"/>
    <x v="1"/>
    <x v="0"/>
    <x v="102"/>
    <x v="225"/>
    <x v="40"/>
    <x v="75"/>
    <x v="108"/>
  </r>
  <r>
    <x v="314"/>
    <x v="15"/>
    <x v="1"/>
    <x v="4"/>
    <x v="2"/>
    <x v="0"/>
    <x v="16"/>
    <x v="1"/>
    <x v="3"/>
    <x v="279"/>
    <x v="288"/>
    <x v="3"/>
    <x v="0"/>
    <x v="94"/>
    <x v="3"/>
    <x v="0"/>
    <x v="4"/>
    <x v="118"/>
    <x v="0"/>
    <x v="2"/>
    <x v="0"/>
    <x v="115"/>
    <x v="85"/>
    <x v="81"/>
    <x v="88"/>
    <x v="140"/>
  </r>
  <r>
    <x v="315"/>
    <x v="2"/>
    <x v="0"/>
    <x v="0"/>
    <x v="2"/>
    <x v="2"/>
    <x v="5"/>
    <x v="2"/>
    <x v="3"/>
    <x v="280"/>
    <x v="289"/>
    <x v="0"/>
    <x v="3"/>
    <x v="101"/>
    <x v="0"/>
    <x v="2"/>
    <x v="2"/>
    <x v="72"/>
    <x v="1"/>
    <x v="1"/>
    <x v="0"/>
    <x v="131"/>
    <x v="103"/>
    <x v="83"/>
    <x v="106"/>
    <x v="6"/>
  </r>
  <r>
    <x v="316"/>
    <x v="7"/>
    <x v="2"/>
    <x v="4"/>
    <x v="3"/>
    <x v="3"/>
    <x v="14"/>
    <x v="3"/>
    <x v="0"/>
    <x v="281"/>
    <x v="290"/>
    <x v="0"/>
    <x v="4"/>
    <x v="145"/>
    <x v="0"/>
    <x v="2"/>
    <x v="3"/>
    <x v="99"/>
    <x v="1"/>
    <x v="0"/>
    <x v="0"/>
    <x v="3"/>
    <x v="226"/>
    <x v="31"/>
    <x v="154"/>
    <x v="89"/>
  </r>
  <r>
    <x v="317"/>
    <x v="5"/>
    <x v="2"/>
    <x v="2"/>
    <x v="3"/>
    <x v="0"/>
    <x v="16"/>
    <x v="0"/>
    <x v="2"/>
    <x v="282"/>
    <x v="291"/>
    <x v="0"/>
    <x v="3"/>
    <x v="92"/>
    <x v="0"/>
    <x v="0"/>
    <x v="2"/>
    <x v="92"/>
    <x v="0"/>
    <x v="0"/>
    <x v="0"/>
    <x v="151"/>
    <x v="227"/>
    <x v="46"/>
    <x v="138"/>
    <x v="65"/>
  </r>
  <r>
    <x v="318"/>
    <x v="2"/>
    <x v="2"/>
    <x v="1"/>
    <x v="0"/>
    <x v="0"/>
    <x v="11"/>
    <x v="3"/>
    <x v="2"/>
    <x v="283"/>
    <x v="292"/>
    <x v="1"/>
    <x v="2"/>
    <x v="123"/>
    <x v="1"/>
    <x v="1"/>
    <x v="4"/>
    <x v="74"/>
    <x v="1"/>
    <x v="0"/>
    <x v="0"/>
    <x v="67"/>
    <x v="228"/>
    <x v="81"/>
    <x v="9"/>
    <x v="71"/>
  </r>
  <r>
    <x v="319"/>
    <x v="15"/>
    <x v="0"/>
    <x v="1"/>
    <x v="3"/>
    <x v="4"/>
    <x v="10"/>
    <x v="3"/>
    <x v="3"/>
    <x v="284"/>
    <x v="293"/>
    <x v="3"/>
    <x v="2"/>
    <x v="106"/>
    <x v="3"/>
    <x v="0"/>
    <x v="1"/>
    <x v="43"/>
    <x v="0"/>
    <x v="1"/>
    <x v="1"/>
    <x v="215"/>
    <x v="141"/>
    <x v="19"/>
    <x v="68"/>
    <x v="124"/>
  </r>
  <r>
    <x v="320"/>
    <x v="44"/>
    <x v="0"/>
    <x v="4"/>
    <x v="0"/>
    <x v="5"/>
    <x v="11"/>
    <x v="2"/>
    <x v="2"/>
    <x v="285"/>
    <x v="294"/>
    <x v="0"/>
    <x v="3"/>
    <x v="95"/>
    <x v="0"/>
    <x v="1"/>
    <x v="2"/>
    <x v="57"/>
    <x v="1"/>
    <x v="2"/>
    <x v="1"/>
    <x v="216"/>
    <x v="27"/>
    <x v="26"/>
    <x v="52"/>
    <x v="133"/>
  </r>
  <r>
    <x v="321"/>
    <x v="9"/>
    <x v="0"/>
    <x v="2"/>
    <x v="1"/>
    <x v="1"/>
    <x v="12"/>
    <x v="2"/>
    <x v="3"/>
    <x v="286"/>
    <x v="295"/>
    <x v="3"/>
    <x v="2"/>
    <x v="142"/>
    <x v="3"/>
    <x v="1"/>
    <x v="4"/>
    <x v="30"/>
    <x v="1"/>
    <x v="2"/>
    <x v="0"/>
    <x v="217"/>
    <x v="229"/>
    <x v="52"/>
    <x v="120"/>
    <x v="131"/>
  </r>
  <r>
    <x v="322"/>
    <x v="36"/>
    <x v="0"/>
    <x v="4"/>
    <x v="0"/>
    <x v="0"/>
    <x v="19"/>
    <x v="3"/>
    <x v="2"/>
    <x v="287"/>
    <x v="296"/>
    <x v="3"/>
    <x v="0"/>
    <x v="60"/>
    <x v="3"/>
    <x v="2"/>
    <x v="2"/>
    <x v="27"/>
    <x v="1"/>
    <x v="3"/>
    <x v="0"/>
    <x v="18"/>
    <x v="225"/>
    <x v="63"/>
    <x v="47"/>
    <x v="86"/>
  </r>
  <r>
    <x v="323"/>
    <x v="41"/>
    <x v="1"/>
    <x v="1"/>
    <x v="4"/>
    <x v="0"/>
    <x v="10"/>
    <x v="1"/>
    <x v="3"/>
    <x v="288"/>
    <x v="297"/>
    <x v="1"/>
    <x v="2"/>
    <x v="97"/>
    <x v="1"/>
    <x v="2"/>
    <x v="0"/>
    <x v="49"/>
    <x v="1"/>
    <x v="4"/>
    <x v="1"/>
    <x v="32"/>
    <x v="211"/>
    <x v="25"/>
    <x v="22"/>
    <x v="140"/>
  </r>
  <r>
    <x v="324"/>
    <x v="61"/>
    <x v="1"/>
    <x v="2"/>
    <x v="4"/>
    <x v="4"/>
    <x v="0"/>
    <x v="3"/>
    <x v="0"/>
    <x v="289"/>
    <x v="298"/>
    <x v="1"/>
    <x v="4"/>
    <x v="160"/>
    <x v="1"/>
    <x v="0"/>
    <x v="1"/>
    <x v="125"/>
    <x v="0"/>
    <x v="2"/>
    <x v="0"/>
    <x v="60"/>
    <x v="230"/>
    <x v="4"/>
    <x v="86"/>
    <x v="131"/>
  </r>
  <r>
    <x v="325"/>
    <x v="15"/>
    <x v="1"/>
    <x v="2"/>
    <x v="0"/>
    <x v="0"/>
    <x v="8"/>
    <x v="1"/>
    <x v="1"/>
    <x v="290"/>
    <x v="299"/>
    <x v="1"/>
    <x v="2"/>
    <x v="136"/>
    <x v="1"/>
    <x v="2"/>
    <x v="1"/>
    <x v="67"/>
    <x v="1"/>
    <x v="3"/>
    <x v="0"/>
    <x v="155"/>
    <x v="231"/>
    <x v="28"/>
    <x v="130"/>
    <x v="24"/>
  </r>
  <r>
    <x v="326"/>
    <x v="59"/>
    <x v="2"/>
    <x v="0"/>
    <x v="3"/>
    <x v="5"/>
    <x v="9"/>
    <x v="3"/>
    <x v="2"/>
    <x v="78"/>
    <x v="300"/>
    <x v="3"/>
    <x v="4"/>
    <x v="117"/>
    <x v="3"/>
    <x v="0"/>
    <x v="4"/>
    <x v="134"/>
    <x v="0"/>
    <x v="3"/>
    <x v="0"/>
    <x v="1"/>
    <x v="232"/>
    <x v="10"/>
    <x v="70"/>
    <x v="118"/>
  </r>
  <r>
    <x v="327"/>
    <x v="54"/>
    <x v="2"/>
    <x v="4"/>
    <x v="1"/>
    <x v="3"/>
    <x v="7"/>
    <x v="0"/>
    <x v="3"/>
    <x v="291"/>
    <x v="301"/>
    <x v="1"/>
    <x v="4"/>
    <x v="103"/>
    <x v="1"/>
    <x v="0"/>
    <x v="3"/>
    <x v="52"/>
    <x v="0"/>
    <x v="4"/>
    <x v="0"/>
    <x v="28"/>
    <x v="178"/>
    <x v="55"/>
    <x v="32"/>
    <x v="137"/>
  </r>
  <r>
    <x v="328"/>
    <x v="37"/>
    <x v="1"/>
    <x v="0"/>
    <x v="4"/>
    <x v="1"/>
    <x v="2"/>
    <x v="1"/>
    <x v="3"/>
    <x v="159"/>
    <x v="166"/>
    <x v="1"/>
    <x v="1"/>
    <x v="161"/>
    <x v="1"/>
    <x v="2"/>
    <x v="2"/>
    <x v="98"/>
    <x v="1"/>
    <x v="0"/>
    <x v="1"/>
    <x v="218"/>
    <x v="233"/>
    <x v="79"/>
    <x v="82"/>
    <x v="141"/>
  </r>
  <r>
    <x v="329"/>
    <x v="54"/>
    <x v="2"/>
    <x v="0"/>
    <x v="3"/>
    <x v="0"/>
    <x v="6"/>
    <x v="0"/>
    <x v="2"/>
    <x v="292"/>
    <x v="302"/>
    <x v="2"/>
    <x v="3"/>
    <x v="63"/>
    <x v="2"/>
    <x v="1"/>
    <x v="0"/>
    <x v="63"/>
    <x v="1"/>
    <x v="0"/>
    <x v="0"/>
    <x v="219"/>
    <x v="234"/>
    <x v="74"/>
    <x v="15"/>
    <x v="79"/>
  </r>
  <r>
    <x v="330"/>
    <x v="7"/>
    <x v="0"/>
    <x v="1"/>
    <x v="4"/>
    <x v="1"/>
    <x v="2"/>
    <x v="1"/>
    <x v="1"/>
    <x v="81"/>
    <x v="303"/>
    <x v="1"/>
    <x v="4"/>
    <x v="162"/>
    <x v="1"/>
    <x v="2"/>
    <x v="3"/>
    <x v="1"/>
    <x v="1"/>
    <x v="2"/>
    <x v="1"/>
    <x v="88"/>
    <x v="235"/>
    <x v="79"/>
    <x v="72"/>
    <x v="26"/>
  </r>
  <r>
    <x v="331"/>
    <x v="2"/>
    <x v="0"/>
    <x v="0"/>
    <x v="2"/>
    <x v="0"/>
    <x v="9"/>
    <x v="3"/>
    <x v="3"/>
    <x v="293"/>
    <x v="304"/>
    <x v="2"/>
    <x v="0"/>
    <x v="153"/>
    <x v="2"/>
    <x v="0"/>
    <x v="1"/>
    <x v="8"/>
    <x v="0"/>
    <x v="2"/>
    <x v="1"/>
    <x v="17"/>
    <x v="236"/>
    <x v="42"/>
    <x v="7"/>
    <x v="18"/>
  </r>
  <r>
    <x v="332"/>
    <x v="18"/>
    <x v="1"/>
    <x v="4"/>
    <x v="3"/>
    <x v="0"/>
    <x v="10"/>
    <x v="3"/>
    <x v="1"/>
    <x v="294"/>
    <x v="305"/>
    <x v="1"/>
    <x v="2"/>
    <x v="163"/>
    <x v="1"/>
    <x v="2"/>
    <x v="2"/>
    <x v="55"/>
    <x v="1"/>
    <x v="0"/>
    <x v="0"/>
    <x v="137"/>
    <x v="48"/>
    <x v="74"/>
    <x v="131"/>
    <x v="141"/>
  </r>
  <r>
    <x v="333"/>
    <x v="29"/>
    <x v="2"/>
    <x v="3"/>
    <x v="2"/>
    <x v="4"/>
    <x v="2"/>
    <x v="3"/>
    <x v="2"/>
    <x v="246"/>
    <x v="306"/>
    <x v="0"/>
    <x v="0"/>
    <x v="132"/>
    <x v="0"/>
    <x v="1"/>
    <x v="0"/>
    <x v="80"/>
    <x v="1"/>
    <x v="0"/>
    <x v="1"/>
    <x v="196"/>
    <x v="231"/>
    <x v="38"/>
    <x v="96"/>
    <x v="96"/>
  </r>
  <r>
    <x v="334"/>
    <x v="66"/>
    <x v="1"/>
    <x v="1"/>
    <x v="0"/>
    <x v="0"/>
    <x v="6"/>
    <x v="3"/>
    <x v="1"/>
    <x v="184"/>
    <x v="307"/>
    <x v="2"/>
    <x v="3"/>
    <x v="164"/>
    <x v="2"/>
    <x v="0"/>
    <x v="4"/>
    <x v="49"/>
    <x v="0"/>
    <x v="1"/>
    <x v="1"/>
    <x v="220"/>
    <x v="237"/>
    <x v="17"/>
    <x v="155"/>
    <x v="37"/>
  </r>
  <r>
    <x v="335"/>
    <x v="3"/>
    <x v="1"/>
    <x v="3"/>
    <x v="0"/>
    <x v="0"/>
    <x v="10"/>
    <x v="0"/>
    <x v="2"/>
    <x v="229"/>
    <x v="308"/>
    <x v="3"/>
    <x v="3"/>
    <x v="164"/>
    <x v="3"/>
    <x v="2"/>
    <x v="4"/>
    <x v="104"/>
    <x v="1"/>
    <x v="1"/>
    <x v="1"/>
    <x v="221"/>
    <x v="238"/>
    <x v="45"/>
    <x v="52"/>
    <x v="142"/>
  </r>
  <r>
    <x v="336"/>
    <x v="12"/>
    <x v="2"/>
    <x v="0"/>
    <x v="3"/>
    <x v="3"/>
    <x v="10"/>
    <x v="3"/>
    <x v="1"/>
    <x v="148"/>
    <x v="309"/>
    <x v="1"/>
    <x v="1"/>
    <x v="165"/>
    <x v="1"/>
    <x v="2"/>
    <x v="0"/>
    <x v="10"/>
    <x v="1"/>
    <x v="3"/>
    <x v="1"/>
    <x v="183"/>
    <x v="12"/>
    <x v="11"/>
    <x v="156"/>
    <x v="86"/>
  </r>
  <r>
    <x v="337"/>
    <x v="29"/>
    <x v="2"/>
    <x v="4"/>
    <x v="1"/>
    <x v="2"/>
    <x v="13"/>
    <x v="2"/>
    <x v="3"/>
    <x v="295"/>
    <x v="310"/>
    <x v="2"/>
    <x v="3"/>
    <x v="121"/>
    <x v="2"/>
    <x v="2"/>
    <x v="1"/>
    <x v="119"/>
    <x v="1"/>
    <x v="3"/>
    <x v="0"/>
    <x v="43"/>
    <x v="239"/>
    <x v="61"/>
    <x v="28"/>
    <x v="104"/>
  </r>
  <r>
    <x v="338"/>
    <x v="59"/>
    <x v="1"/>
    <x v="1"/>
    <x v="4"/>
    <x v="0"/>
    <x v="5"/>
    <x v="3"/>
    <x v="2"/>
    <x v="296"/>
    <x v="311"/>
    <x v="0"/>
    <x v="1"/>
    <x v="150"/>
    <x v="0"/>
    <x v="0"/>
    <x v="2"/>
    <x v="96"/>
    <x v="0"/>
    <x v="0"/>
    <x v="1"/>
    <x v="211"/>
    <x v="240"/>
    <x v="9"/>
    <x v="10"/>
    <x v="50"/>
  </r>
  <r>
    <x v="339"/>
    <x v="31"/>
    <x v="2"/>
    <x v="3"/>
    <x v="2"/>
    <x v="4"/>
    <x v="3"/>
    <x v="1"/>
    <x v="1"/>
    <x v="297"/>
    <x v="312"/>
    <x v="0"/>
    <x v="1"/>
    <x v="93"/>
    <x v="0"/>
    <x v="1"/>
    <x v="1"/>
    <x v="2"/>
    <x v="1"/>
    <x v="0"/>
    <x v="1"/>
    <x v="26"/>
    <x v="234"/>
    <x v="67"/>
    <x v="145"/>
    <x v="65"/>
  </r>
  <r>
    <x v="340"/>
    <x v="24"/>
    <x v="2"/>
    <x v="2"/>
    <x v="3"/>
    <x v="0"/>
    <x v="5"/>
    <x v="2"/>
    <x v="2"/>
    <x v="298"/>
    <x v="313"/>
    <x v="1"/>
    <x v="4"/>
    <x v="36"/>
    <x v="1"/>
    <x v="2"/>
    <x v="3"/>
    <x v="41"/>
    <x v="1"/>
    <x v="3"/>
    <x v="1"/>
    <x v="222"/>
    <x v="241"/>
    <x v="62"/>
    <x v="129"/>
    <x v="100"/>
  </r>
  <r>
    <x v="341"/>
    <x v="16"/>
    <x v="1"/>
    <x v="2"/>
    <x v="2"/>
    <x v="5"/>
    <x v="4"/>
    <x v="2"/>
    <x v="0"/>
    <x v="181"/>
    <x v="314"/>
    <x v="3"/>
    <x v="1"/>
    <x v="166"/>
    <x v="3"/>
    <x v="0"/>
    <x v="2"/>
    <x v="85"/>
    <x v="0"/>
    <x v="3"/>
    <x v="0"/>
    <x v="223"/>
    <x v="238"/>
    <x v="77"/>
    <x v="142"/>
    <x v="143"/>
  </r>
  <r>
    <x v="342"/>
    <x v="18"/>
    <x v="0"/>
    <x v="3"/>
    <x v="0"/>
    <x v="0"/>
    <x v="15"/>
    <x v="3"/>
    <x v="0"/>
    <x v="299"/>
    <x v="315"/>
    <x v="2"/>
    <x v="1"/>
    <x v="21"/>
    <x v="2"/>
    <x v="2"/>
    <x v="0"/>
    <x v="80"/>
    <x v="1"/>
    <x v="2"/>
    <x v="0"/>
    <x v="179"/>
    <x v="167"/>
    <x v="47"/>
    <x v="57"/>
    <x v="33"/>
  </r>
  <r>
    <x v="343"/>
    <x v="25"/>
    <x v="1"/>
    <x v="2"/>
    <x v="4"/>
    <x v="1"/>
    <x v="6"/>
    <x v="1"/>
    <x v="1"/>
    <x v="300"/>
    <x v="316"/>
    <x v="1"/>
    <x v="4"/>
    <x v="131"/>
    <x v="1"/>
    <x v="1"/>
    <x v="1"/>
    <x v="75"/>
    <x v="1"/>
    <x v="4"/>
    <x v="0"/>
    <x v="183"/>
    <x v="41"/>
    <x v="5"/>
    <x v="73"/>
    <x v="50"/>
  </r>
  <r>
    <x v="344"/>
    <x v="32"/>
    <x v="0"/>
    <x v="0"/>
    <x v="3"/>
    <x v="1"/>
    <x v="11"/>
    <x v="1"/>
    <x v="3"/>
    <x v="301"/>
    <x v="291"/>
    <x v="3"/>
    <x v="4"/>
    <x v="83"/>
    <x v="3"/>
    <x v="2"/>
    <x v="1"/>
    <x v="45"/>
    <x v="1"/>
    <x v="2"/>
    <x v="0"/>
    <x v="224"/>
    <x v="233"/>
    <x v="75"/>
    <x v="36"/>
    <x v="94"/>
  </r>
  <r>
    <x v="345"/>
    <x v="34"/>
    <x v="1"/>
    <x v="2"/>
    <x v="2"/>
    <x v="0"/>
    <x v="14"/>
    <x v="3"/>
    <x v="2"/>
    <x v="302"/>
    <x v="237"/>
    <x v="1"/>
    <x v="0"/>
    <x v="138"/>
    <x v="1"/>
    <x v="2"/>
    <x v="3"/>
    <x v="21"/>
    <x v="1"/>
    <x v="1"/>
    <x v="0"/>
    <x v="225"/>
    <x v="45"/>
    <x v="80"/>
    <x v="99"/>
    <x v="135"/>
  </r>
  <r>
    <x v="346"/>
    <x v="44"/>
    <x v="1"/>
    <x v="3"/>
    <x v="2"/>
    <x v="2"/>
    <x v="3"/>
    <x v="1"/>
    <x v="2"/>
    <x v="303"/>
    <x v="317"/>
    <x v="3"/>
    <x v="1"/>
    <x v="88"/>
    <x v="3"/>
    <x v="2"/>
    <x v="3"/>
    <x v="53"/>
    <x v="1"/>
    <x v="1"/>
    <x v="1"/>
    <x v="226"/>
    <x v="242"/>
    <x v="49"/>
    <x v="95"/>
    <x v="63"/>
  </r>
  <r>
    <x v="347"/>
    <x v="60"/>
    <x v="0"/>
    <x v="4"/>
    <x v="2"/>
    <x v="5"/>
    <x v="7"/>
    <x v="1"/>
    <x v="3"/>
    <x v="304"/>
    <x v="318"/>
    <x v="2"/>
    <x v="1"/>
    <x v="70"/>
    <x v="2"/>
    <x v="2"/>
    <x v="3"/>
    <x v="39"/>
    <x v="1"/>
    <x v="3"/>
    <x v="0"/>
    <x v="227"/>
    <x v="243"/>
    <x v="63"/>
    <x v="78"/>
    <x v="62"/>
  </r>
  <r>
    <x v="348"/>
    <x v="59"/>
    <x v="1"/>
    <x v="0"/>
    <x v="2"/>
    <x v="0"/>
    <x v="6"/>
    <x v="2"/>
    <x v="1"/>
    <x v="305"/>
    <x v="292"/>
    <x v="2"/>
    <x v="1"/>
    <x v="167"/>
    <x v="2"/>
    <x v="1"/>
    <x v="0"/>
    <x v="114"/>
    <x v="1"/>
    <x v="2"/>
    <x v="1"/>
    <x v="50"/>
    <x v="244"/>
    <x v="29"/>
    <x v="117"/>
    <x v="144"/>
  </r>
  <r>
    <x v="349"/>
    <x v="42"/>
    <x v="2"/>
    <x v="2"/>
    <x v="0"/>
    <x v="3"/>
    <x v="7"/>
    <x v="0"/>
    <x v="0"/>
    <x v="306"/>
    <x v="319"/>
    <x v="0"/>
    <x v="1"/>
    <x v="107"/>
    <x v="0"/>
    <x v="2"/>
    <x v="1"/>
    <x v="42"/>
    <x v="1"/>
    <x v="3"/>
    <x v="0"/>
    <x v="228"/>
    <x v="183"/>
    <x v="48"/>
    <x v="110"/>
    <x v="22"/>
  </r>
  <r>
    <x v="350"/>
    <x v="19"/>
    <x v="2"/>
    <x v="3"/>
    <x v="2"/>
    <x v="0"/>
    <x v="8"/>
    <x v="1"/>
    <x v="0"/>
    <x v="307"/>
    <x v="320"/>
    <x v="2"/>
    <x v="4"/>
    <x v="50"/>
    <x v="2"/>
    <x v="2"/>
    <x v="4"/>
    <x v="36"/>
    <x v="1"/>
    <x v="0"/>
    <x v="1"/>
    <x v="169"/>
    <x v="1"/>
    <x v="9"/>
    <x v="72"/>
    <x v="9"/>
  </r>
  <r>
    <x v="351"/>
    <x v="54"/>
    <x v="0"/>
    <x v="0"/>
    <x v="0"/>
    <x v="0"/>
    <x v="9"/>
    <x v="0"/>
    <x v="0"/>
    <x v="308"/>
    <x v="321"/>
    <x v="0"/>
    <x v="0"/>
    <x v="31"/>
    <x v="0"/>
    <x v="2"/>
    <x v="1"/>
    <x v="89"/>
    <x v="1"/>
    <x v="4"/>
    <x v="0"/>
    <x v="229"/>
    <x v="245"/>
    <x v="13"/>
    <x v="82"/>
    <x v="109"/>
  </r>
  <r>
    <x v="352"/>
    <x v="42"/>
    <x v="1"/>
    <x v="3"/>
    <x v="1"/>
    <x v="0"/>
    <x v="7"/>
    <x v="0"/>
    <x v="0"/>
    <x v="309"/>
    <x v="322"/>
    <x v="2"/>
    <x v="4"/>
    <x v="14"/>
    <x v="2"/>
    <x v="1"/>
    <x v="1"/>
    <x v="92"/>
    <x v="1"/>
    <x v="3"/>
    <x v="0"/>
    <x v="67"/>
    <x v="86"/>
    <x v="64"/>
    <x v="124"/>
    <x v="110"/>
  </r>
  <r>
    <x v="353"/>
    <x v="12"/>
    <x v="1"/>
    <x v="0"/>
    <x v="0"/>
    <x v="0"/>
    <x v="11"/>
    <x v="1"/>
    <x v="0"/>
    <x v="185"/>
    <x v="323"/>
    <x v="0"/>
    <x v="2"/>
    <x v="69"/>
    <x v="0"/>
    <x v="0"/>
    <x v="3"/>
    <x v="104"/>
    <x v="0"/>
    <x v="2"/>
    <x v="0"/>
    <x v="230"/>
    <x v="29"/>
    <x v="70"/>
    <x v="31"/>
    <x v="142"/>
  </r>
  <r>
    <x v="354"/>
    <x v="63"/>
    <x v="2"/>
    <x v="1"/>
    <x v="0"/>
    <x v="5"/>
    <x v="4"/>
    <x v="2"/>
    <x v="0"/>
    <x v="310"/>
    <x v="324"/>
    <x v="2"/>
    <x v="0"/>
    <x v="118"/>
    <x v="2"/>
    <x v="2"/>
    <x v="2"/>
    <x v="9"/>
    <x v="1"/>
    <x v="1"/>
    <x v="0"/>
    <x v="126"/>
    <x v="46"/>
    <x v="16"/>
    <x v="153"/>
    <x v="145"/>
  </r>
  <r>
    <x v="355"/>
    <x v="12"/>
    <x v="2"/>
    <x v="1"/>
    <x v="0"/>
    <x v="3"/>
    <x v="4"/>
    <x v="1"/>
    <x v="2"/>
    <x v="311"/>
    <x v="325"/>
    <x v="1"/>
    <x v="3"/>
    <x v="109"/>
    <x v="1"/>
    <x v="1"/>
    <x v="3"/>
    <x v="85"/>
    <x v="1"/>
    <x v="0"/>
    <x v="0"/>
    <x v="83"/>
    <x v="246"/>
    <x v="21"/>
    <x v="69"/>
    <x v="119"/>
  </r>
  <r>
    <x v="356"/>
    <x v="44"/>
    <x v="0"/>
    <x v="1"/>
    <x v="2"/>
    <x v="0"/>
    <x v="9"/>
    <x v="1"/>
    <x v="1"/>
    <x v="312"/>
    <x v="326"/>
    <x v="1"/>
    <x v="2"/>
    <x v="6"/>
    <x v="1"/>
    <x v="0"/>
    <x v="2"/>
    <x v="65"/>
    <x v="0"/>
    <x v="2"/>
    <x v="1"/>
    <x v="231"/>
    <x v="247"/>
    <x v="72"/>
    <x v="129"/>
    <x v="39"/>
  </r>
  <r>
    <x v="357"/>
    <x v="58"/>
    <x v="2"/>
    <x v="3"/>
    <x v="2"/>
    <x v="0"/>
    <x v="16"/>
    <x v="2"/>
    <x v="1"/>
    <x v="313"/>
    <x v="327"/>
    <x v="1"/>
    <x v="0"/>
    <x v="133"/>
    <x v="1"/>
    <x v="2"/>
    <x v="1"/>
    <x v="52"/>
    <x v="1"/>
    <x v="4"/>
    <x v="0"/>
    <x v="232"/>
    <x v="122"/>
    <x v="30"/>
    <x v="24"/>
    <x v="112"/>
  </r>
  <r>
    <x v="358"/>
    <x v="29"/>
    <x v="0"/>
    <x v="1"/>
    <x v="2"/>
    <x v="4"/>
    <x v="11"/>
    <x v="3"/>
    <x v="1"/>
    <x v="314"/>
    <x v="328"/>
    <x v="1"/>
    <x v="0"/>
    <x v="168"/>
    <x v="1"/>
    <x v="1"/>
    <x v="1"/>
    <x v="99"/>
    <x v="1"/>
    <x v="2"/>
    <x v="0"/>
    <x v="38"/>
    <x v="238"/>
    <x v="22"/>
    <x v="149"/>
    <x v="146"/>
  </r>
  <r>
    <x v="359"/>
    <x v="36"/>
    <x v="0"/>
    <x v="0"/>
    <x v="3"/>
    <x v="3"/>
    <x v="2"/>
    <x v="1"/>
    <x v="3"/>
    <x v="190"/>
    <x v="329"/>
    <x v="0"/>
    <x v="1"/>
    <x v="91"/>
    <x v="0"/>
    <x v="0"/>
    <x v="4"/>
    <x v="111"/>
    <x v="0"/>
    <x v="4"/>
    <x v="0"/>
    <x v="158"/>
    <x v="107"/>
    <x v="11"/>
    <x v="62"/>
    <x v="147"/>
  </r>
  <r>
    <x v="360"/>
    <x v="26"/>
    <x v="1"/>
    <x v="2"/>
    <x v="4"/>
    <x v="4"/>
    <x v="11"/>
    <x v="1"/>
    <x v="1"/>
    <x v="315"/>
    <x v="330"/>
    <x v="0"/>
    <x v="3"/>
    <x v="137"/>
    <x v="0"/>
    <x v="2"/>
    <x v="2"/>
    <x v="36"/>
    <x v="1"/>
    <x v="2"/>
    <x v="1"/>
    <x v="60"/>
    <x v="36"/>
    <x v="21"/>
    <x v="142"/>
    <x v="29"/>
  </r>
  <r>
    <x v="361"/>
    <x v="54"/>
    <x v="0"/>
    <x v="4"/>
    <x v="2"/>
    <x v="0"/>
    <x v="11"/>
    <x v="2"/>
    <x v="3"/>
    <x v="316"/>
    <x v="217"/>
    <x v="0"/>
    <x v="0"/>
    <x v="75"/>
    <x v="0"/>
    <x v="2"/>
    <x v="1"/>
    <x v="132"/>
    <x v="1"/>
    <x v="0"/>
    <x v="1"/>
    <x v="128"/>
    <x v="113"/>
    <x v="35"/>
    <x v="140"/>
    <x v="11"/>
  </r>
  <r>
    <x v="362"/>
    <x v="17"/>
    <x v="0"/>
    <x v="0"/>
    <x v="1"/>
    <x v="0"/>
    <x v="1"/>
    <x v="3"/>
    <x v="2"/>
    <x v="41"/>
    <x v="331"/>
    <x v="2"/>
    <x v="4"/>
    <x v="169"/>
    <x v="2"/>
    <x v="2"/>
    <x v="3"/>
    <x v="16"/>
    <x v="1"/>
    <x v="1"/>
    <x v="1"/>
    <x v="233"/>
    <x v="248"/>
    <x v="16"/>
    <x v="157"/>
    <x v="85"/>
  </r>
  <r>
    <x v="363"/>
    <x v="39"/>
    <x v="2"/>
    <x v="2"/>
    <x v="4"/>
    <x v="0"/>
    <x v="10"/>
    <x v="2"/>
    <x v="1"/>
    <x v="317"/>
    <x v="332"/>
    <x v="0"/>
    <x v="4"/>
    <x v="46"/>
    <x v="0"/>
    <x v="2"/>
    <x v="1"/>
    <x v="11"/>
    <x v="1"/>
    <x v="1"/>
    <x v="0"/>
    <x v="140"/>
    <x v="171"/>
    <x v="14"/>
    <x v="158"/>
    <x v="28"/>
  </r>
  <r>
    <x v="364"/>
    <x v="8"/>
    <x v="0"/>
    <x v="1"/>
    <x v="1"/>
    <x v="0"/>
    <x v="13"/>
    <x v="3"/>
    <x v="3"/>
    <x v="169"/>
    <x v="333"/>
    <x v="3"/>
    <x v="4"/>
    <x v="134"/>
    <x v="3"/>
    <x v="2"/>
    <x v="1"/>
    <x v="46"/>
    <x v="1"/>
    <x v="3"/>
    <x v="1"/>
    <x v="55"/>
    <x v="70"/>
    <x v="25"/>
    <x v="159"/>
    <x v="42"/>
  </r>
  <r>
    <x v="365"/>
    <x v="58"/>
    <x v="2"/>
    <x v="0"/>
    <x v="4"/>
    <x v="1"/>
    <x v="8"/>
    <x v="0"/>
    <x v="1"/>
    <x v="318"/>
    <x v="110"/>
    <x v="3"/>
    <x v="1"/>
    <x v="74"/>
    <x v="3"/>
    <x v="1"/>
    <x v="1"/>
    <x v="75"/>
    <x v="1"/>
    <x v="2"/>
    <x v="1"/>
    <x v="8"/>
    <x v="249"/>
    <x v="85"/>
    <x v="113"/>
    <x v="139"/>
  </r>
  <r>
    <x v="366"/>
    <x v="14"/>
    <x v="1"/>
    <x v="1"/>
    <x v="4"/>
    <x v="0"/>
    <x v="12"/>
    <x v="3"/>
    <x v="1"/>
    <x v="319"/>
    <x v="334"/>
    <x v="2"/>
    <x v="1"/>
    <x v="1"/>
    <x v="2"/>
    <x v="1"/>
    <x v="1"/>
    <x v="58"/>
    <x v="1"/>
    <x v="4"/>
    <x v="0"/>
    <x v="138"/>
    <x v="23"/>
    <x v="80"/>
    <x v="112"/>
    <x v="50"/>
  </r>
  <r>
    <x v="367"/>
    <x v="54"/>
    <x v="1"/>
    <x v="3"/>
    <x v="1"/>
    <x v="3"/>
    <x v="6"/>
    <x v="3"/>
    <x v="1"/>
    <x v="320"/>
    <x v="130"/>
    <x v="2"/>
    <x v="4"/>
    <x v="80"/>
    <x v="2"/>
    <x v="1"/>
    <x v="4"/>
    <x v="136"/>
    <x v="1"/>
    <x v="1"/>
    <x v="0"/>
    <x v="234"/>
    <x v="250"/>
    <x v="18"/>
    <x v="41"/>
    <x v="69"/>
  </r>
  <r>
    <x v="368"/>
    <x v="17"/>
    <x v="0"/>
    <x v="3"/>
    <x v="3"/>
    <x v="2"/>
    <x v="1"/>
    <x v="1"/>
    <x v="3"/>
    <x v="321"/>
    <x v="335"/>
    <x v="3"/>
    <x v="4"/>
    <x v="152"/>
    <x v="3"/>
    <x v="2"/>
    <x v="4"/>
    <x v="92"/>
    <x v="1"/>
    <x v="0"/>
    <x v="0"/>
    <x v="235"/>
    <x v="237"/>
    <x v="27"/>
    <x v="87"/>
    <x v="128"/>
  </r>
  <r>
    <x v="369"/>
    <x v="52"/>
    <x v="2"/>
    <x v="0"/>
    <x v="4"/>
    <x v="3"/>
    <x v="3"/>
    <x v="2"/>
    <x v="3"/>
    <x v="207"/>
    <x v="336"/>
    <x v="0"/>
    <x v="2"/>
    <x v="19"/>
    <x v="0"/>
    <x v="0"/>
    <x v="1"/>
    <x v="126"/>
    <x v="0"/>
    <x v="4"/>
    <x v="0"/>
    <x v="155"/>
    <x v="251"/>
    <x v="18"/>
    <x v="160"/>
    <x v="94"/>
  </r>
  <r>
    <x v="370"/>
    <x v="10"/>
    <x v="0"/>
    <x v="0"/>
    <x v="3"/>
    <x v="0"/>
    <x v="13"/>
    <x v="3"/>
    <x v="0"/>
    <x v="322"/>
    <x v="337"/>
    <x v="0"/>
    <x v="3"/>
    <x v="107"/>
    <x v="0"/>
    <x v="2"/>
    <x v="2"/>
    <x v="9"/>
    <x v="1"/>
    <x v="0"/>
    <x v="1"/>
    <x v="236"/>
    <x v="252"/>
    <x v="25"/>
    <x v="73"/>
    <x v="1"/>
  </r>
  <r>
    <x v="371"/>
    <x v="56"/>
    <x v="1"/>
    <x v="4"/>
    <x v="3"/>
    <x v="5"/>
    <x v="17"/>
    <x v="2"/>
    <x v="2"/>
    <x v="323"/>
    <x v="338"/>
    <x v="1"/>
    <x v="0"/>
    <x v="119"/>
    <x v="1"/>
    <x v="0"/>
    <x v="4"/>
    <x v="134"/>
    <x v="0"/>
    <x v="0"/>
    <x v="1"/>
    <x v="237"/>
    <x v="194"/>
    <x v="32"/>
    <x v="26"/>
    <x v="39"/>
  </r>
  <r>
    <x v="372"/>
    <x v="63"/>
    <x v="2"/>
    <x v="4"/>
    <x v="4"/>
    <x v="0"/>
    <x v="11"/>
    <x v="3"/>
    <x v="3"/>
    <x v="13"/>
    <x v="339"/>
    <x v="0"/>
    <x v="3"/>
    <x v="113"/>
    <x v="0"/>
    <x v="2"/>
    <x v="3"/>
    <x v="137"/>
    <x v="1"/>
    <x v="3"/>
    <x v="1"/>
    <x v="63"/>
    <x v="253"/>
    <x v="54"/>
    <x v="24"/>
    <x v="34"/>
  </r>
  <r>
    <x v="373"/>
    <x v="32"/>
    <x v="1"/>
    <x v="0"/>
    <x v="3"/>
    <x v="5"/>
    <x v="8"/>
    <x v="1"/>
    <x v="1"/>
    <x v="324"/>
    <x v="340"/>
    <x v="1"/>
    <x v="4"/>
    <x v="87"/>
    <x v="1"/>
    <x v="0"/>
    <x v="0"/>
    <x v="9"/>
    <x v="0"/>
    <x v="4"/>
    <x v="1"/>
    <x v="238"/>
    <x v="185"/>
    <x v="10"/>
    <x v="18"/>
    <x v="33"/>
  </r>
  <r>
    <x v="374"/>
    <x v="32"/>
    <x v="1"/>
    <x v="0"/>
    <x v="4"/>
    <x v="5"/>
    <x v="14"/>
    <x v="2"/>
    <x v="3"/>
    <x v="325"/>
    <x v="341"/>
    <x v="2"/>
    <x v="1"/>
    <x v="141"/>
    <x v="2"/>
    <x v="2"/>
    <x v="0"/>
    <x v="112"/>
    <x v="1"/>
    <x v="3"/>
    <x v="0"/>
    <x v="239"/>
    <x v="148"/>
    <x v="86"/>
    <x v="132"/>
    <x v="63"/>
  </r>
  <r>
    <x v="375"/>
    <x v="38"/>
    <x v="0"/>
    <x v="1"/>
    <x v="1"/>
    <x v="1"/>
    <x v="7"/>
    <x v="1"/>
    <x v="3"/>
    <x v="326"/>
    <x v="237"/>
    <x v="1"/>
    <x v="0"/>
    <x v="83"/>
    <x v="1"/>
    <x v="1"/>
    <x v="2"/>
    <x v="86"/>
    <x v="1"/>
    <x v="2"/>
    <x v="1"/>
    <x v="81"/>
    <x v="152"/>
    <x v="76"/>
    <x v="124"/>
    <x v="43"/>
  </r>
  <r>
    <x v="376"/>
    <x v="32"/>
    <x v="1"/>
    <x v="2"/>
    <x v="3"/>
    <x v="1"/>
    <x v="17"/>
    <x v="1"/>
    <x v="2"/>
    <x v="300"/>
    <x v="342"/>
    <x v="2"/>
    <x v="3"/>
    <x v="32"/>
    <x v="2"/>
    <x v="2"/>
    <x v="1"/>
    <x v="19"/>
    <x v="1"/>
    <x v="1"/>
    <x v="0"/>
    <x v="219"/>
    <x v="229"/>
    <x v="52"/>
    <x v="161"/>
    <x v="81"/>
  </r>
  <r>
    <x v="377"/>
    <x v="4"/>
    <x v="1"/>
    <x v="1"/>
    <x v="3"/>
    <x v="0"/>
    <x v="11"/>
    <x v="3"/>
    <x v="3"/>
    <x v="327"/>
    <x v="343"/>
    <x v="1"/>
    <x v="2"/>
    <x v="170"/>
    <x v="1"/>
    <x v="2"/>
    <x v="2"/>
    <x v="40"/>
    <x v="1"/>
    <x v="4"/>
    <x v="0"/>
    <x v="240"/>
    <x v="254"/>
    <x v="80"/>
    <x v="147"/>
    <x v="17"/>
  </r>
  <r>
    <x v="378"/>
    <x v="51"/>
    <x v="2"/>
    <x v="0"/>
    <x v="0"/>
    <x v="4"/>
    <x v="9"/>
    <x v="2"/>
    <x v="3"/>
    <x v="328"/>
    <x v="344"/>
    <x v="1"/>
    <x v="2"/>
    <x v="141"/>
    <x v="1"/>
    <x v="2"/>
    <x v="3"/>
    <x v="75"/>
    <x v="1"/>
    <x v="4"/>
    <x v="1"/>
    <x v="241"/>
    <x v="136"/>
    <x v="13"/>
    <x v="111"/>
    <x v="82"/>
  </r>
  <r>
    <x v="379"/>
    <x v="28"/>
    <x v="0"/>
    <x v="1"/>
    <x v="2"/>
    <x v="0"/>
    <x v="1"/>
    <x v="0"/>
    <x v="3"/>
    <x v="329"/>
    <x v="345"/>
    <x v="2"/>
    <x v="1"/>
    <x v="93"/>
    <x v="2"/>
    <x v="1"/>
    <x v="3"/>
    <x v="105"/>
    <x v="1"/>
    <x v="2"/>
    <x v="0"/>
    <x v="184"/>
    <x v="68"/>
    <x v="47"/>
    <x v="30"/>
    <x v="13"/>
  </r>
  <r>
    <x v="380"/>
    <x v="43"/>
    <x v="2"/>
    <x v="0"/>
    <x v="0"/>
    <x v="0"/>
    <x v="19"/>
    <x v="2"/>
    <x v="3"/>
    <x v="330"/>
    <x v="346"/>
    <x v="0"/>
    <x v="4"/>
    <x v="103"/>
    <x v="0"/>
    <x v="2"/>
    <x v="0"/>
    <x v="10"/>
    <x v="1"/>
    <x v="0"/>
    <x v="1"/>
    <x v="242"/>
    <x v="146"/>
    <x v="68"/>
    <x v="159"/>
    <x v="134"/>
  </r>
  <r>
    <x v="381"/>
    <x v="39"/>
    <x v="1"/>
    <x v="4"/>
    <x v="3"/>
    <x v="4"/>
    <x v="5"/>
    <x v="3"/>
    <x v="2"/>
    <x v="224"/>
    <x v="347"/>
    <x v="1"/>
    <x v="3"/>
    <x v="112"/>
    <x v="1"/>
    <x v="0"/>
    <x v="3"/>
    <x v="33"/>
    <x v="0"/>
    <x v="0"/>
    <x v="1"/>
    <x v="243"/>
    <x v="255"/>
    <x v="66"/>
    <x v="3"/>
    <x v="54"/>
  </r>
  <r>
    <x v="382"/>
    <x v="8"/>
    <x v="0"/>
    <x v="1"/>
    <x v="1"/>
    <x v="0"/>
    <x v="13"/>
    <x v="1"/>
    <x v="0"/>
    <x v="331"/>
    <x v="348"/>
    <x v="3"/>
    <x v="0"/>
    <x v="45"/>
    <x v="3"/>
    <x v="0"/>
    <x v="4"/>
    <x v="138"/>
    <x v="0"/>
    <x v="2"/>
    <x v="0"/>
    <x v="220"/>
    <x v="43"/>
    <x v="16"/>
    <x v="61"/>
    <x v="148"/>
  </r>
  <r>
    <x v="383"/>
    <x v="37"/>
    <x v="0"/>
    <x v="1"/>
    <x v="2"/>
    <x v="0"/>
    <x v="10"/>
    <x v="2"/>
    <x v="2"/>
    <x v="332"/>
    <x v="349"/>
    <x v="2"/>
    <x v="4"/>
    <x v="129"/>
    <x v="2"/>
    <x v="0"/>
    <x v="2"/>
    <x v="139"/>
    <x v="0"/>
    <x v="2"/>
    <x v="0"/>
    <x v="147"/>
    <x v="46"/>
    <x v="53"/>
    <x v="107"/>
    <x v="149"/>
  </r>
  <r>
    <x v="384"/>
    <x v="63"/>
    <x v="0"/>
    <x v="2"/>
    <x v="0"/>
    <x v="3"/>
    <x v="1"/>
    <x v="2"/>
    <x v="1"/>
    <x v="333"/>
    <x v="350"/>
    <x v="0"/>
    <x v="1"/>
    <x v="12"/>
    <x v="0"/>
    <x v="1"/>
    <x v="1"/>
    <x v="140"/>
    <x v="1"/>
    <x v="3"/>
    <x v="1"/>
    <x v="244"/>
    <x v="169"/>
    <x v="65"/>
    <x v="50"/>
    <x v="71"/>
  </r>
  <r>
    <x v="385"/>
    <x v="4"/>
    <x v="0"/>
    <x v="4"/>
    <x v="4"/>
    <x v="0"/>
    <x v="18"/>
    <x v="0"/>
    <x v="1"/>
    <x v="334"/>
    <x v="351"/>
    <x v="3"/>
    <x v="3"/>
    <x v="8"/>
    <x v="3"/>
    <x v="0"/>
    <x v="0"/>
    <x v="141"/>
    <x v="0"/>
    <x v="4"/>
    <x v="0"/>
    <x v="48"/>
    <x v="222"/>
    <x v="78"/>
    <x v="82"/>
    <x v="82"/>
  </r>
  <r>
    <x v="386"/>
    <x v="29"/>
    <x v="0"/>
    <x v="0"/>
    <x v="0"/>
    <x v="0"/>
    <x v="16"/>
    <x v="1"/>
    <x v="3"/>
    <x v="335"/>
    <x v="352"/>
    <x v="3"/>
    <x v="0"/>
    <x v="62"/>
    <x v="3"/>
    <x v="2"/>
    <x v="1"/>
    <x v="23"/>
    <x v="1"/>
    <x v="0"/>
    <x v="1"/>
    <x v="245"/>
    <x v="256"/>
    <x v="51"/>
    <x v="162"/>
    <x v="150"/>
  </r>
  <r>
    <x v="387"/>
    <x v="27"/>
    <x v="2"/>
    <x v="3"/>
    <x v="4"/>
    <x v="1"/>
    <x v="15"/>
    <x v="2"/>
    <x v="1"/>
    <x v="58"/>
    <x v="353"/>
    <x v="0"/>
    <x v="1"/>
    <x v="59"/>
    <x v="0"/>
    <x v="1"/>
    <x v="0"/>
    <x v="111"/>
    <x v="1"/>
    <x v="0"/>
    <x v="0"/>
    <x v="246"/>
    <x v="46"/>
    <x v="42"/>
    <x v="92"/>
    <x v="3"/>
  </r>
  <r>
    <x v="388"/>
    <x v="59"/>
    <x v="1"/>
    <x v="1"/>
    <x v="3"/>
    <x v="0"/>
    <x v="3"/>
    <x v="2"/>
    <x v="0"/>
    <x v="336"/>
    <x v="354"/>
    <x v="1"/>
    <x v="2"/>
    <x v="171"/>
    <x v="1"/>
    <x v="0"/>
    <x v="3"/>
    <x v="115"/>
    <x v="0"/>
    <x v="2"/>
    <x v="1"/>
    <x v="247"/>
    <x v="53"/>
    <x v="61"/>
    <x v="163"/>
    <x v="123"/>
  </r>
  <r>
    <x v="389"/>
    <x v="58"/>
    <x v="0"/>
    <x v="2"/>
    <x v="2"/>
    <x v="4"/>
    <x v="18"/>
    <x v="3"/>
    <x v="2"/>
    <x v="337"/>
    <x v="355"/>
    <x v="1"/>
    <x v="0"/>
    <x v="94"/>
    <x v="1"/>
    <x v="2"/>
    <x v="1"/>
    <x v="80"/>
    <x v="1"/>
    <x v="3"/>
    <x v="1"/>
    <x v="248"/>
    <x v="215"/>
    <x v="81"/>
    <x v="5"/>
    <x v="147"/>
  </r>
  <r>
    <x v="390"/>
    <x v="6"/>
    <x v="0"/>
    <x v="2"/>
    <x v="0"/>
    <x v="3"/>
    <x v="8"/>
    <x v="1"/>
    <x v="2"/>
    <x v="53"/>
    <x v="356"/>
    <x v="3"/>
    <x v="3"/>
    <x v="4"/>
    <x v="3"/>
    <x v="0"/>
    <x v="1"/>
    <x v="124"/>
    <x v="0"/>
    <x v="0"/>
    <x v="1"/>
    <x v="124"/>
    <x v="257"/>
    <x v="10"/>
    <x v="164"/>
    <x v="93"/>
  </r>
  <r>
    <x v="391"/>
    <x v="62"/>
    <x v="1"/>
    <x v="0"/>
    <x v="3"/>
    <x v="0"/>
    <x v="13"/>
    <x v="0"/>
    <x v="1"/>
    <x v="294"/>
    <x v="357"/>
    <x v="1"/>
    <x v="0"/>
    <x v="59"/>
    <x v="1"/>
    <x v="2"/>
    <x v="0"/>
    <x v="142"/>
    <x v="1"/>
    <x v="4"/>
    <x v="1"/>
    <x v="18"/>
    <x v="143"/>
    <x v="35"/>
    <x v="141"/>
    <x v="59"/>
  </r>
  <r>
    <x v="392"/>
    <x v="7"/>
    <x v="1"/>
    <x v="4"/>
    <x v="2"/>
    <x v="0"/>
    <x v="17"/>
    <x v="3"/>
    <x v="2"/>
    <x v="338"/>
    <x v="358"/>
    <x v="1"/>
    <x v="0"/>
    <x v="16"/>
    <x v="1"/>
    <x v="1"/>
    <x v="0"/>
    <x v="70"/>
    <x v="1"/>
    <x v="1"/>
    <x v="1"/>
    <x v="186"/>
    <x v="258"/>
    <x v="35"/>
    <x v="59"/>
    <x v="38"/>
  </r>
  <r>
    <x v="393"/>
    <x v="4"/>
    <x v="0"/>
    <x v="0"/>
    <x v="3"/>
    <x v="5"/>
    <x v="7"/>
    <x v="1"/>
    <x v="3"/>
    <x v="339"/>
    <x v="359"/>
    <x v="2"/>
    <x v="3"/>
    <x v="19"/>
    <x v="2"/>
    <x v="0"/>
    <x v="1"/>
    <x v="89"/>
    <x v="0"/>
    <x v="4"/>
    <x v="0"/>
    <x v="204"/>
    <x v="109"/>
    <x v="53"/>
    <x v="85"/>
    <x v="89"/>
  </r>
  <r>
    <x v="394"/>
    <x v="50"/>
    <x v="2"/>
    <x v="2"/>
    <x v="1"/>
    <x v="3"/>
    <x v="4"/>
    <x v="1"/>
    <x v="0"/>
    <x v="340"/>
    <x v="360"/>
    <x v="2"/>
    <x v="1"/>
    <x v="166"/>
    <x v="2"/>
    <x v="1"/>
    <x v="0"/>
    <x v="106"/>
    <x v="1"/>
    <x v="0"/>
    <x v="1"/>
    <x v="249"/>
    <x v="228"/>
    <x v="52"/>
    <x v="49"/>
    <x v="53"/>
  </r>
  <r>
    <x v="395"/>
    <x v="12"/>
    <x v="2"/>
    <x v="0"/>
    <x v="1"/>
    <x v="0"/>
    <x v="7"/>
    <x v="0"/>
    <x v="0"/>
    <x v="3"/>
    <x v="361"/>
    <x v="1"/>
    <x v="3"/>
    <x v="70"/>
    <x v="1"/>
    <x v="1"/>
    <x v="2"/>
    <x v="118"/>
    <x v="1"/>
    <x v="4"/>
    <x v="0"/>
    <x v="131"/>
    <x v="118"/>
    <x v="76"/>
    <x v="41"/>
    <x v="133"/>
  </r>
  <r>
    <x v="396"/>
    <x v="53"/>
    <x v="2"/>
    <x v="3"/>
    <x v="4"/>
    <x v="0"/>
    <x v="10"/>
    <x v="2"/>
    <x v="2"/>
    <x v="341"/>
    <x v="362"/>
    <x v="2"/>
    <x v="0"/>
    <x v="23"/>
    <x v="2"/>
    <x v="1"/>
    <x v="2"/>
    <x v="143"/>
    <x v="1"/>
    <x v="3"/>
    <x v="1"/>
    <x v="81"/>
    <x v="177"/>
    <x v="50"/>
    <x v="123"/>
    <x v="151"/>
  </r>
  <r>
    <x v="397"/>
    <x v="10"/>
    <x v="0"/>
    <x v="1"/>
    <x v="0"/>
    <x v="4"/>
    <x v="4"/>
    <x v="3"/>
    <x v="1"/>
    <x v="342"/>
    <x v="363"/>
    <x v="3"/>
    <x v="2"/>
    <x v="79"/>
    <x v="3"/>
    <x v="0"/>
    <x v="4"/>
    <x v="144"/>
    <x v="0"/>
    <x v="3"/>
    <x v="1"/>
    <x v="196"/>
    <x v="130"/>
    <x v="67"/>
    <x v="79"/>
    <x v="21"/>
  </r>
  <r>
    <x v="398"/>
    <x v="32"/>
    <x v="1"/>
    <x v="2"/>
    <x v="4"/>
    <x v="1"/>
    <x v="15"/>
    <x v="3"/>
    <x v="3"/>
    <x v="51"/>
    <x v="364"/>
    <x v="0"/>
    <x v="1"/>
    <x v="144"/>
    <x v="0"/>
    <x v="1"/>
    <x v="0"/>
    <x v="37"/>
    <x v="1"/>
    <x v="1"/>
    <x v="1"/>
    <x v="198"/>
    <x v="225"/>
    <x v="61"/>
    <x v="76"/>
    <x v="142"/>
  </r>
  <r>
    <x v="399"/>
    <x v="55"/>
    <x v="2"/>
    <x v="0"/>
    <x v="2"/>
    <x v="1"/>
    <x v="17"/>
    <x v="3"/>
    <x v="3"/>
    <x v="266"/>
    <x v="365"/>
    <x v="1"/>
    <x v="3"/>
    <x v="161"/>
    <x v="1"/>
    <x v="1"/>
    <x v="0"/>
    <x v="95"/>
    <x v="1"/>
    <x v="2"/>
    <x v="1"/>
    <x v="250"/>
    <x v="141"/>
    <x v="67"/>
    <x v="106"/>
    <x v="152"/>
  </r>
  <r>
    <x v="400"/>
    <x v="67"/>
    <x v="0"/>
    <x v="3"/>
    <x v="3"/>
    <x v="0"/>
    <x v="16"/>
    <x v="3"/>
    <x v="0"/>
    <x v="343"/>
    <x v="366"/>
    <x v="1"/>
    <x v="2"/>
    <x v="56"/>
    <x v="1"/>
    <x v="1"/>
    <x v="4"/>
    <x v="31"/>
    <x v="1"/>
    <x v="4"/>
    <x v="1"/>
    <x v="190"/>
    <x v="196"/>
    <x v="29"/>
    <x v="134"/>
    <x v="153"/>
  </r>
  <r>
    <x v="401"/>
    <x v="19"/>
    <x v="0"/>
    <x v="3"/>
    <x v="4"/>
    <x v="5"/>
    <x v="14"/>
    <x v="2"/>
    <x v="0"/>
    <x v="344"/>
    <x v="367"/>
    <x v="3"/>
    <x v="4"/>
    <x v="135"/>
    <x v="3"/>
    <x v="1"/>
    <x v="1"/>
    <x v="79"/>
    <x v="1"/>
    <x v="0"/>
    <x v="0"/>
    <x v="52"/>
    <x v="73"/>
    <x v="71"/>
    <x v="4"/>
    <x v="14"/>
  </r>
  <r>
    <x v="402"/>
    <x v="29"/>
    <x v="1"/>
    <x v="0"/>
    <x v="1"/>
    <x v="5"/>
    <x v="15"/>
    <x v="3"/>
    <x v="1"/>
    <x v="345"/>
    <x v="27"/>
    <x v="1"/>
    <x v="1"/>
    <x v="43"/>
    <x v="1"/>
    <x v="1"/>
    <x v="4"/>
    <x v="109"/>
    <x v="1"/>
    <x v="0"/>
    <x v="0"/>
    <x v="188"/>
    <x v="259"/>
    <x v="71"/>
    <x v="89"/>
    <x v="55"/>
  </r>
  <r>
    <x v="403"/>
    <x v="21"/>
    <x v="1"/>
    <x v="3"/>
    <x v="3"/>
    <x v="0"/>
    <x v="8"/>
    <x v="3"/>
    <x v="3"/>
    <x v="346"/>
    <x v="265"/>
    <x v="1"/>
    <x v="3"/>
    <x v="2"/>
    <x v="1"/>
    <x v="0"/>
    <x v="4"/>
    <x v="23"/>
    <x v="0"/>
    <x v="3"/>
    <x v="0"/>
    <x v="251"/>
    <x v="190"/>
    <x v="72"/>
    <x v="112"/>
    <x v="1"/>
  </r>
  <r>
    <x v="404"/>
    <x v="3"/>
    <x v="0"/>
    <x v="3"/>
    <x v="2"/>
    <x v="1"/>
    <x v="15"/>
    <x v="1"/>
    <x v="0"/>
    <x v="347"/>
    <x v="368"/>
    <x v="3"/>
    <x v="0"/>
    <x v="114"/>
    <x v="3"/>
    <x v="0"/>
    <x v="0"/>
    <x v="145"/>
    <x v="0"/>
    <x v="0"/>
    <x v="1"/>
    <x v="172"/>
    <x v="11"/>
    <x v="54"/>
    <x v="121"/>
    <x v="76"/>
  </r>
  <r>
    <x v="405"/>
    <x v="14"/>
    <x v="1"/>
    <x v="4"/>
    <x v="1"/>
    <x v="0"/>
    <x v="4"/>
    <x v="1"/>
    <x v="3"/>
    <x v="224"/>
    <x v="123"/>
    <x v="3"/>
    <x v="4"/>
    <x v="86"/>
    <x v="3"/>
    <x v="1"/>
    <x v="4"/>
    <x v="78"/>
    <x v="1"/>
    <x v="1"/>
    <x v="1"/>
    <x v="252"/>
    <x v="24"/>
    <x v="78"/>
    <x v="65"/>
    <x v="83"/>
  </r>
  <r>
    <x v="406"/>
    <x v="56"/>
    <x v="0"/>
    <x v="3"/>
    <x v="3"/>
    <x v="3"/>
    <x v="12"/>
    <x v="2"/>
    <x v="0"/>
    <x v="348"/>
    <x v="369"/>
    <x v="0"/>
    <x v="1"/>
    <x v="161"/>
    <x v="0"/>
    <x v="0"/>
    <x v="3"/>
    <x v="35"/>
    <x v="0"/>
    <x v="3"/>
    <x v="1"/>
    <x v="253"/>
    <x v="256"/>
    <x v="54"/>
    <x v="12"/>
    <x v="70"/>
  </r>
  <r>
    <x v="407"/>
    <x v="54"/>
    <x v="2"/>
    <x v="3"/>
    <x v="0"/>
    <x v="0"/>
    <x v="9"/>
    <x v="0"/>
    <x v="0"/>
    <x v="349"/>
    <x v="370"/>
    <x v="0"/>
    <x v="0"/>
    <x v="101"/>
    <x v="0"/>
    <x v="0"/>
    <x v="4"/>
    <x v="66"/>
    <x v="0"/>
    <x v="1"/>
    <x v="1"/>
    <x v="254"/>
    <x v="260"/>
    <x v="43"/>
    <x v="11"/>
    <x v="6"/>
  </r>
  <r>
    <x v="408"/>
    <x v="30"/>
    <x v="1"/>
    <x v="4"/>
    <x v="0"/>
    <x v="2"/>
    <x v="18"/>
    <x v="3"/>
    <x v="2"/>
    <x v="350"/>
    <x v="327"/>
    <x v="3"/>
    <x v="1"/>
    <x v="106"/>
    <x v="3"/>
    <x v="2"/>
    <x v="2"/>
    <x v="23"/>
    <x v="1"/>
    <x v="4"/>
    <x v="0"/>
    <x v="197"/>
    <x v="196"/>
    <x v="59"/>
    <x v="51"/>
    <x v="64"/>
  </r>
  <r>
    <x v="409"/>
    <x v="60"/>
    <x v="0"/>
    <x v="1"/>
    <x v="3"/>
    <x v="1"/>
    <x v="9"/>
    <x v="3"/>
    <x v="2"/>
    <x v="351"/>
    <x v="371"/>
    <x v="2"/>
    <x v="0"/>
    <x v="55"/>
    <x v="2"/>
    <x v="2"/>
    <x v="1"/>
    <x v="3"/>
    <x v="1"/>
    <x v="3"/>
    <x v="1"/>
    <x v="255"/>
    <x v="261"/>
    <x v="68"/>
    <x v="126"/>
    <x v="32"/>
  </r>
  <r>
    <x v="410"/>
    <x v="46"/>
    <x v="2"/>
    <x v="4"/>
    <x v="2"/>
    <x v="5"/>
    <x v="13"/>
    <x v="3"/>
    <x v="1"/>
    <x v="352"/>
    <x v="372"/>
    <x v="3"/>
    <x v="4"/>
    <x v="168"/>
    <x v="3"/>
    <x v="0"/>
    <x v="0"/>
    <x v="52"/>
    <x v="0"/>
    <x v="0"/>
    <x v="0"/>
    <x v="99"/>
    <x v="241"/>
    <x v="3"/>
    <x v="1"/>
    <x v="119"/>
  </r>
  <r>
    <x v="411"/>
    <x v="26"/>
    <x v="1"/>
    <x v="4"/>
    <x v="0"/>
    <x v="0"/>
    <x v="11"/>
    <x v="0"/>
    <x v="1"/>
    <x v="353"/>
    <x v="76"/>
    <x v="3"/>
    <x v="3"/>
    <x v="146"/>
    <x v="3"/>
    <x v="2"/>
    <x v="3"/>
    <x v="21"/>
    <x v="1"/>
    <x v="0"/>
    <x v="1"/>
    <x v="8"/>
    <x v="262"/>
    <x v="54"/>
    <x v="78"/>
    <x v="23"/>
  </r>
  <r>
    <x v="412"/>
    <x v="46"/>
    <x v="0"/>
    <x v="2"/>
    <x v="4"/>
    <x v="2"/>
    <x v="5"/>
    <x v="3"/>
    <x v="1"/>
    <x v="262"/>
    <x v="373"/>
    <x v="0"/>
    <x v="2"/>
    <x v="152"/>
    <x v="0"/>
    <x v="1"/>
    <x v="4"/>
    <x v="26"/>
    <x v="1"/>
    <x v="0"/>
    <x v="0"/>
    <x v="50"/>
    <x v="263"/>
    <x v="56"/>
    <x v="118"/>
    <x v="59"/>
  </r>
  <r>
    <x v="413"/>
    <x v="20"/>
    <x v="0"/>
    <x v="4"/>
    <x v="0"/>
    <x v="0"/>
    <x v="9"/>
    <x v="1"/>
    <x v="3"/>
    <x v="30"/>
    <x v="374"/>
    <x v="3"/>
    <x v="3"/>
    <x v="125"/>
    <x v="3"/>
    <x v="1"/>
    <x v="3"/>
    <x v="134"/>
    <x v="1"/>
    <x v="2"/>
    <x v="0"/>
    <x v="256"/>
    <x v="99"/>
    <x v="5"/>
    <x v="23"/>
    <x v="29"/>
  </r>
  <r>
    <x v="414"/>
    <x v="63"/>
    <x v="2"/>
    <x v="1"/>
    <x v="1"/>
    <x v="2"/>
    <x v="7"/>
    <x v="2"/>
    <x v="1"/>
    <x v="354"/>
    <x v="215"/>
    <x v="1"/>
    <x v="1"/>
    <x v="56"/>
    <x v="1"/>
    <x v="0"/>
    <x v="4"/>
    <x v="142"/>
    <x v="0"/>
    <x v="4"/>
    <x v="1"/>
    <x v="257"/>
    <x v="264"/>
    <x v="60"/>
    <x v="85"/>
    <x v="61"/>
  </r>
  <r>
    <x v="415"/>
    <x v="41"/>
    <x v="1"/>
    <x v="1"/>
    <x v="3"/>
    <x v="0"/>
    <x v="15"/>
    <x v="2"/>
    <x v="2"/>
    <x v="355"/>
    <x v="214"/>
    <x v="2"/>
    <x v="0"/>
    <x v="14"/>
    <x v="2"/>
    <x v="1"/>
    <x v="0"/>
    <x v="101"/>
    <x v="1"/>
    <x v="1"/>
    <x v="1"/>
    <x v="258"/>
    <x v="16"/>
    <x v="80"/>
    <x v="87"/>
    <x v="129"/>
  </r>
  <r>
    <x v="416"/>
    <x v="48"/>
    <x v="2"/>
    <x v="2"/>
    <x v="0"/>
    <x v="4"/>
    <x v="4"/>
    <x v="0"/>
    <x v="3"/>
    <x v="356"/>
    <x v="375"/>
    <x v="2"/>
    <x v="4"/>
    <x v="9"/>
    <x v="2"/>
    <x v="2"/>
    <x v="4"/>
    <x v="19"/>
    <x v="1"/>
    <x v="3"/>
    <x v="0"/>
    <x v="161"/>
    <x v="265"/>
    <x v="69"/>
    <x v="7"/>
    <x v="154"/>
  </r>
  <r>
    <x v="417"/>
    <x v="24"/>
    <x v="1"/>
    <x v="3"/>
    <x v="1"/>
    <x v="5"/>
    <x v="5"/>
    <x v="0"/>
    <x v="3"/>
    <x v="357"/>
    <x v="196"/>
    <x v="2"/>
    <x v="2"/>
    <x v="42"/>
    <x v="2"/>
    <x v="2"/>
    <x v="4"/>
    <x v="44"/>
    <x v="1"/>
    <x v="2"/>
    <x v="0"/>
    <x v="121"/>
    <x v="146"/>
    <x v="23"/>
    <x v="36"/>
    <x v="97"/>
  </r>
  <r>
    <x v="418"/>
    <x v="59"/>
    <x v="1"/>
    <x v="1"/>
    <x v="1"/>
    <x v="0"/>
    <x v="7"/>
    <x v="0"/>
    <x v="1"/>
    <x v="34"/>
    <x v="376"/>
    <x v="0"/>
    <x v="1"/>
    <x v="143"/>
    <x v="0"/>
    <x v="0"/>
    <x v="0"/>
    <x v="68"/>
    <x v="0"/>
    <x v="3"/>
    <x v="1"/>
    <x v="219"/>
    <x v="167"/>
    <x v="10"/>
    <x v="9"/>
    <x v="39"/>
  </r>
  <r>
    <x v="419"/>
    <x v="36"/>
    <x v="0"/>
    <x v="2"/>
    <x v="3"/>
    <x v="2"/>
    <x v="4"/>
    <x v="3"/>
    <x v="2"/>
    <x v="358"/>
    <x v="377"/>
    <x v="3"/>
    <x v="1"/>
    <x v="27"/>
    <x v="3"/>
    <x v="0"/>
    <x v="2"/>
    <x v="141"/>
    <x v="0"/>
    <x v="3"/>
    <x v="1"/>
    <x v="67"/>
    <x v="266"/>
    <x v="69"/>
    <x v="165"/>
    <x v="121"/>
  </r>
  <r>
    <x v="420"/>
    <x v="63"/>
    <x v="0"/>
    <x v="3"/>
    <x v="4"/>
    <x v="0"/>
    <x v="1"/>
    <x v="0"/>
    <x v="3"/>
    <x v="251"/>
    <x v="378"/>
    <x v="2"/>
    <x v="3"/>
    <x v="172"/>
    <x v="2"/>
    <x v="1"/>
    <x v="0"/>
    <x v="18"/>
    <x v="1"/>
    <x v="3"/>
    <x v="1"/>
    <x v="259"/>
    <x v="267"/>
    <x v="20"/>
    <x v="82"/>
    <x v="155"/>
  </r>
  <r>
    <x v="421"/>
    <x v="49"/>
    <x v="0"/>
    <x v="4"/>
    <x v="4"/>
    <x v="0"/>
    <x v="6"/>
    <x v="1"/>
    <x v="3"/>
    <x v="359"/>
    <x v="379"/>
    <x v="1"/>
    <x v="1"/>
    <x v="124"/>
    <x v="1"/>
    <x v="1"/>
    <x v="3"/>
    <x v="69"/>
    <x v="1"/>
    <x v="3"/>
    <x v="1"/>
    <x v="260"/>
    <x v="242"/>
    <x v="5"/>
    <x v="147"/>
    <x v="32"/>
  </r>
  <r>
    <x v="422"/>
    <x v="67"/>
    <x v="1"/>
    <x v="0"/>
    <x v="0"/>
    <x v="0"/>
    <x v="11"/>
    <x v="0"/>
    <x v="2"/>
    <x v="360"/>
    <x v="380"/>
    <x v="1"/>
    <x v="0"/>
    <x v="91"/>
    <x v="1"/>
    <x v="1"/>
    <x v="3"/>
    <x v="45"/>
    <x v="1"/>
    <x v="2"/>
    <x v="0"/>
    <x v="261"/>
    <x v="60"/>
    <x v="7"/>
    <x v="42"/>
    <x v="81"/>
  </r>
  <r>
    <x v="423"/>
    <x v="52"/>
    <x v="2"/>
    <x v="3"/>
    <x v="2"/>
    <x v="1"/>
    <x v="2"/>
    <x v="1"/>
    <x v="3"/>
    <x v="361"/>
    <x v="381"/>
    <x v="1"/>
    <x v="0"/>
    <x v="173"/>
    <x v="1"/>
    <x v="0"/>
    <x v="1"/>
    <x v="119"/>
    <x v="0"/>
    <x v="0"/>
    <x v="1"/>
    <x v="262"/>
    <x v="268"/>
    <x v="58"/>
    <x v="4"/>
    <x v="156"/>
  </r>
  <r>
    <x v="424"/>
    <x v="59"/>
    <x v="0"/>
    <x v="3"/>
    <x v="4"/>
    <x v="3"/>
    <x v="17"/>
    <x v="0"/>
    <x v="3"/>
    <x v="51"/>
    <x v="382"/>
    <x v="3"/>
    <x v="0"/>
    <x v="104"/>
    <x v="3"/>
    <x v="1"/>
    <x v="0"/>
    <x v="82"/>
    <x v="1"/>
    <x v="0"/>
    <x v="1"/>
    <x v="263"/>
    <x v="243"/>
    <x v="13"/>
    <x v="154"/>
    <x v="21"/>
  </r>
  <r>
    <x v="425"/>
    <x v="61"/>
    <x v="0"/>
    <x v="0"/>
    <x v="3"/>
    <x v="2"/>
    <x v="4"/>
    <x v="1"/>
    <x v="2"/>
    <x v="362"/>
    <x v="383"/>
    <x v="1"/>
    <x v="4"/>
    <x v="57"/>
    <x v="1"/>
    <x v="1"/>
    <x v="3"/>
    <x v="62"/>
    <x v="1"/>
    <x v="2"/>
    <x v="1"/>
    <x v="147"/>
    <x v="104"/>
    <x v="86"/>
    <x v="15"/>
    <x v="149"/>
  </r>
  <r>
    <x v="426"/>
    <x v="25"/>
    <x v="1"/>
    <x v="2"/>
    <x v="0"/>
    <x v="1"/>
    <x v="5"/>
    <x v="2"/>
    <x v="0"/>
    <x v="363"/>
    <x v="384"/>
    <x v="3"/>
    <x v="1"/>
    <x v="55"/>
    <x v="3"/>
    <x v="0"/>
    <x v="0"/>
    <x v="6"/>
    <x v="0"/>
    <x v="0"/>
    <x v="1"/>
    <x v="230"/>
    <x v="269"/>
    <x v="85"/>
    <x v="75"/>
    <x v="97"/>
  </r>
  <r>
    <x v="427"/>
    <x v="61"/>
    <x v="1"/>
    <x v="4"/>
    <x v="0"/>
    <x v="3"/>
    <x v="3"/>
    <x v="3"/>
    <x v="1"/>
    <x v="364"/>
    <x v="385"/>
    <x v="1"/>
    <x v="2"/>
    <x v="41"/>
    <x v="1"/>
    <x v="2"/>
    <x v="4"/>
    <x v="25"/>
    <x v="1"/>
    <x v="3"/>
    <x v="0"/>
    <x v="155"/>
    <x v="228"/>
    <x v="65"/>
    <x v="1"/>
    <x v="157"/>
  </r>
  <r>
    <x v="428"/>
    <x v="9"/>
    <x v="0"/>
    <x v="1"/>
    <x v="3"/>
    <x v="5"/>
    <x v="2"/>
    <x v="0"/>
    <x v="0"/>
    <x v="365"/>
    <x v="386"/>
    <x v="2"/>
    <x v="1"/>
    <x v="171"/>
    <x v="2"/>
    <x v="0"/>
    <x v="1"/>
    <x v="106"/>
    <x v="0"/>
    <x v="2"/>
    <x v="1"/>
    <x v="100"/>
    <x v="227"/>
    <x v="73"/>
    <x v="30"/>
    <x v="2"/>
  </r>
  <r>
    <x v="429"/>
    <x v="5"/>
    <x v="2"/>
    <x v="4"/>
    <x v="1"/>
    <x v="5"/>
    <x v="8"/>
    <x v="2"/>
    <x v="3"/>
    <x v="234"/>
    <x v="387"/>
    <x v="0"/>
    <x v="1"/>
    <x v="93"/>
    <x v="0"/>
    <x v="1"/>
    <x v="3"/>
    <x v="146"/>
    <x v="1"/>
    <x v="3"/>
    <x v="1"/>
    <x v="264"/>
    <x v="205"/>
    <x v="69"/>
    <x v="161"/>
    <x v="158"/>
  </r>
  <r>
    <x v="430"/>
    <x v="62"/>
    <x v="2"/>
    <x v="2"/>
    <x v="3"/>
    <x v="0"/>
    <x v="3"/>
    <x v="1"/>
    <x v="1"/>
    <x v="366"/>
    <x v="102"/>
    <x v="1"/>
    <x v="3"/>
    <x v="174"/>
    <x v="1"/>
    <x v="0"/>
    <x v="3"/>
    <x v="137"/>
    <x v="0"/>
    <x v="4"/>
    <x v="1"/>
    <x v="265"/>
    <x v="270"/>
    <x v="18"/>
    <x v="151"/>
    <x v="111"/>
  </r>
  <r>
    <x v="431"/>
    <x v="19"/>
    <x v="2"/>
    <x v="0"/>
    <x v="0"/>
    <x v="1"/>
    <x v="15"/>
    <x v="0"/>
    <x v="0"/>
    <x v="367"/>
    <x v="260"/>
    <x v="2"/>
    <x v="3"/>
    <x v="175"/>
    <x v="2"/>
    <x v="2"/>
    <x v="2"/>
    <x v="129"/>
    <x v="1"/>
    <x v="0"/>
    <x v="1"/>
    <x v="266"/>
    <x v="271"/>
    <x v="77"/>
    <x v="166"/>
    <x v="103"/>
  </r>
  <r>
    <x v="432"/>
    <x v="26"/>
    <x v="2"/>
    <x v="4"/>
    <x v="2"/>
    <x v="4"/>
    <x v="4"/>
    <x v="3"/>
    <x v="3"/>
    <x v="368"/>
    <x v="388"/>
    <x v="0"/>
    <x v="2"/>
    <x v="46"/>
    <x v="0"/>
    <x v="2"/>
    <x v="0"/>
    <x v="135"/>
    <x v="1"/>
    <x v="0"/>
    <x v="1"/>
    <x v="267"/>
    <x v="258"/>
    <x v="22"/>
    <x v="96"/>
    <x v="110"/>
  </r>
  <r>
    <x v="433"/>
    <x v="21"/>
    <x v="1"/>
    <x v="3"/>
    <x v="0"/>
    <x v="2"/>
    <x v="18"/>
    <x v="2"/>
    <x v="1"/>
    <x v="369"/>
    <x v="389"/>
    <x v="3"/>
    <x v="4"/>
    <x v="144"/>
    <x v="3"/>
    <x v="0"/>
    <x v="3"/>
    <x v="68"/>
    <x v="0"/>
    <x v="0"/>
    <x v="1"/>
    <x v="256"/>
    <x v="83"/>
    <x v="46"/>
    <x v="42"/>
    <x v="81"/>
  </r>
  <r>
    <x v="434"/>
    <x v="53"/>
    <x v="2"/>
    <x v="0"/>
    <x v="0"/>
    <x v="0"/>
    <x v="8"/>
    <x v="0"/>
    <x v="0"/>
    <x v="370"/>
    <x v="62"/>
    <x v="3"/>
    <x v="2"/>
    <x v="67"/>
    <x v="3"/>
    <x v="2"/>
    <x v="3"/>
    <x v="79"/>
    <x v="1"/>
    <x v="1"/>
    <x v="1"/>
    <x v="268"/>
    <x v="109"/>
    <x v="79"/>
    <x v="43"/>
    <x v="82"/>
  </r>
  <r>
    <x v="435"/>
    <x v="30"/>
    <x v="1"/>
    <x v="0"/>
    <x v="4"/>
    <x v="4"/>
    <x v="16"/>
    <x v="0"/>
    <x v="2"/>
    <x v="371"/>
    <x v="390"/>
    <x v="1"/>
    <x v="3"/>
    <x v="23"/>
    <x v="1"/>
    <x v="0"/>
    <x v="3"/>
    <x v="62"/>
    <x v="0"/>
    <x v="4"/>
    <x v="0"/>
    <x v="269"/>
    <x v="270"/>
    <x v="56"/>
    <x v="140"/>
    <x v="125"/>
  </r>
  <r>
    <x v="436"/>
    <x v="59"/>
    <x v="1"/>
    <x v="3"/>
    <x v="4"/>
    <x v="0"/>
    <x v="18"/>
    <x v="0"/>
    <x v="2"/>
    <x v="372"/>
    <x v="391"/>
    <x v="1"/>
    <x v="0"/>
    <x v="4"/>
    <x v="1"/>
    <x v="2"/>
    <x v="1"/>
    <x v="137"/>
    <x v="1"/>
    <x v="4"/>
    <x v="0"/>
    <x v="270"/>
    <x v="80"/>
    <x v="82"/>
    <x v="127"/>
    <x v="52"/>
  </r>
  <r>
    <x v="437"/>
    <x v="20"/>
    <x v="2"/>
    <x v="3"/>
    <x v="0"/>
    <x v="1"/>
    <x v="7"/>
    <x v="2"/>
    <x v="0"/>
    <x v="373"/>
    <x v="392"/>
    <x v="2"/>
    <x v="1"/>
    <x v="42"/>
    <x v="2"/>
    <x v="1"/>
    <x v="0"/>
    <x v="66"/>
    <x v="1"/>
    <x v="3"/>
    <x v="0"/>
    <x v="27"/>
    <x v="272"/>
    <x v="68"/>
    <x v="15"/>
    <x v="152"/>
  </r>
  <r>
    <x v="438"/>
    <x v="36"/>
    <x v="0"/>
    <x v="4"/>
    <x v="0"/>
    <x v="0"/>
    <x v="2"/>
    <x v="0"/>
    <x v="2"/>
    <x v="109"/>
    <x v="393"/>
    <x v="3"/>
    <x v="0"/>
    <x v="82"/>
    <x v="3"/>
    <x v="0"/>
    <x v="0"/>
    <x v="147"/>
    <x v="0"/>
    <x v="1"/>
    <x v="0"/>
    <x v="195"/>
    <x v="40"/>
    <x v="82"/>
    <x v="167"/>
    <x v="114"/>
  </r>
  <r>
    <x v="439"/>
    <x v="16"/>
    <x v="0"/>
    <x v="0"/>
    <x v="4"/>
    <x v="5"/>
    <x v="18"/>
    <x v="3"/>
    <x v="3"/>
    <x v="374"/>
    <x v="394"/>
    <x v="3"/>
    <x v="0"/>
    <x v="125"/>
    <x v="3"/>
    <x v="1"/>
    <x v="1"/>
    <x v="42"/>
    <x v="1"/>
    <x v="0"/>
    <x v="1"/>
    <x v="10"/>
    <x v="251"/>
    <x v="0"/>
    <x v="35"/>
    <x v="6"/>
  </r>
  <r>
    <x v="440"/>
    <x v="5"/>
    <x v="2"/>
    <x v="2"/>
    <x v="3"/>
    <x v="0"/>
    <x v="5"/>
    <x v="1"/>
    <x v="1"/>
    <x v="375"/>
    <x v="395"/>
    <x v="3"/>
    <x v="0"/>
    <x v="161"/>
    <x v="3"/>
    <x v="1"/>
    <x v="3"/>
    <x v="3"/>
    <x v="1"/>
    <x v="1"/>
    <x v="1"/>
    <x v="228"/>
    <x v="179"/>
    <x v="38"/>
    <x v="12"/>
    <x v="6"/>
  </r>
  <r>
    <x v="441"/>
    <x v="33"/>
    <x v="0"/>
    <x v="0"/>
    <x v="3"/>
    <x v="4"/>
    <x v="2"/>
    <x v="0"/>
    <x v="0"/>
    <x v="376"/>
    <x v="23"/>
    <x v="3"/>
    <x v="0"/>
    <x v="114"/>
    <x v="3"/>
    <x v="2"/>
    <x v="1"/>
    <x v="146"/>
    <x v="1"/>
    <x v="2"/>
    <x v="0"/>
    <x v="271"/>
    <x v="159"/>
    <x v="58"/>
    <x v="12"/>
    <x v="95"/>
  </r>
  <r>
    <x v="442"/>
    <x v="62"/>
    <x v="1"/>
    <x v="0"/>
    <x v="2"/>
    <x v="0"/>
    <x v="4"/>
    <x v="3"/>
    <x v="3"/>
    <x v="377"/>
    <x v="257"/>
    <x v="3"/>
    <x v="4"/>
    <x v="110"/>
    <x v="3"/>
    <x v="0"/>
    <x v="4"/>
    <x v="121"/>
    <x v="0"/>
    <x v="3"/>
    <x v="1"/>
    <x v="272"/>
    <x v="245"/>
    <x v="42"/>
    <x v="93"/>
    <x v="155"/>
  </r>
  <r>
    <x v="443"/>
    <x v="37"/>
    <x v="2"/>
    <x v="0"/>
    <x v="4"/>
    <x v="0"/>
    <x v="12"/>
    <x v="3"/>
    <x v="1"/>
    <x v="290"/>
    <x v="396"/>
    <x v="0"/>
    <x v="2"/>
    <x v="159"/>
    <x v="0"/>
    <x v="2"/>
    <x v="2"/>
    <x v="110"/>
    <x v="1"/>
    <x v="4"/>
    <x v="1"/>
    <x v="273"/>
    <x v="164"/>
    <x v="84"/>
    <x v="4"/>
    <x v="60"/>
  </r>
  <r>
    <x v="444"/>
    <x v="55"/>
    <x v="0"/>
    <x v="4"/>
    <x v="1"/>
    <x v="3"/>
    <x v="0"/>
    <x v="3"/>
    <x v="2"/>
    <x v="103"/>
    <x v="397"/>
    <x v="3"/>
    <x v="4"/>
    <x v="87"/>
    <x v="3"/>
    <x v="2"/>
    <x v="1"/>
    <x v="122"/>
    <x v="1"/>
    <x v="2"/>
    <x v="1"/>
    <x v="274"/>
    <x v="14"/>
    <x v="73"/>
    <x v="109"/>
    <x v="59"/>
  </r>
  <r>
    <x v="445"/>
    <x v="34"/>
    <x v="2"/>
    <x v="0"/>
    <x v="0"/>
    <x v="0"/>
    <x v="16"/>
    <x v="3"/>
    <x v="1"/>
    <x v="378"/>
    <x v="325"/>
    <x v="1"/>
    <x v="2"/>
    <x v="34"/>
    <x v="1"/>
    <x v="0"/>
    <x v="0"/>
    <x v="62"/>
    <x v="0"/>
    <x v="4"/>
    <x v="0"/>
    <x v="248"/>
    <x v="226"/>
    <x v="8"/>
    <x v="36"/>
    <x v="31"/>
  </r>
  <r>
    <x v="446"/>
    <x v="10"/>
    <x v="0"/>
    <x v="4"/>
    <x v="3"/>
    <x v="0"/>
    <x v="1"/>
    <x v="1"/>
    <x v="1"/>
    <x v="379"/>
    <x v="398"/>
    <x v="3"/>
    <x v="1"/>
    <x v="163"/>
    <x v="3"/>
    <x v="1"/>
    <x v="3"/>
    <x v="26"/>
    <x v="1"/>
    <x v="1"/>
    <x v="0"/>
    <x v="275"/>
    <x v="273"/>
    <x v="56"/>
    <x v="134"/>
    <x v="128"/>
  </r>
  <r>
    <x v="447"/>
    <x v="50"/>
    <x v="0"/>
    <x v="0"/>
    <x v="3"/>
    <x v="2"/>
    <x v="2"/>
    <x v="2"/>
    <x v="2"/>
    <x v="380"/>
    <x v="399"/>
    <x v="1"/>
    <x v="3"/>
    <x v="78"/>
    <x v="1"/>
    <x v="2"/>
    <x v="3"/>
    <x v="55"/>
    <x v="1"/>
    <x v="3"/>
    <x v="0"/>
    <x v="276"/>
    <x v="170"/>
    <x v="34"/>
    <x v="57"/>
    <x v="80"/>
  </r>
  <r>
    <x v="448"/>
    <x v="30"/>
    <x v="1"/>
    <x v="3"/>
    <x v="0"/>
    <x v="0"/>
    <x v="10"/>
    <x v="0"/>
    <x v="2"/>
    <x v="84"/>
    <x v="400"/>
    <x v="0"/>
    <x v="1"/>
    <x v="89"/>
    <x v="0"/>
    <x v="0"/>
    <x v="3"/>
    <x v="32"/>
    <x v="0"/>
    <x v="1"/>
    <x v="1"/>
    <x v="277"/>
    <x v="110"/>
    <x v="81"/>
    <x v="150"/>
    <x v="38"/>
  </r>
  <r>
    <x v="449"/>
    <x v="67"/>
    <x v="2"/>
    <x v="2"/>
    <x v="1"/>
    <x v="0"/>
    <x v="18"/>
    <x v="1"/>
    <x v="1"/>
    <x v="381"/>
    <x v="401"/>
    <x v="2"/>
    <x v="0"/>
    <x v="23"/>
    <x v="2"/>
    <x v="1"/>
    <x v="0"/>
    <x v="52"/>
    <x v="1"/>
    <x v="3"/>
    <x v="0"/>
    <x v="278"/>
    <x v="141"/>
    <x v="43"/>
    <x v="0"/>
    <x v="13"/>
  </r>
  <r>
    <x v="450"/>
    <x v="45"/>
    <x v="0"/>
    <x v="1"/>
    <x v="0"/>
    <x v="3"/>
    <x v="12"/>
    <x v="0"/>
    <x v="0"/>
    <x v="382"/>
    <x v="402"/>
    <x v="3"/>
    <x v="4"/>
    <x v="117"/>
    <x v="3"/>
    <x v="0"/>
    <x v="4"/>
    <x v="108"/>
    <x v="0"/>
    <x v="4"/>
    <x v="0"/>
    <x v="279"/>
    <x v="274"/>
    <x v="40"/>
    <x v="18"/>
    <x v="130"/>
  </r>
  <r>
    <x v="451"/>
    <x v="2"/>
    <x v="0"/>
    <x v="4"/>
    <x v="1"/>
    <x v="0"/>
    <x v="0"/>
    <x v="1"/>
    <x v="2"/>
    <x v="63"/>
    <x v="403"/>
    <x v="3"/>
    <x v="2"/>
    <x v="156"/>
    <x v="3"/>
    <x v="2"/>
    <x v="2"/>
    <x v="14"/>
    <x v="1"/>
    <x v="2"/>
    <x v="1"/>
    <x v="280"/>
    <x v="275"/>
    <x v="64"/>
    <x v="147"/>
    <x v="32"/>
  </r>
  <r>
    <x v="452"/>
    <x v="34"/>
    <x v="1"/>
    <x v="2"/>
    <x v="4"/>
    <x v="3"/>
    <x v="2"/>
    <x v="0"/>
    <x v="0"/>
    <x v="383"/>
    <x v="41"/>
    <x v="3"/>
    <x v="2"/>
    <x v="174"/>
    <x v="3"/>
    <x v="0"/>
    <x v="2"/>
    <x v="49"/>
    <x v="0"/>
    <x v="3"/>
    <x v="1"/>
    <x v="281"/>
    <x v="276"/>
    <x v="19"/>
    <x v="7"/>
    <x v="121"/>
  </r>
  <r>
    <x v="453"/>
    <x v="11"/>
    <x v="1"/>
    <x v="3"/>
    <x v="1"/>
    <x v="1"/>
    <x v="14"/>
    <x v="2"/>
    <x v="1"/>
    <x v="384"/>
    <x v="404"/>
    <x v="2"/>
    <x v="1"/>
    <x v="176"/>
    <x v="2"/>
    <x v="0"/>
    <x v="1"/>
    <x v="44"/>
    <x v="0"/>
    <x v="3"/>
    <x v="0"/>
    <x v="193"/>
    <x v="100"/>
    <x v="7"/>
    <x v="45"/>
    <x v="0"/>
  </r>
  <r>
    <x v="454"/>
    <x v="7"/>
    <x v="1"/>
    <x v="1"/>
    <x v="0"/>
    <x v="5"/>
    <x v="2"/>
    <x v="1"/>
    <x v="1"/>
    <x v="52"/>
    <x v="405"/>
    <x v="2"/>
    <x v="1"/>
    <x v="137"/>
    <x v="2"/>
    <x v="2"/>
    <x v="1"/>
    <x v="27"/>
    <x v="1"/>
    <x v="0"/>
    <x v="1"/>
    <x v="110"/>
    <x v="171"/>
    <x v="3"/>
    <x v="50"/>
    <x v="117"/>
  </r>
  <r>
    <x v="455"/>
    <x v="52"/>
    <x v="2"/>
    <x v="2"/>
    <x v="4"/>
    <x v="3"/>
    <x v="5"/>
    <x v="3"/>
    <x v="3"/>
    <x v="385"/>
    <x v="406"/>
    <x v="2"/>
    <x v="1"/>
    <x v="147"/>
    <x v="2"/>
    <x v="1"/>
    <x v="2"/>
    <x v="106"/>
    <x v="1"/>
    <x v="3"/>
    <x v="0"/>
    <x v="282"/>
    <x v="277"/>
    <x v="28"/>
    <x v="124"/>
    <x v="159"/>
  </r>
  <r>
    <x v="456"/>
    <x v="21"/>
    <x v="1"/>
    <x v="1"/>
    <x v="3"/>
    <x v="4"/>
    <x v="6"/>
    <x v="2"/>
    <x v="3"/>
    <x v="386"/>
    <x v="366"/>
    <x v="1"/>
    <x v="0"/>
    <x v="15"/>
    <x v="1"/>
    <x v="1"/>
    <x v="0"/>
    <x v="24"/>
    <x v="1"/>
    <x v="3"/>
    <x v="1"/>
    <x v="283"/>
    <x v="175"/>
    <x v="84"/>
    <x v="103"/>
    <x v="144"/>
  </r>
  <r>
    <x v="457"/>
    <x v="0"/>
    <x v="1"/>
    <x v="0"/>
    <x v="0"/>
    <x v="5"/>
    <x v="9"/>
    <x v="0"/>
    <x v="0"/>
    <x v="387"/>
    <x v="407"/>
    <x v="0"/>
    <x v="2"/>
    <x v="162"/>
    <x v="0"/>
    <x v="1"/>
    <x v="1"/>
    <x v="143"/>
    <x v="1"/>
    <x v="2"/>
    <x v="0"/>
    <x v="284"/>
    <x v="192"/>
    <x v="81"/>
    <x v="1"/>
    <x v="85"/>
  </r>
  <r>
    <x v="458"/>
    <x v="5"/>
    <x v="0"/>
    <x v="1"/>
    <x v="2"/>
    <x v="0"/>
    <x v="12"/>
    <x v="0"/>
    <x v="3"/>
    <x v="388"/>
    <x v="408"/>
    <x v="2"/>
    <x v="3"/>
    <x v="164"/>
    <x v="2"/>
    <x v="2"/>
    <x v="3"/>
    <x v="21"/>
    <x v="1"/>
    <x v="2"/>
    <x v="1"/>
    <x v="25"/>
    <x v="16"/>
    <x v="41"/>
    <x v="66"/>
    <x v="109"/>
  </r>
  <r>
    <x v="459"/>
    <x v="45"/>
    <x v="2"/>
    <x v="3"/>
    <x v="3"/>
    <x v="0"/>
    <x v="4"/>
    <x v="0"/>
    <x v="2"/>
    <x v="389"/>
    <x v="409"/>
    <x v="1"/>
    <x v="1"/>
    <x v="102"/>
    <x v="1"/>
    <x v="1"/>
    <x v="3"/>
    <x v="28"/>
    <x v="1"/>
    <x v="2"/>
    <x v="1"/>
    <x v="227"/>
    <x v="146"/>
    <x v="35"/>
    <x v="106"/>
    <x v="30"/>
  </r>
  <r>
    <x v="460"/>
    <x v="1"/>
    <x v="2"/>
    <x v="3"/>
    <x v="4"/>
    <x v="0"/>
    <x v="16"/>
    <x v="0"/>
    <x v="3"/>
    <x v="160"/>
    <x v="398"/>
    <x v="2"/>
    <x v="0"/>
    <x v="140"/>
    <x v="2"/>
    <x v="0"/>
    <x v="0"/>
    <x v="89"/>
    <x v="0"/>
    <x v="1"/>
    <x v="0"/>
    <x v="215"/>
    <x v="240"/>
    <x v="50"/>
    <x v="57"/>
    <x v="113"/>
  </r>
  <r>
    <x v="461"/>
    <x v="25"/>
    <x v="1"/>
    <x v="1"/>
    <x v="1"/>
    <x v="3"/>
    <x v="10"/>
    <x v="0"/>
    <x v="3"/>
    <x v="356"/>
    <x v="410"/>
    <x v="2"/>
    <x v="4"/>
    <x v="37"/>
    <x v="2"/>
    <x v="2"/>
    <x v="1"/>
    <x v="114"/>
    <x v="1"/>
    <x v="2"/>
    <x v="0"/>
    <x v="222"/>
    <x v="278"/>
    <x v="28"/>
    <x v="85"/>
    <x v="118"/>
  </r>
  <r>
    <x v="462"/>
    <x v="7"/>
    <x v="0"/>
    <x v="2"/>
    <x v="1"/>
    <x v="0"/>
    <x v="19"/>
    <x v="0"/>
    <x v="1"/>
    <x v="171"/>
    <x v="411"/>
    <x v="2"/>
    <x v="2"/>
    <x v="153"/>
    <x v="2"/>
    <x v="2"/>
    <x v="3"/>
    <x v="1"/>
    <x v="1"/>
    <x v="4"/>
    <x v="0"/>
    <x v="134"/>
    <x v="18"/>
    <x v="9"/>
    <x v="168"/>
    <x v="132"/>
  </r>
  <r>
    <x v="463"/>
    <x v="67"/>
    <x v="2"/>
    <x v="3"/>
    <x v="4"/>
    <x v="0"/>
    <x v="2"/>
    <x v="2"/>
    <x v="3"/>
    <x v="390"/>
    <x v="412"/>
    <x v="0"/>
    <x v="4"/>
    <x v="67"/>
    <x v="0"/>
    <x v="0"/>
    <x v="3"/>
    <x v="43"/>
    <x v="0"/>
    <x v="2"/>
    <x v="1"/>
    <x v="272"/>
    <x v="279"/>
    <x v="82"/>
    <x v="65"/>
    <x v="36"/>
  </r>
  <r>
    <x v="464"/>
    <x v="2"/>
    <x v="1"/>
    <x v="0"/>
    <x v="3"/>
    <x v="0"/>
    <x v="18"/>
    <x v="1"/>
    <x v="2"/>
    <x v="224"/>
    <x v="347"/>
    <x v="3"/>
    <x v="3"/>
    <x v="48"/>
    <x v="3"/>
    <x v="1"/>
    <x v="2"/>
    <x v="63"/>
    <x v="1"/>
    <x v="2"/>
    <x v="1"/>
    <x v="94"/>
    <x v="280"/>
    <x v="19"/>
    <x v="94"/>
    <x v="96"/>
  </r>
  <r>
    <x v="465"/>
    <x v="14"/>
    <x v="1"/>
    <x v="1"/>
    <x v="4"/>
    <x v="0"/>
    <x v="6"/>
    <x v="3"/>
    <x v="1"/>
    <x v="391"/>
    <x v="413"/>
    <x v="0"/>
    <x v="2"/>
    <x v="101"/>
    <x v="0"/>
    <x v="2"/>
    <x v="2"/>
    <x v="45"/>
    <x v="1"/>
    <x v="1"/>
    <x v="1"/>
    <x v="285"/>
    <x v="220"/>
    <x v="75"/>
    <x v="132"/>
    <x v="73"/>
  </r>
  <r>
    <x v="466"/>
    <x v="17"/>
    <x v="0"/>
    <x v="1"/>
    <x v="2"/>
    <x v="0"/>
    <x v="0"/>
    <x v="2"/>
    <x v="3"/>
    <x v="392"/>
    <x v="60"/>
    <x v="3"/>
    <x v="0"/>
    <x v="177"/>
    <x v="3"/>
    <x v="1"/>
    <x v="3"/>
    <x v="90"/>
    <x v="1"/>
    <x v="2"/>
    <x v="0"/>
    <x v="286"/>
    <x v="64"/>
    <x v="38"/>
    <x v="162"/>
    <x v="59"/>
  </r>
  <r>
    <x v="467"/>
    <x v="32"/>
    <x v="2"/>
    <x v="3"/>
    <x v="0"/>
    <x v="1"/>
    <x v="2"/>
    <x v="2"/>
    <x v="2"/>
    <x v="92"/>
    <x v="414"/>
    <x v="1"/>
    <x v="1"/>
    <x v="79"/>
    <x v="1"/>
    <x v="0"/>
    <x v="3"/>
    <x v="20"/>
    <x v="0"/>
    <x v="1"/>
    <x v="0"/>
    <x v="22"/>
    <x v="170"/>
    <x v="53"/>
    <x v="67"/>
    <x v="160"/>
  </r>
  <r>
    <x v="468"/>
    <x v="41"/>
    <x v="2"/>
    <x v="4"/>
    <x v="1"/>
    <x v="0"/>
    <x v="13"/>
    <x v="2"/>
    <x v="1"/>
    <x v="393"/>
    <x v="415"/>
    <x v="0"/>
    <x v="2"/>
    <x v="135"/>
    <x v="0"/>
    <x v="0"/>
    <x v="1"/>
    <x v="81"/>
    <x v="0"/>
    <x v="0"/>
    <x v="1"/>
    <x v="287"/>
    <x v="198"/>
    <x v="15"/>
    <x v="1"/>
    <x v="34"/>
  </r>
  <r>
    <x v="469"/>
    <x v="29"/>
    <x v="1"/>
    <x v="4"/>
    <x v="3"/>
    <x v="0"/>
    <x v="2"/>
    <x v="0"/>
    <x v="1"/>
    <x v="394"/>
    <x v="416"/>
    <x v="3"/>
    <x v="2"/>
    <x v="178"/>
    <x v="3"/>
    <x v="1"/>
    <x v="0"/>
    <x v="26"/>
    <x v="1"/>
    <x v="1"/>
    <x v="1"/>
    <x v="9"/>
    <x v="281"/>
    <x v="40"/>
    <x v="59"/>
    <x v="36"/>
  </r>
  <r>
    <x v="470"/>
    <x v="52"/>
    <x v="2"/>
    <x v="4"/>
    <x v="1"/>
    <x v="0"/>
    <x v="4"/>
    <x v="1"/>
    <x v="2"/>
    <x v="395"/>
    <x v="417"/>
    <x v="0"/>
    <x v="1"/>
    <x v="93"/>
    <x v="0"/>
    <x v="2"/>
    <x v="2"/>
    <x v="48"/>
    <x v="1"/>
    <x v="3"/>
    <x v="0"/>
    <x v="197"/>
    <x v="103"/>
    <x v="63"/>
    <x v="74"/>
    <x v="26"/>
  </r>
  <r>
    <x v="471"/>
    <x v="20"/>
    <x v="1"/>
    <x v="0"/>
    <x v="4"/>
    <x v="0"/>
    <x v="17"/>
    <x v="3"/>
    <x v="3"/>
    <x v="396"/>
    <x v="418"/>
    <x v="1"/>
    <x v="2"/>
    <x v="76"/>
    <x v="1"/>
    <x v="2"/>
    <x v="1"/>
    <x v="143"/>
    <x v="1"/>
    <x v="2"/>
    <x v="1"/>
    <x v="288"/>
    <x v="107"/>
    <x v="53"/>
    <x v="107"/>
    <x v="120"/>
  </r>
  <r>
    <x v="472"/>
    <x v="48"/>
    <x v="0"/>
    <x v="0"/>
    <x v="2"/>
    <x v="2"/>
    <x v="15"/>
    <x v="3"/>
    <x v="0"/>
    <x v="397"/>
    <x v="419"/>
    <x v="3"/>
    <x v="1"/>
    <x v="7"/>
    <x v="3"/>
    <x v="0"/>
    <x v="1"/>
    <x v="142"/>
    <x v="0"/>
    <x v="2"/>
    <x v="0"/>
    <x v="78"/>
    <x v="282"/>
    <x v="78"/>
    <x v="56"/>
    <x v="109"/>
  </r>
  <r>
    <x v="473"/>
    <x v="22"/>
    <x v="2"/>
    <x v="2"/>
    <x v="0"/>
    <x v="0"/>
    <x v="5"/>
    <x v="1"/>
    <x v="0"/>
    <x v="398"/>
    <x v="420"/>
    <x v="0"/>
    <x v="4"/>
    <x v="74"/>
    <x v="0"/>
    <x v="0"/>
    <x v="3"/>
    <x v="67"/>
    <x v="0"/>
    <x v="1"/>
    <x v="1"/>
    <x v="107"/>
    <x v="245"/>
    <x v="65"/>
    <x v="165"/>
    <x v="10"/>
  </r>
  <r>
    <x v="474"/>
    <x v="46"/>
    <x v="0"/>
    <x v="4"/>
    <x v="2"/>
    <x v="0"/>
    <x v="7"/>
    <x v="0"/>
    <x v="1"/>
    <x v="368"/>
    <x v="421"/>
    <x v="1"/>
    <x v="1"/>
    <x v="49"/>
    <x v="1"/>
    <x v="2"/>
    <x v="2"/>
    <x v="81"/>
    <x v="1"/>
    <x v="4"/>
    <x v="0"/>
    <x v="119"/>
    <x v="283"/>
    <x v="64"/>
    <x v="158"/>
    <x v="107"/>
  </r>
  <r>
    <x v="475"/>
    <x v="60"/>
    <x v="0"/>
    <x v="1"/>
    <x v="2"/>
    <x v="3"/>
    <x v="9"/>
    <x v="1"/>
    <x v="2"/>
    <x v="399"/>
    <x v="422"/>
    <x v="1"/>
    <x v="4"/>
    <x v="179"/>
    <x v="1"/>
    <x v="0"/>
    <x v="0"/>
    <x v="36"/>
    <x v="0"/>
    <x v="0"/>
    <x v="0"/>
    <x v="289"/>
    <x v="284"/>
    <x v="81"/>
    <x v="79"/>
    <x v="30"/>
  </r>
  <r>
    <x v="476"/>
    <x v="39"/>
    <x v="2"/>
    <x v="4"/>
    <x v="4"/>
    <x v="1"/>
    <x v="14"/>
    <x v="2"/>
    <x v="2"/>
    <x v="400"/>
    <x v="423"/>
    <x v="0"/>
    <x v="3"/>
    <x v="137"/>
    <x v="0"/>
    <x v="1"/>
    <x v="2"/>
    <x v="5"/>
    <x v="1"/>
    <x v="4"/>
    <x v="0"/>
    <x v="290"/>
    <x v="73"/>
    <x v="22"/>
    <x v="118"/>
    <x v="119"/>
  </r>
  <r>
    <x v="477"/>
    <x v="51"/>
    <x v="2"/>
    <x v="3"/>
    <x v="3"/>
    <x v="0"/>
    <x v="11"/>
    <x v="0"/>
    <x v="0"/>
    <x v="401"/>
    <x v="424"/>
    <x v="2"/>
    <x v="4"/>
    <x v="180"/>
    <x v="2"/>
    <x v="2"/>
    <x v="0"/>
    <x v="24"/>
    <x v="1"/>
    <x v="0"/>
    <x v="1"/>
    <x v="208"/>
    <x v="150"/>
    <x v="68"/>
    <x v="0"/>
    <x v="161"/>
  </r>
  <r>
    <x v="478"/>
    <x v="48"/>
    <x v="2"/>
    <x v="2"/>
    <x v="2"/>
    <x v="0"/>
    <x v="6"/>
    <x v="3"/>
    <x v="0"/>
    <x v="372"/>
    <x v="310"/>
    <x v="3"/>
    <x v="1"/>
    <x v="177"/>
    <x v="3"/>
    <x v="0"/>
    <x v="2"/>
    <x v="59"/>
    <x v="0"/>
    <x v="4"/>
    <x v="1"/>
    <x v="290"/>
    <x v="93"/>
    <x v="61"/>
    <x v="104"/>
    <x v="3"/>
  </r>
  <r>
    <x v="479"/>
    <x v="64"/>
    <x v="1"/>
    <x v="3"/>
    <x v="3"/>
    <x v="5"/>
    <x v="15"/>
    <x v="3"/>
    <x v="2"/>
    <x v="402"/>
    <x v="425"/>
    <x v="2"/>
    <x v="4"/>
    <x v="77"/>
    <x v="2"/>
    <x v="0"/>
    <x v="2"/>
    <x v="55"/>
    <x v="0"/>
    <x v="3"/>
    <x v="1"/>
    <x v="98"/>
    <x v="233"/>
    <x v="5"/>
    <x v="132"/>
    <x v="41"/>
  </r>
  <r>
    <x v="480"/>
    <x v="34"/>
    <x v="2"/>
    <x v="1"/>
    <x v="4"/>
    <x v="0"/>
    <x v="13"/>
    <x v="3"/>
    <x v="1"/>
    <x v="403"/>
    <x v="426"/>
    <x v="3"/>
    <x v="2"/>
    <x v="24"/>
    <x v="3"/>
    <x v="0"/>
    <x v="1"/>
    <x v="105"/>
    <x v="0"/>
    <x v="1"/>
    <x v="0"/>
    <x v="30"/>
    <x v="196"/>
    <x v="85"/>
    <x v="86"/>
    <x v="113"/>
  </r>
  <r>
    <x v="481"/>
    <x v="51"/>
    <x v="0"/>
    <x v="0"/>
    <x v="2"/>
    <x v="3"/>
    <x v="2"/>
    <x v="1"/>
    <x v="1"/>
    <x v="190"/>
    <x v="246"/>
    <x v="0"/>
    <x v="2"/>
    <x v="67"/>
    <x v="0"/>
    <x v="1"/>
    <x v="3"/>
    <x v="131"/>
    <x v="1"/>
    <x v="0"/>
    <x v="0"/>
    <x v="291"/>
    <x v="122"/>
    <x v="66"/>
    <x v="156"/>
    <x v="162"/>
  </r>
  <r>
    <x v="482"/>
    <x v="17"/>
    <x v="2"/>
    <x v="2"/>
    <x v="3"/>
    <x v="0"/>
    <x v="6"/>
    <x v="0"/>
    <x v="1"/>
    <x v="139"/>
    <x v="427"/>
    <x v="0"/>
    <x v="2"/>
    <x v="114"/>
    <x v="0"/>
    <x v="2"/>
    <x v="2"/>
    <x v="72"/>
    <x v="1"/>
    <x v="3"/>
    <x v="1"/>
    <x v="71"/>
    <x v="207"/>
    <x v="55"/>
    <x v="108"/>
    <x v="61"/>
  </r>
  <r>
    <x v="483"/>
    <x v="61"/>
    <x v="2"/>
    <x v="0"/>
    <x v="2"/>
    <x v="5"/>
    <x v="18"/>
    <x v="0"/>
    <x v="0"/>
    <x v="404"/>
    <x v="197"/>
    <x v="0"/>
    <x v="1"/>
    <x v="43"/>
    <x v="0"/>
    <x v="0"/>
    <x v="0"/>
    <x v="123"/>
    <x v="0"/>
    <x v="4"/>
    <x v="1"/>
    <x v="86"/>
    <x v="246"/>
    <x v="59"/>
    <x v="158"/>
    <x v="135"/>
  </r>
  <r>
    <x v="484"/>
    <x v="45"/>
    <x v="2"/>
    <x v="1"/>
    <x v="0"/>
    <x v="5"/>
    <x v="3"/>
    <x v="3"/>
    <x v="3"/>
    <x v="405"/>
    <x v="428"/>
    <x v="1"/>
    <x v="2"/>
    <x v="109"/>
    <x v="1"/>
    <x v="1"/>
    <x v="0"/>
    <x v="50"/>
    <x v="1"/>
    <x v="3"/>
    <x v="1"/>
    <x v="142"/>
    <x v="285"/>
    <x v="1"/>
    <x v="128"/>
    <x v="160"/>
  </r>
  <r>
    <x v="485"/>
    <x v="2"/>
    <x v="0"/>
    <x v="2"/>
    <x v="4"/>
    <x v="0"/>
    <x v="5"/>
    <x v="3"/>
    <x v="2"/>
    <x v="406"/>
    <x v="429"/>
    <x v="0"/>
    <x v="3"/>
    <x v="88"/>
    <x v="0"/>
    <x v="1"/>
    <x v="4"/>
    <x v="35"/>
    <x v="1"/>
    <x v="4"/>
    <x v="1"/>
    <x v="292"/>
    <x v="158"/>
    <x v="51"/>
    <x v="11"/>
    <x v="124"/>
  </r>
  <r>
    <x v="486"/>
    <x v="53"/>
    <x v="0"/>
    <x v="0"/>
    <x v="0"/>
    <x v="0"/>
    <x v="13"/>
    <x v="0"/>
    <x v="2"/>
    <x v="407"/>
    <x v="430"/>
    <x v="2"/>
    <x v="0"/>
    <x v="170"/>
    <x v="2"/>
    <x v="1"/>
    <x v="2"/>
    <x v="148"/>
    <x v="1"/>
    <x v="3"/>
    <x v="0"/>
    <x v="13"/>
    <x v="286"/>
    <x v="27"/>
    <x v="145"/>
    <x v="97"/>
  </r>
  <r>
    <x v="487"/>
    <x v="29"/>
    <x v="2"/>
    <x v="2"/>
    <x v="3"/>
    <x v="5"/>
    <x v="8"/>
    <x v="1"/>
    <x v="2"/>
    <x v="408"/>
    <x v="431"/>
    <x v="3"/>
    <x v="4"/>
    <x v="36"/>
    <x v="3"/>
    <x v="2"/>
    <x v="0"/>
    <x v="64"/>
    <x v="1"/>
    <x v="2"/>
    <x v="1"/>
    <x v="145"/>
    <x v="120"/>
    <x v="24"/>
    <x v="1"/>
    <x v="15"/>
  </r>
  <r>
    <x v="488"/>
    <x v="8"/>
    <x v="0"/>
    <x v="0"/>
    <x v="4"/>
    <x v="2"/>
    <x v="15"/>
    <x v="0"/>
    <x v="3"/>
    <x v="409"/>
    <x v="432"/>
    <x v="2"/>
    <x v="0"/>
    <x v="133"/>
    <x v="2"/>
    <x v="1"/>
    <x v="0"/>
    <x v="66"/>
    <x v="1"/>
    <x v="0"/>
    <x v="1"/>
    <x v="293"/>
    <x v="86"/>
    <x v="54"/>
    <x v="169"/>
    <x v="92"/>
  </r>
  <r>
    <x v="489"/>
    <x v="58"/>
    <x v="0"/>
    <x v="1"/>
    <x v="3"/>
    <x v="1"/>
    <x v="8"/>
    <x v="2"/>
    <x v="0"/>
    <x v="410"/>
    <x v="433"/>
    <x v="1"/>
    <x v="2"/>
    <x v="24"/>
    <x v="1"/>
    <x v="1"/>
    <x v="4"/>
    <x v="113"/>
    <x v="1"/>
    <x v="3"/>
    <x v="1"/>
    <x v="262"/>
    <x v="151"/>
    <x v="21"/>
    <x v="139"/>
    <x v="106"/>
  </r>
  <r>
    <x v="490"/>
    <x v="44"/>
    <x v="0"/>
    <x v="0"/>
    <x v="0"/>
    <x v="0"/>
    <x v="16"/>
    <x v="1"/>
    <x v="2"/>
    <x v="411"/>
    <x v="425"/>
    <x v="2"/>
    <x v="3"/>
    <x v="127"/>
    <x v="2"/>
    <x v="2"/>
    <x v="2"/>
    <x v="57"/>
    <x v="1"/>
    <x v="3"/>
    <x v="0"/>
    <x v="190"/>
    <x v="287"/>
    <x v="79"/>
    <x v="50"/>
    <x v="48"/>
  </r>
  <r>
    <x v="491"/>
    <x v="49"/>
    <x v="2"/>
    <x v="4"/>
    <x v="2"/>
    <x v="3"/>
    <x v="7"/>
    <x v="2"/>
    <x v="0"/>
    <x v="412"/>
    <x v="434"/>
    <x v="2"/>
    <x v="3"/>
    <x v="138"/>
    <x v="2"/>
    <x v="0"/>
    <x v="1"/>
    <x v="94"/>
    <x v="0"/>
    <x v="3"/>
    <x v="0"/>
    <x v="54"/>
    <x v="220"/>
    <x v="67"/>
    <x v="102"/>
    <x v="76"/>
  </r>
  <r>
    <x v="492"/>
    <x v="42"/>
    <x v="0"/>
    <x v="3"/>
    <x v="4"/>
    <x v="5"/>
    <x v="6"/>
    <x v="3"/>
    <x v="0"/>
    <x v="413"/>
    <x v="435"/>
    <x v="3"/>
    <x v="3"/>
    <x v="172"/>
    <x v="3"/>
    <x v="1"/>
    <x v="0"/>
    <x v="62"/>
    <x v="1"/>
    <x v="4"/>
    <x v="1"/>
    <x v="294"/>
    <x v="140"/>
    <x v="30"/>
    <x v="170"/>
    <x v="137"/>
  </r>
  <r>
    <x v="493"/>
    <x v="18"/>
    <x v="1"/>
    <x v="1"/>
    <x v="4"/>
    <x v="0"/>
    <x v="5"/>
    <x v="2"/>
    <x v="3"/>
    <x v="414"/>
    <x v="436"/>
    <x v="0"/>
    <x v="1"/>
    <x v="176"/>
    <x v="0"/>
    <x v="2"/>
    <x v="4"/>
    <x v="61"/>
    <x v="1"/>
    <x v="3"/>
    <x v="1"/>
    <x v="295"/>
    <x v="217"/>
    <x v="41"/>
    <x v="105"/>
    <x v="163"/>
  </r>
  <r>
    <x v="494"/>
    <x v="65"/>
    <x v="2"/>
    <x v="0"/>
    <x v="3"/>
    <x v="3"/>
    <x v="5"/>
    <x v="3"/>
    <x v="3"/>
    <x v="415"/>
    <x v="437"/>
    <x v="0"/>
    <x v="3"/>
    <x v="1"/>
    <x v="0"/>
    <x v="2"/>
    <x v="4"/>
    <x v="130"/>
    <x v="1"/>
    <x v="3"/>
    <x v="1"/>
    <x v="182"/>
    <x v="288"/>
    <x v="76"/>
    <x v="80"/>
    <x v="65"/>
  </r>
  <r>
    <x v="495"/>
    <x v="35"/>
    <x v="2"/>
    <x v="2"/>
    <x v="0"/>
    <x v="2"/>
    <x v="3"/>
    <x v="3"/>
    <x v="1"/>
    <x v="416"/>
    <x v="438"/>
    <x v="3"/>
    <x v="4"/>
    <x v="163"/>
    <x v="3"/>
    <x v="1"/>
    <x v="2"/>
    <x v="34"/>
    <x v="1"/>
    <x v="3"/>
    <x v="1"/>
    <x v="207"/>
    <x v="59"/>
    <x v="82"/>
    <x v="147"/>
    <x v="164"/>
  </r>
  <r>
    <x v="496"/>
    <x v="22"/>
    <x v="2"/>
    <x v="4"/>
    <x v="1"/>
    <x v="0"/>
    <x v="6"/>
    <x v="1"/>
    <x v="0"/>
    <x v="417"/>
    <x v="439"/>
    <x v="3"/>
    <x v="2"/>
    <x v="83"/>
    <x v="3"/>
    <x v="2"/>
    <x v="2"/>
    <x v="125"/>
    <x v="1"/>
    <x v="4"/>
    <x v="1"/>
    <x v="296"/>
    <x v="289"/>
    <x v="70"/>
    <x v="115"/>
    <x v="117"/>
  </r>
  <r>
    <x v="497"/>
    <x v="4"/>
    <x v="2"/>
    <x v="0"/>
    <x v="0"/>
    <x v="1"/>
    <x v="1"/>
    <x v="1"/>
    <x v="1"/>
    <x v="418"/>
    <x v="440"/>
    <x v="2"/>
    <x v="0"/>
    <x v="181"/>
    <x v="2"/>
    <x v="0"/>
    <x v="4"/>
    <x v="47"/>
    <x v="0"/>
    <x v="2"/>
    <x v="1"/>
    <x v="194"/>
    <x v="39"/>
    <x v="69"/>
    <x v="169"/>
    <x v="5"/>
  </r>
  <r>
    <x v="498"/>
    <x v="15"/>
    <x v="2"/>
    <x v="2"/>
    <x v="2"/>
    <x v="2"/>
    <x v="7"/>
    <x v="0"/>
    <x v="0"/>
    <x v="419"/>
    <x v="441"/>
    <x v="0"/>
    <x v="2"/>
    <x v="43"/>
    <x v="0"/>
    <x v="0"/>
    <x v="3"/>
    <x v="9"/>
    <x v="0"/>
    <x v="4"/>
    <x v="0"/>
    <x v="297"/>
    <x v="22"/>
    <x v="10"/>
    <x v="64"/>
    <x v="7"/>
  </r>
  <r>
    <x v="499"/>
    <x v="4"/>
    <x v="0"/>
    <x v="4"/>
    <x v="2"/>
    <x v="4"/>
    <x v="18"/>
    <x v="2"/>
    <x v="2"/>
    <x v="420"/>
    <x v="442"/>
    <x v="2"/>
    <x v="1"/>
    <x v="13"/>
    <x v="2"/>
    <x v="2"/>
    <x v="4"/>
    <x v="35"/>
    <x v="1"/>
    <x v="0"/>
    <x v="0"/>
    <x v="298"/>
    <x v="117"/>
    <x v="0"/>
    <x v="162"/>
    <x v="51"/>
  </r>
  <r>
    <x v="500"/>
    <x v="17"/>
    <x v="0"/>
    <x v="4"/>
    <x v="2"/>
    <x v="1"/>
    <x v="15"/>
    <x v="1"/>
    <x v="0"/>
    <x v="421"/>
    <x v="443"/>
    <x v="0"/>
    <x v="0"/>
    <x v="182"/>
    <x v="0"/>
    <x v="0"/>
    <x v="2"/>
    <x v="98"/>
    <x v="0"/>
    <x v="0"/>
    <x v="1"/>
    <x v="299"/>
    <x v="115"/>
    <x v="40"/>
    <x v="14"/>
    <x v="25"/>
  </r>
  <r>
    <x v="501"/>
    <x v="21"/>
    <x v="2"/>
    <x v="0"/>
    <x v="1"/>
    <x v="3"/>
    <x v="14"/>
    <x v="0"/>
    <x v="1"/>
    <x v="102"/>
    <x v="444"/>
    <x v="0"/>
    <x v="2"/>
    <x v="106"/>
    <x v="0"/>
    <x v="2"/>
    <x v="1"/>
    <x v="62"/>
    <x v="1"/>
    <x v="0"/>
    <x v="1"/>
    <x v="300"/>
    <x v="264"/>
    <x v="82"/>
    <x v="8"/>
    <x v="139"/>
  </r>
  <r>
    <x v="502"/>
    <x v="28"/>
    <x v="1"/>
    <x v="1"/>
    <x v="3"/>
    <x v="0"/>
    <x v="9"/>
    <x v="0"/>
    <x v="1"/>
    <x v="422"/>
    <x v="445"/>
    <x v="0"/>
    <x v="1"/>
    <x v="57"/>
    <x v="0"/>
    <x v="1"/>
    <x v="4"/>
    <x v="144"/>
    <x v="1"/>
    <x v="1"/>
    <x v="0"/>
    <x v="109"/>
    <x v="38"/>
    <x v="0"/>
    <x v="87"/>
    <x v="38"/>
  </r>
  <r>
    <x v="503"/>
    <x v="63"/>
    <x v="1"/>
    <x v="1"/>
    <x v="3"/>
    <x v="0"/>
    <x v="1"/>
    <x v="3"/>
    <x v="0"/>
    <x v="423"/>
    <x v="446"/>
    <x v="2"/>
    <x v="4"/>
    <x v="68"/>
    <x v="2"/>
    <x v="0"/>
    <x v="2"/>
    <x v="21"/>
    <x v="0"/>
    <x v="1"/>
    <x v="1"/>
    <x v="88"/>
    <x v="189"/>
    <x v="14"/>
    <x v="83"/>
    <x v="107"/>
  </r>
  <r>
    <x v="504"/>
    <x v="17"/>
    <x v="2"/>
    <x v="3"/>
    <x v="0"/>
    <x v="3"/>
    <x v="8"/>
    <x v="0"/>
    <x v="2"/>
    <x v="424"/>
    <x v="447"/>
    <x v="2"/>
    <x v="2"/>
    <x v="116"/>
    <x v="2"/>
    <x v="0"/>
    <x v="4"/>
    <x v="121"/>
    <x v="0"/>
    <x v="1"/>
    <x v="0"/>
    <x v="198"/>
    <x v="182"/>
    <x v="86"/>
    <x v="46"/>
    <x v="98"/>
  </r>
  <r>
    <x v="505"/>
    <x v="3"/>
    <x v="0"/>
    <x v="4"/>
    <x v="1"/>
    <x v="0"/>
    <x v="18"/>
    <x v="0"/>
    <x v="1"/>
    <x v="425"/>
    <x v="448"/>
    <x v="0"/>
    <x v="0"/>
    <x v="107"/>
    <x v="0"/>
    <x v="2"/>
    <x v="2"/>
    <x v="99"/>
    <x v="1"/>
    <x v="3"/>
    <x v="1"/>
    <x v="241"/>
    <x v="290"/>
    <x v="45"/>
    <x v="8"/>
    <x v="55"/>
  </r>
  <r>
    <x v="506"/>
    <x v="44"/>
    <x v="1"/>
    <x v="2"/>
    <x v="3"/>
    <x v="0"/>
    <x v="11"/>
    <x v="2"/>
    <x v="0"/>
    <x v="426"/>
    <x v="449"/>
    <x v="3"/>
    <x v="0"/>
    <x v="134"/>
    <x v="3"/>
    <x v="0"/>
    <x v="0"/>
    <x v="43"/>
    <x v="0"/>
    <x v="4"/>
    <x v="1"/>
    <x v="129"/>
    <x v="2"/>
    <x v="65"/>
    <x v="63"/>
    <x v="165"/>
  </r>
  <r>
    <x v="507"/>
    <x v="12"/>
    <x v="2"/>
    <x v="2"/>
    <x v="2"/>
    <x v="3"/>
    <x v="13"/>
    <x v="2"/>
    <x v="2"/>
    <x v="427"/>
    <x v="450"/>
    <x v="3"/>
    <x v="3"/>
    <x v="9"/>
    <x v="3"/>
    <x v="0"/>
    <x v="1"/>
    <x v="68"/>
    <x v="0"/>
    <x v="0"/>
    <x v="0"/>
    <x v="232"/>
    <x v="182"/>
    <x v="84"/>
    <x v="83"/>
    <x v="125"/>
  </r>
  <r>
    <x v="508"/>
    <x v="14"/>
    <x v="1"/>
    <x v="3"/>
    <x v="4"/>
    <x v="4"/>
    <x v="1"/>
    <x v="2"/>
    <x v="3"/>
    <x v="307"/>
    <x v="320"/>
    <x v="3"/>
    <x v="4"/>
    <x v="154"/>
    <x v="3"/>
    <x v="1"/>
    <x v="2"/>
    <x v="21"/>
    <x v="1"/>
    <x v="1"/>
    <x v="0"/>
    <x v="297"/>
    <x v="108"/>
    <x v="57"/>
    <x v="126"/>
    <x v="70"/>
  </r>
  <r>
    <x v="509"/>
    <x v="21"/>
    <x v="2"/>
    <x v="2"/>
    <x v="3"/>
    <x v="0"/>
    <x v="13"/>
    <x v="2"/>
    <x v="3"/>
    <x v="428"/>
    <x v="451"/>
    <x v="0"/>
    <x v="4"/>
    <x v="12"/>
    <x v="0"/>
    <x v="2"/>
    <x v="0"/>
    <x v="6"/>
    <x v="1"/>
    <x v="3"/>
    <x v="1"/>
    <x v="12"/>
    <x v="253"/>
    <x v="42"/>
    <x v="48"/>
    <x v="87"/>
  </r>
  <r>
    <x v="510"/>
    <x v="29"/>
    <x v="1"/>
    <x v="2"/>
    <x v="0"/>
    <x v="0"/>
    <x v="19"/>
    <x v="0"/>
    <x v="0"/>
    <x v="429"/>
    <x v="452"/>
    <x v="1"/>
    <x v="3"/>
    <x v="136"/>
    <x v="1"/>
    <x v="0"/>
    <x v="1"/>
    <x v="91"/>
    <x v="0"/>
    <x v="4"/>
    <x v="1"/>
    <x v="74"/>
    <x v="130"/>
    <x v="58"/>
    <x v="162"/>
    <x v="103"/>
  </r>
  <r>
    <x v="511"/>
    <x v="50"/>
    <x v="2"/>
    <x v="1"/>
    <x v="3"/>
    <x v="1"/>
    <x v="18"/>
    <x v="1"/>
    <x v="1"/>
    <x v="430"/>
    <x v="453"/>
    <x v="2"/>
    <x v="4"/>
    <x v="136"/>
    <x v="2"/>
    <x v="1"/>
    <x v="3"/>
    <x v="78"/>
    <x v="1"/>
    <x v="4"/>
    <x v="0"/>
    <x v="194"/>
    <x v="86"/>
    <x v="27"/>
    <x v="78"/>
    <x v="145"/>
  </r>
  <r>
    <x v="512"/>
    <x v="51"/>
    <x v="1"/>
    <x v="3"/>
    <x v="4"/>
    <x v="2"/>
    <x v="9"/>
    <x v="1"/>
    <x v="3"/>
    <x v="431"/>
    <x v="454"/>
    <x v="1"/>
    <x v="2"/>
    <x v="183"/>
    <x v="1"/>
    <x v="0"/>
    <x v="1"/>
    <x v="114"/>
    <x v="0"/>
    <x v="1"/>
    <x v="1"/>
    <x v="100"/>
    <x v="111"/>
    <x v="80"/>
    <x v="14"/>
    <x v="129"/>
  </r>
  <r>
    <x v="513"/>
    <x v="9"/>
    <x v="1"/>
    <x v="3"/>
    <x v="0"/>
    <x v="3"/>
    <x v="4"/>
    <x v="3"/>
    <x v="1"/>
    <x v="432"/>
    <x v="455"/>
    <x v="1"/>
    <x v="2"/>
    <x v="126"/>
    <x v="1"/>
    <x v="0"/>
    <x v="4"/>
    <x v="137"/>
    <x v="0"/>
    <x v="1"/>
    <x v="1"/>
    <x v="270"/>
    <x v="291"/>
    <x v="4"/>
    <x v="81"/>
    <x v="134"/>
  </r>
  <r>
    <x v="514"/>
    <x v="63"/>
    <x v="0"/>
    <x v="0"/>
    <x v="4"/>
    <x v="0"/>
    <x v="1"/>
    <x v="1"/>
    <x v="2"/>
    <x v="433"/>
    <x v="456"/>
    <x v="1"/>
    <x v="2"/>
    <x v="184"/>
    <x v="1"/>
    <x v="0"/>
    <x v="0"/>
    <x v="120"/>
    <x v="0"/>
    <x v="0"/>
    <x v="1"/>
    <x v="57"/>
    <x v="165"/>
    <x v="0"/>
    <x v="102"/>
    <x v="68"/>
  </r>
  <r>
    <x v="515"/>
    <x v="47"/>
    <x v="2"/>
    <x v="2"/>
    <x v="0"/>
    <x v="4"/>
    <x v="18"/>
    <x v="0"/>
    <x v="1"/>
    <x v="434"/>
    <x v="457"/>
    <x v="0"/>
    <x v="0"/>
    <x v="140"/>
    <x v="0"/>
    <x v="2"/>
    <x v="4"/>
    <x v="113"/>
    <x v="1"/>
    <x v="0"/>
    <x v="0"/>
    <x v="298"/>
    <x v="283"/>
    <x v="57"/>
    <x v="37"/>
    <x v="46"/>
  </r>
  <r>
    <x v="516"/>
    <x v="63"/>
    <x v="2"/>
    <x v="0"/>
    <x v="1"/>
    <x v="2"/>
    <x v="12"/>
    <x v="3"/>
    <x v="0"/>
    <x v="435"/>
    <x v="402"/>
    <x v="0"/>
    <x v="2"/>
    <x v="52"/>
    <x v="0"/>
    <x v="1"/>
    <x v="0"/>
    <x v="72"/>
    <x v="1"/>
    <x v="1"/>
    <x v="1"/>
    <x v="58"/>
    <x v="259"/>
    <x v="81"/>
    <x v="79"/>
    <x v="157"/>
  </r>
  <r>
    <x v="517"/>
    <x v="31"/>
    <x v="2"/>
    <x v="4"/>
    <x v="3"/>
    <x v="5"/>
    <x v="4"/>
    <x v="1"/>
    <x v="0"/>
    <x v="436"/>
    <x v="458"/>
    <x v="2"/>
    <x v="1"/>
    <x v="145"/>
    <x v="2"/>
    <x v="2"/>
    <x v="0"/>
    <x v="60"/>
    <x v="1"/>
    <x v="0"/>
    <x v="0"/>
    <x v="301"/>
    <x v="292"/>
    <x v="82"/>
    <x v="56"/>
    <x v="19"/>
  </r>
  <r>
    <x v="518"/>
    <x v="25"/>
    <x v="2"/>
    <x v="3"/>
    <x v="3"/>
    <x v="0"/>
    <x v="13"/>
    <x v="0"/>
    <x v="0"/>
    <x v="414"/>
    <x v="459"/>
    <x v="0"/>
    <x v="2"/>
    <x v="31"/>
    <x v="0"/>
    <x v="0"/>
    <x v="3"/>
    <x v="87"/>
    <x v="0"/>
    <x v="4"/>
    <x v="0"/>
    <x v="302"/>
    <x v="205"/>
    <x v="14"/>
    <x v="131"/>
    <x v="30"/>
  </r>
  <r>
    <x v="519"/>
    <x v="44"/>
    <x v="2"/>
    <x v="3"/>
    <x v="0"/>
    <x v="4"/>
    <x v="1"/>
    <x v="0"/>
    <x v="3"/>
    <x v="437"/>
    <x v="460"/>
    <x v="2"/>
    <x v="3"/>
    <x v="27"/>
    <x v="2"/>
    <x v="1"/>
    <x v="0"/>
    <x v="13"/>
    <x v="1"/>
    <x v="1"/>
    <x v="0"/>
    <x v="299"/>
    <x v="156"/>
    <x v="75"/>
    <x v="97"/>
    <x v="109"/>
  </r>
  <r>
    <x v="520"/>
    <x v="15"/>
    <x v="1"/>
    <x v="0"/>
    <x v="4"/>
    <x v="0"/>
    <x v="0"/>
    <x v="3"/>
    <x v="2"/>
    <x v="148"/>
    <x v="153"/>
    <x v="0"/>
    <x v="4"/>
    <x v="38"/>
    <x v="0"/>
    <x v="0"/>
    <x v="2"/>
    <x v="42"/>
    <x v="0"/>
    <x v="0"/>
    <x v="0"/>
    <x v="91"/>
    <x v="293"/>
    <x v="52"/>
    <x v="161"/>
    <x v="12"/>
  </r>
  <r>
    <x v="521"/>
    <x v="64"/>
    <x v="0"/>
    <x v="0"/>
    <x v="0"/>
    <x v="3"/>
    <x v="3"/>
    <x v="1"/>
    <x v="3"/>
    <x v="438"/>
    <x v="461"/>
    <x v="0"/>
    <x v="3"/>
    <x v="146"/>
    <x v="0"/>
    <x v="1"/>
    <x v="1"/>
    <x v="46"/>
    <x v="1"/>
    <x v="1"/>
    <x v="0"/>
    <x v="77"/>
    <x v="294"/>
    <x v="82"/>
    <x v="79"/>
    <x v="166"/>
  </r>
  <r>
    <x v="522"/>
    <x v="28"/>
    <x v="0"/>
    <x v="0"/>
    <x v="4"/>
    <x v="0"/>
    <x v="5"/>
    <x v="3"/>
    <x v="0"/>
    <x v="439"/>
    <x v="462"/>
    <x v="1"/>
    <x v="4"/>
    <x v="84"/>
    <x v="1"/>
    <x v="2"/>
    <x v="3"/>
    <x v="130"/>
    <x v="1"/>
    <x v="0"/>
    <x v="0"/>
    <x v="118"/>
    <x v="133"/>
    <x v="79"/>
    <x v="20"/>
    <x v="153"/>
  </r>
  <r>
    <x v="523"/>
    <x v="65"/>
    <x v="2"/>
    <x v="2"/>
    <x v="4"/>
    <x v="0"/>
    <x v="1"/>
    <x v="3"/>
    <x v="0"/>
    <x v="230"/>
    <x v="463"/>
    <x v="3"/>
    <x v="3"/>
    <x v="108"/>
    <x v="3"/>
    <x v="2"/>
    <x v="3"/>
    <x v="27"/>
    <x v="1"/>
    <x v="1"/>
    <x v="0"/>
    <x v="46"/>
    <x v="157"/>
    <x v="82"/>
    <x v="81"/>
    <x v="159"/>
  </r>
  <r>
    <x v="524"/>
    <x v="32"/>
    <x v="1"/>
    <x v="1"/>
    <x v="3"/>
    <x v="5"/>
    <x v="7"/>
    <x v="2"/>
    <x v="3"/>
    <x v="440"/>
    <x v="211"/>
    <x v="2"/>
    <x v="1"/>
    <x v="129"/>
    <x v="2"/>
    <x v="1"/>
    <x v="1"/>
    <x v="56"/>
    <x v="1"/>
    <x v="3"/>
    <x v="1"/>
    <x v="124"/>
    <x v="218"/>
    <x v="32"/>
    <x v="50"/>
    <x v="70"/>
  </r>
  <r>
    <x v="525"/>
    <x v="67"/>
    <x v="1"/>
    <x v="3"/>
    <x v="1"/>
    <x v="0"/>
    <x v="0"/>
    <x v="0"/>
    <x v="0"/>
    <x v="441"/>
    <x v="464"/>
    <x v="2"/>
    <x v="2"/>
    <x v="158"/>
    <x v="2"/>
    <x v="1"/>
    <x v="3"/>
    <x v="8"/>
    <x v="1"/>
    <x v="4"/>
    <x v="1"/>
    <x v="303"/>
    <x v="71"/>
    <x v="27"/>
    <x v="1"/>
    <x v="4"/>
  </r>
  <r>
    <x v="526"/>
    <x v="51"/>
    <x v="1"/>
    <x v="4"/>
    <x v="0"/>
    <x v="0"/>
    <x v="3"/>
    <x v="3"/>
    <x v="3"/>
    <x v="442"/>
    <x v="465"/>
    <x v="1"/>
    <x v="3"/>
    <x v="23"/>
    <x v="1"/>
    <x v="1"/>
    <x v="4"/>
    <x v="131"/>
    <x v="1"/>
    <x v="3"/>
    <x v="0"/>
    <x v="205"/>
    <x v="271"/>
    <x v="2"/>
    <x v="145"/>
    <x v="153"/>
  </r>
  <r>
    <x v="527"/>
    <x v="20"/>
    <x v="0"/>
    <x v="1"/>
    <x v="4"/>
    <x v="3"/>
    <x v="17"/>
    <x v="3"/>
    <x v="0"/>
    <x v="443"/>
    <x v="326"/>
    <x v="1"/>
    <x v="3"/>
    <x v="25"/>
    <x v="1"/>
    <x v="1"/>
    <x v="0"/>
    <x v="146"/>
    <x v="1"/>
    <x v="2"/>
    <x v="1"/>
    <x v="113"/>
    <x v="246"/>
    <x v="55"/>
    <x v="9"/>
    <x v="119"/>
  </r>
  <r>
    <x v="528"/>
    <x v="15"/>
    <x v="1"/>
    <x v="3"/>
    <x v="4"/>
    <x v="0"/>
    <x v="10"/>
    <x v="0"/>
    <x v="2"/>
    <x v="259"/>
    <x v="466"/>
    <x v="2"/>
    <x v="2"/>
    <x v="185"/>
    <x v="2"/>
    <x v="1"/>
    <x v="2"/>
    <x v="119"/>
    <x v="1"/>
    <x v="2"/>
    <x v="0"/>
    <x v="24"/>
    <x v="295"/>
    <x v="24"/>
    <x v="92"/>
    <x v="91"/>
  </r>
  <r>
    <x v="529"/>
    <x v="50"/>
    <x v="1"/>
    <x v="2"/>
    <x v="3"/>
    <x v="0"/>
    <x v="0"/>
    <x v="1"/>
    <x v="3"/>
    <x v="444"/>
    <x v="467"/>
    <x v="3"/>
    <x v="4"/>
    <x v="123"/>
    <x v="3"/>
    <x v="2"/>
    <x v="1"/>
    <x v="128"/>
    <x v="1"/>
    <x v="4"/>
    <x v="0"/>
    <x v="120"/>
    <x v="26"/>
    <x v="9"/>
    <x v="28"/>
    <x v="54"/>
  </r>
  <r>
    <x v="530"/>
    <x v="40"/>
    <x v="0"/>
    <x v="3"/>
    <x v="1"/>
    <x v="3"/>
    <x v="15"/>
    <x v="0"/>
    <x v="1"/>
    <x v="445"/>
    <x v="468"/>
    <x v="1"/>
    <x v="1"/>
    <x v="37"/>
    <x v="1"/>
    <x v="0"/>
    <x v="2"/>
    <x v="84"/>
    <x v="0"/>
    <x v="1"/>
    <x v="1"/>
    <x v="259"/>
    <x v="218"/>
    <x v="70"/>
    <x v="132"/>
    <x v="123"/>
  </r>
  <r>
    <x v="531"/>
    <x v="54"/>
    <x v="2"/>
    <x v="2"/>
    <x v="2"/>
    <x v="0"/>
    <x v="10"/>
    <x v="2"/>
    <x v="0"/>
    <x v="446"/>
    <x v="469"/>
    <x v="1"/>
    <x v="3"/>
    <x v="92"/>
    <x v="1"/>
    <x v="0"/>
    <x v="2"/>
    <x v="102"/>
    <x v="0"/>
    <x v="4"/>
    <x v="0"/>
    <x v="137"/>
    <x v="88"/>
    <x v="32"/>
    <x v="138"/>
    <x v="95"/>
  </r>
  <r>
    <x v="532"/>
    <x v="60"/>
    <x v="0"/>
    <x v="3"/>
    <x v="1"/>
    <x v="0"/>
    <x v="12"/>
    <x v="3"/>
    <x v="1"/>
    <x v="447"/>
    <x v="258"/>
    <x v="0"/>
    <x v="0"/>
    <x v="108"/>
    <x v="0"/>
    <x v="2"/>
    <x v="4"/>
    <x v="109"/>
    <x v="1"/>
    <x v="4"/>
    <x v="0"/>
    <x v="304"/>
    <x v="169"/>
    <x v="54"/>
    <x v="45"/>
    <x v="98"/>
  </r>
  <r>
    <x v="533"/>
    <x v="1"/>
    <x v="1"/>
    <x v="1"/>
    <x v="0"/>
    <x v="1"/>
    <x v="7"/>
    <x v="2"/>
    <x v="0"/>
    <x v="239"/>
    <x v="427"/>
    <x v="0"/>
    <x v="0"/>
    <x v="118"/>
    <x v="0"/>
    <x v="1"/>
    <x v="4"/>
    <x v="113"/>
    <x v="1"/>
    <x v="1"/>
    <x v="1"/>
    <x v="305"/>
    <x v="296"/>
    <x v="75"/>
    <x v="171"/>
    <x v="28"/>
  </r>
  <r>
    <x v="534"/>
    <x v="24"/>
    <x v="0"/>
    <x v="2"/>
    <x v="1"/>
    <x v="3"/>
    <x v="18"/>
    <x v="0"/>
    <x v="0"/>
    <x v="448"/>
    <x v="332"/>
    <x v="1"/>
    <x v="0"/>
    <x v="83"/>
    <x v="1"/>
    <x v="1"/>
    <x v="1"/>
    <x v="95"/>
    <x v="1"/>
    <x v="2"/>
    <x v="0"/>
    <x v="306"/>
    <x v="215"/>
    <x v="26"/>
    <x v="168"/>
    <x v="119"/>
  </r>
  <r>
    <x v="535"/>
    <x v="28"/>
    <x v="2"/>
    <x v="3"/>
    <x v="0"/>
    <x v="0"/>
    <x v="15"/>
    <x v="2"/>
    <x v="3"/>
    <x v="130"/>
    <x v="470"/>
    <x v="2"/>
    <x v="1"/>
    <x v="145"/>
    <x v="2"/>
    <x v="1"/>
    <x v="0"/>
    <x v="50"/>
    <x v="1"/>
    <x v="1"/>
    <x v="1"/>
    <x v="23"/>
    <x v="84"/>
    <x v="37"/>
    <x v="115"/>
    <x v="0"/>
  </r>
  <r>
    <x v="536"/>
    <x v="30"/>
    <x v="1"/>
    <x v="2"/>
    <x v="3"/>
    <x v="4"/>
    <x v="19"/>
    <x v="0"/>
    <x v="1"/>
    <x v="449"/>
    <x v="471"/>
    <x v="2"/>
    <x v="1"/>
    <x v="186"/>
    <x v="2"/>
    <x v="1"/>
    <x v="0"/>
    <x v="43"/>
    <x v="1"/>
    <x v="2"/>
    <x v="0"/>
    <x v="52"/>
    <x v="297"/>
    <x v="0"/>
    <x v="81"/>
    <x v="125"/>
  </r>
  <r>
    <x v="537"/>
    <x v="14"/>
    <x v="2"/>
    <x v="1"/>
    <x v="3"/>
    <x v="0"/>
    <x v="7"/>
    <x v="1"/>
    <x v="2"/>
    <x v="450"/>
    <x v="330"/>
    <x v="0"/>
    <x v="4"/>
    <x v="66"/>
    <x v="0"/>
    <x v="2"/>
    <x v="0"/>
    <x v="28"/>
    <x v="1"/>
    <x v="4"/>
    <x v="1"/>
    <x v="191"/>
    <x v="298"/>
    <x v="74"/>
    <x v="72"/>
    <x v="40"/>
  </r>
  <r>
    <x v="538"/>
    <x v="33"/>
    <x v="0"/>
    <x v="2"/>
    <x v="2"/>
    <x v="2"/>
    <x v="19"/>
    <x v="0"/>
    <x v="1"/>
    <x v="451"/>
    <x v="472"/>
    <x v="2"/>
    <x v="4"/>
    <x v="92"/>
    <x v="2"/>
    <x v="1"/>
    <x v="2"/>
    <x v="57"/>
    <x v="1"/>
    <x v="2"/>
    <x v="0"/>
    <x v="189"/>
    <x v="63"/>
    <x v="78"/>
    <x v="16"/>
    <x v="10"/>
  </r>
  <r>
    <x v="539"/>
    <x v="66"/>
    <x v="0"/>
    <x v="0"/>
    <x v="0"/>
    <x v="0"/>
    <x v="15"/>
    <x v="0"/>
    <x v="1"/>
    <x v="452"/>
    <x v="473"/>
    <x v="2"/>
    <x v="4"/>
    <x v="57"/>
    <x v="2"/>
    <x v="1"/>
    <x v="0"/>
    <x v="131"/>
    <x v="1"/>
    <x v="1"/>
    <x v="1"/>
    <x v="288"/>
    <x v="47"/>
    <x v="37"/>
    <x v="63"/>
    <x v="124"/>
  </r>
  <r>
    <x v="540"/>
    <x v="2"/>
    <x v="0"/>
    <x v="0"/>
    <x v="2"/>
    <x v="0"/>
    <x v="13"/>
    <x v="2"/>
    <x v="1"/>
    <x v="453"/>
    <x v="73"/>
    <x v="0"/>
    <x v="3"/>
    <x v="32"/>
    <x v="0"/>
    <x v="2"/>
    <x v="4"/>
    <x v="125"/>
    <x v="1"/>
    <x v="2"/>
    <x v="1"/>
    <x v="247"/>
    <x v="181"/>
    <x v="63"/>
    <x v="60"/>
    <x v="134"/>
  </r>
  <r>
    <x v="541"/>
    <x v="0"/>
    <x v="2"/>
    <x v="0"/>
    <x v="0"/>
    <x v="3"/>
    <x v="0"/>
    <x v="1"/>
    <x v="1"/>
    <x v="454"/>
    <x v="474"/>
    <x v="3"/>
    <x v="0"/>
    <x v="42"/>
    <x v="3"/>
    <x v="2"/>
    <x v="1"/>
    <x v="81"/>
    <x v="1"/>
    <x v="1"/>
    <x v="1"/>
    <x v="221"/>
    <x v="132"/>
    <x v="20"/>
    <x v="44"/>
    <x v="166"/>
  </r>
  <r>
    <x v="542"/>
    <x v="65"/>
    <x v="1"/>
    <x v="4"/>
    <x v="2"/>
    <x v="3"/>
    <x v="0"/>
    <x v="3"/>
    <x v="0"/>
    <x v="148"/>
    <x v="250"/>
    <x v="3"/>
    <x v="4"/>
    <x v="71"/>
    <x v="3"/>
    <x v="1"/>
    <x v="0"/>
    <x v="72"/>
    <x v="1"/>
    <x v="4"/>
    <x v="0"/>
    <x v="244"/>
    <x v="71"/>
    <x v="17"/>
    <x v="52"/>
    <x v="37"/>
  </r>
  <r>
    <x v="543"/>
    <x v="28"/>
    <x v="2"/>
    <x v="3"/>
    <x v="1"/>
    <x v="0"/>
    <x v="4"/>
    <x v="0"/>
    <x v="2"/>
    <x v="455"/>
    <x v="124"/>
    <x v="1"/>
    <x v="2"/>
    <x v="183"/>
    <x v="1"/>
    <x v="2"/>
    <x v="3"/>
    <x v="132"/>
    <x v="1"/>
    <x v="2"/>
    <x v="1"/>
    <x v="49"/>
    <x v="299"/>
    <x v="85"/>
    <x v="169"/>
    <x v="70"/>
  </r>
  <r>
    <x v="544"/>
    <x v="57"/>
    <x v="1"/>
    <x v="0"/>
    <x v="1"/>
    <x v="0"/>
    <x v="5"/>
    <x v="0"/>
    <x v="2"/>
    <x v="264"/>
    <x v="475"/>
    <x v="2"/>
    <x v="0"/>
    <x v="53"/>
    <x v="2"/>
    <x v="0"/>
    <x v="0"/>
    <x v="116"/>
    <x v="0"/>
    <x v="1"/>
    <x v="0"/>
    <x v="14"/>
    <x v="288"/>
    <x v="87"/>
    <x v="12"/>
    <x v="35"/>
  </r>
  <r>
    <x v="545"/>
    <x v="43"/>
    <x v="0"/>
    <x v="3"/>
    <x v="3"/>
    <x v="4"/>
    <x v="11"/>
    <x v="1"/>
    <x v="1"/>
    <x v="456"/>
    <x v="476"/>
    <x v="3"/>
    <x v="0"/>
    <x v="94"/>
    <x v="3"/>
    <x v="1"/>
    <x v="2"/>
    <x v="52"/>
    <x v="1"/>
    <x v="4"/>
    <x v="1"/>
    <x v="28"/>
    <x v="133"/>
    <x v="74"/>
    <x v="62"/>
    <x v="61"/>
  </r>
  <r>
    <x v="546"/>
    <x v="61"/>
    <x v="0"/>
    <x v="2"/>
    <x v="0"/>
    <x v="2"/>
    <x v="17"/>
    <x v="1"/>
    <x v="0"/>
    <x v="457"/>
    <x v="477"/>
    <x v="0"/>
    <x v="2"/>
    <x v="21"/>
    <x v="0"/>
    <x v="1"/>
    <x v="3"/>
    <x v="100"/>
    <x v="1"/>
    <x v="4"/>
    <x v="0"/>
    <x v="10"/>
    <x v="300"/>
    <x v="7"/>
    <x v="5"/>
    <x v="149"/>
  </r>
  <r>
    <x v="547"/>
    <x v="16"/>
    <x v="2"/>
    <x v="3"/>
    <x v="3"/>
    <x v="2"/>
    <x v="0"/>
    <x v="1"/>
    <x v="2"/>
    <x v="458"/>
    <x v="417"/>
    <x v="1"/>
    <x v="0"/>
    <x v="101"/>
    <x v="1"/>
    <x v="0"/>
    <x v="3"/>
    <x v="110"/>
    <x v="0"/>
    <x v="4"/>
    <x v="1"/>
    <x v="143"/>
    <x v="107"/>
    <x v="78"/>
    <x v="122"/>
    <x v="167"/>
  </r>
  <r>
    <x v="548"/>
    <x v="36"/>
    <x v="0"/>
    <x v="3"/>
    <x v="1"/>
    <x v="3"/>
    <x v="6"/>
    <x v="2"/>
    <x v="3"/>
    <x v="459"/>
    <x v="478"/>
    <x v="1"/>
    <x v="4"/>
    <x v="85"/>
    <x v="1"/>
    <x v="2"/>
    <x v="4"/>
    <x v="60"/>
    <x v="1"/>
    <x v="3"/>
    <x v="1"/>
    <x v="64"/>
    <x v="147"/>
    <x v="34"/>
    <x v="52"/>
    <x v="157"/>
  </r>
  <r>
    <x v="549"/>
    <x v="22"/>
    <x v="1"/>
    <x v="2"/>
    <x v="1"/>
    <x v="0"/>
    <x v="9"/>
    <x v="3"/>
    <x v="2"/>
    <x v="45"/>
    <x v="273"/>
    <x v="1"/>
    <x v="4"/>
    <x v="118"/>
    <x v="1"/>
    <x v="0"/>
    <x v="0"/>
    <x v="66"/>
    <x v="0"/>
    <x v="1"/>
    <x v="1"/>
    <x v="33"/>
    <x v="279"/>
    <x v="68"/>
    <x v="73"/>
    <x v="55"/>
  </r>
  <r>
    <x v="550"/>
    <x v="58"/>
    <x v="2"/>
    <x v="2"/>
    <x v="2"/>
    <x v="2"/>
    <x v="6"/>
    <x v="0"/>
    <x v="3"/>
    <x v="460"/>
    <x v="479"/>
    <x v="0"/>
    <x v="3"/>
    <x v="157"/>
    <x v="0"/>
    <x v="0"/>
    <x v="2"/>
    <x v="37"/>
    <x v="0"/>
    <x v="0"/>
    <x v="0"/>
    <x v="39"/>
    <x v="222"/>
    <x v="25"/>
    <x v="71"/>
    <x v="52"/>
  </r>
  <r>
    <x v="551"/>
    <x v="16"/>
    <x v="2"/>
    <x v="2"/>
    <x v="3"/>
    <x v="3"/>
    <x v="7"/>
    <x v="2"/>
    <x v="2"/>
    <x v="461"/>
    <x v="480"/>
    <x v="2"/>
    <x v="4"/>
    <x v="11"/>
    <x v="2"/>
    <x v="0"/>
    <x v="4"/>
    <x v="6"/>
    <x v="0"/>
    <x v="4"/>
    <x v="0"/>
    <x v="187"/>
    <x v="93"/>
    <x v="22"/>
    <x v="64"/>
    <x v="14"/>
  </r>
  <r>
    <x v="552"/>
    <x v="0"/>
    <x v="2"/>
    <x v="3"/>
    <x v="4"/>
    <x v="0"/>
    <x v="8"/>
    <x v="1"/>
    <x v="2"/>
    <x v="462"/>
    <x v="481"/>
    <x v="2"/>
    <x v="3"/>
    <x v="108"/>
    <x v="2"/>
    <x v="1"/>
    <x v="4"/>
    <x v="54"/>
    <x v="1"/>
    <x v="2"/>
    <x v="1"/>
    <x v="74"/>
    <x v="150"/>
    <x v="62"/>
    <x v="12"/>
    <x v="133"/>
  </r>
  <r>
    <x v="553"/>
    <x v="27"/>
    <x v="0"/>
    <x v="3"/>
    <x v="0"/>
    <x v="1"/>
    <x v="7"/>
    <x v="0"/>
    <x v="3"/>
    <x v="463"/>
    <x v="234"/>
    <x v="0"/>
    <x v="4"/>
    <x v="187"/>
    <x v="0"/>
    <x v="2"/>
    <x v="4"/>
    <x v="31"/>
    <x v="1"/>
    <x v="4"/>
    <x v="1"/>
    <x v="307"/>
    <x v="273"/>
    <x v="10"/>
    <x v="84"/>
    <x v="17"/>
  </r>
  <r>
    <x v="554"/>
    <x v="22"/>
    <x v="2"/>
    <x v="4"/>
    <x v="4"/>
    <x v="1"/>
    <x v="7"/>
    <x v="1"/>
    <x v="3"/>
    <x v="464"/>
    <x v="482"/>
    <x v="0"/>
    <x v="2"/>
    <x v="165"/>
    <x v="0"/>
    <x v="0"/>
    <x v="1"/>
    <x v="8"/>
    <x v="0"/>
    <x v="3"/>
    <x v="0"/>
    <x v="199"/>
    <x v="202"/>
    <x v="39"/>
    <x v="26"/>
    <x v="161"/>
  </r>
  <r>
    <x v="555"/>
    <x v="25"/>
    <x v="2"/>
    <x v="1"/>
    <x v="1"/>
    <x v="0"/>
    <x v="17"/>
    <x v="1"/>
    <x v="3"/>
    <x v="161"/>
    <x v="479"/>
    <x v="1"/>
    <x v="0"/>
    <x v="102"/>
    <x v="1"/>
    <x v="0"/>
    <x v="2"/>
    <x v="42"/>
    <x v="0"/>
    <x v="0"/>
    <x v="1"/>
    <x v="219"/>
    <x v="175"/>
    <x v="16"/>
    <x v="46"/>
    <x v="133"/>
  </r>
  <r>
    <x v="556"/>
    <x v="50"/>
    <x v="1"/>
    <x v="2"/>
    <x v="3"/>
    <x v="3"/>
    <x v="1"/>
    <x v="3"/>
    <x v="0"/>
    <x v="461"/>
    <x v="483"/>
    <x v="3"/>
    <x v="1"/>
    <x v="170"/>
    <x v="3"/>
    <x v="2"/>
    <x v="4"/>
    <x v="110"/>
    <x v="1"/>
    <x v="2"/>
    <x v="0"/>
    <x v="308"/>
    <x v="139"/>
    <x v="77"/>
    <x v="130"/>
    <x v="151"/>
  </r>
  <r>
    <x v="557"/>
    <x v="33"/>
    <x v="1"/>
    <x v="4"/>
    <x v="1"/>
    <x v="4"/>
    <x v="2"/>
    <x v="3"/>
    <x v="2"/>
    <x v="465"/>
    <x v="484"/>
    <x v="1"/>
    <x v="2"/>
    <x v="60"/>
    <x v="1"/>
    <x v="0"/>
    <x v="0"/>
    <x v="133"/>
    <x v="0"/>
    <x v="2"/>
    <x v="0"/>
    <x v="110"/>
    <x v="301"/>
    <x v="33"/>
    <x v="58"/>
    <x v="58"/>
  </r>
  <r>
    <x v="558"/>
    <x v="31"/>
    <x v="1"/>
    <x v="4"/>
    <x v="2"/>
    <x v="0"/>
    <x v="13"/>
    <x v="1"/>
    <x v="3"/>
    <x v="466"/>
    <x v="485"/>
    <x v="0"/>
    <x v="4"/>
    <x v="6"/>
    <x v="0"/>
    <x v="0"/>
    <x v="2"/>
    <x v="71"/>
    <x v="0"/>
    <x v="0"/>
    <x v="0"/>
    <x v="65"/>
    <x v="177"/>
    <x v="88"/>
    <x v="145"/>
    <x v="164"/>
  </r>
  <r>
    <x v="559"/>
    <x v="1"/>
    <x v="1"/>
    <x v="2"/>
    <x v="3"/>
    <x v="0"/>
    <x v="15"/>
    <x v="1"/>
    <x v="0"/>
    <x v="467"/>
    <x v="486"/>
    <x v="0"/>
    <x v="0"/>
    <x v="150"/>
    <x v="0"/>
    <x v="2"/>
    <x v="2"/>
    <x v="115"/>
    <x v="1"/>
    <x v="0"/>
    <x v="1"/>
    <x v="65"/>
    <x v="164"/>
    <x v="27"/>
    <x v="127"/>
    <x v="76"/>
  </r>
  <r>
    <x v="560"/>
    <x v="60"/>
    <x v="1"/>
    <x v="2"/>
    <x v="4"/>
    <x v="0"/>
    <x v="15"/>
    <x v="0"/>
    <x v="3"/>
    <x v="468"/>
    <x v="487"/>
    <x v="2"/>
    <x v="2"/>
    <x v="55"/>
    <x v="2"/>
    <x v="2"/>
    <x v="0"/>
    <x v="128"/>
    <x v="1"/>
    <x v="2"/>
    <x v="1"/>
    <x v="282"/>
    <x v="302"/>
    <x v="10"/>
    <x v="101"/>
    <x v="116"/>
  </r>
  <r>
    <x v="561"/>
    <x v="26"/>
    <x v="2"/>
    <x v="3"/>
    <x v="2"/>
    <x v="1"/>
    <x v="14"/>
    <x v="3"/>
    <x v="0"/>
    <x v="469"/>
    <x v="329"/>
    <x v="3"/>
    <x v="2"/>
    <x v="21"/>
    <x v="3"/>
    <x v="2"/>
    <x v="2"/>
    <x v="108"/>
    <x v="1"/>
    <x v="1"/>
    <x v="0"/>
    <x v="99"/>
    <x v="160"/>
    <x v="32"/>
    <x v="93"/>
    <x v="151"/>
  </r>
  <r>
    <x v="562"/>
    <x v="21"/>
    <x v="2"/>
    <x v="3"/>
    <x v="3"/>
    <x v="0"/>
    <x v="17"/>
    <x v="1"/>
    <x v="0"/>
    <x v="470"/>
    <x v="55"/>
    <x v="1"/>
    <x v="1"/>
    <x v="55"/>
    <x v="1"/>
    <x v="1"/>
    <x v="0"/>
    <x v="60"/>
    <x v="1"/>
    <x v="1"/>
    <x v="1"/>
    <x v="73"/>
    <x v="303"/>
    <x v="79"/>
    <x v="65"/>
    <x v="116"/>
  </r>
  <r>
    <x v="563"/>
    <x v="25"/>
    <x v="2"/>
    <x v="0"/>
    <x v="2"/>
    <x v="0"/>
    <x v="2"/>
    <x v="0"/>
    <x v="0"/>
    <x v="471"/>
    <x v="488"/>
    <x v="2"/>
    <x v="0"/>
    <x v="72"/>
    <x v="2"/>
    <x v="2"/>
    <x v="4"/>
    <x v="58"/>
    <x v="1"/>
    <x v="4"/>
    <x v="0"/>
    <x v="86"/>
    <x v="223"/>
    <x v="85"/>
    <x v="23"/>
    <x v="6"/>
  </r>
  <r>
    <x v="564"/>
    <x v="41"/>
    <x v="0"/>
    <x v="0"/>
    <x v="2"/>
    <x v="0"/>
    <x v="2"/>
    <x v="0"/>
    <x v="3"/>
    <x v="472"/>
    <x v="489"/>
    <x v="0"/>
    <x v="3"/>
    <x v="91"/>
    <x v="0"/>
    <x v="0"/>
    <x v="0"/>
    <x v="57"/>
    <x v="0"/>
    <x v="4"/>
    <x v="1"/>
    <x v="309"/>
    <x v="172"/>
    <x v="61"/>
    <x v="56"/>
    <x v="107"/>
  </r>
  <r>
    <x v="565"/>
    <x v="21"/>
    <x v="1"/>
    <x v="3"/>
    <x v="2"/>
    <x v="0"/>
    <x v="8"/>
    <x v="0"/>
    <x v="1"/>
    <x v="391"/>
    <x v="490"/>
    <x v="2"/>
    <x v="3"/>
    <x v="188"/>
    <x v="2"/>
    <x v="2"/>
    <x v="3"/>
    <x v="47"/>
    <x v="1"/>
    <x v="3"/>
    <x v="0"/>
    <x v="112"/>
    <x v="216"/>
    <x v="44"/>
    <x v="150"/>
    <x v="63"/>
  </r>
  <r>
    <x v="566"/>
    <x v="8"/>
    <x v="1"/>
    <x v="4"/>
    <x v="2"/>
    <x v="0"/>
    <x v="11"/>
    <x v="2"/>
    <x v="0"/>
    <x v="473"/>
    <x v="491"/>
    <x v="2"/>
    <x v="3"/>
    <x v="71"/>
    <x v="2"/>
    <x v="1"/>
    <x v="3"/>
    <x v="128"/>
    <x v="1"/>
    <x v="2"/>
    <x v="0"/>
    <x v="310"/>
    <x v="246"/>
    <x v="28"/>
    <x v="19"/>
    <x v="82"/>
  </r>
  <r>
    <x v="567"/>
    <x v="9"/>
    <x v="0"/>
    <x v="3"/>
    <x v="1"/>
    <x v="0"/>
    <x v="2"/>
    <x v="2"/>
    <x v="2"/>
    <x v="17"/>
    <x v="280"/>
    <x v="1"/>
    <x v="1"/>
    <x v="129"/>
    <x v="1"/>
    <x v="0"/>
    <x v="2"/>
    <x v="77"/>
    <x v="0"/>
    <x v="1"/>
    <x v="1"/>
    <x v="235"/>
    <x v="240"/>
    <x v="65"/>
    <x v="160"/>
    <x v="86"/>
  </r>
  <r>
    <x v="568"/>
    <x v="61"/>
    <x v="1"/>
    <x v="4"/>
    <x v="0"/>
    <x v="0"/>
    <x v="4"/>
    <x v="3"/>
    <x v="3"/>
    <x v="474"/>
    <x v="492"/>
    <x v="2"/>
    <x v="1"/>
    <x v="153"/>
    <x v="2"/>
    <x v="1"/>
    <x v="3"/>
    <x v="2"/>
    <x v="1"/>
    <x v="4"/>
    <x v="0"/>
    <x v="28"/>
    <x v="162"/>
    <x v="19"/>
    <x v="37"/>
    <x v="72"/>
  </r>
  <r>
    <x v="569"/>
    <x v="34"/>
    <x v="0"/>
    <x v="1"/>
    <x v="3"/>
    <x v="0"/>
    <x v="7"/>
    <x v="2"/>
    <x v="3"/>
    <x v="475"/>
    <x v="493"/>
    <x v="3"/>
    <x v="3"/>
    <x v="185"/>
    <x v="3"/>
    <x v="2"/>
    <x v="0"/>
    <x v="31"/>
    <x v="1"/>
    <x v="0"/>
    <x v="0"/>
    <x v="311"/>
    <x v="69"/>
    <x v="81"/>
    <x v="159"/>
    <x v="62"/>
  </r>
  <r>
    <x v="570"/>
    <x v="27"/>
    <x v="2"/>
    <x v="2"/>
    <x v="2"/>
    <x v="4"/>
    <x v="10"/>
    <x v="0"/>
    <x v="1"/>
    <x v="476"/>
    <x v="494"/>
    <x v="3"/>
    <x v="3"/>
    <x v="111"/>
    <x v="3"/>
    <x v="0"/>
    <x v="0"/>
    <x v="94"/>
    <x v="0"/>
    <x v="1"/>
    <x v="1"/>
    <x v="312"/>
    <x v="37"/>
    <x v="52"/>
    <x v="21"/>
    <x v="30"/>
  </r>
  <r>
    <x v="571"/>
    <x v="20"/>
    <x v="1"/>
    <x v="4"/>
    <x v="0"/>
    <x v="0"/>
    <x v="17"/>
    <x v="3"/>
    <x v="2"/>
    <x v="477"/>
    <x v="495"/>
    <x v="3"/>
    <x v="2"/>
    <x v="94"/>
    <x v="3"/>
    <x v="0"/>
    <x v="2"/>
    <x v="31"/>
    <x v="0"/>
    <x v="2"/>
    <x v="1"/>
    <x v="313"/>
    <x v="91"/>
    <x v="89"/>
    <x v="138"/>
    <x v="103"/>
  </r>
  <r>
    <x v="572"/>
    <x v="44"/>
    <x v="2"/>
    <x v="4"/>
    <x v="1"/>
    <x v="0"/>
    <x v="8"/>
    <x v="2"/>
    <x v="1"/>
    <x v="478"/>
    <x v="398"/>
    <x v="3"/>
    <x v="4"/>
    <x v="77"/>
    <x v="3"/>
    <x v="2"/>
    <x v="0"/>
    <x v="20"/>
    <x v="1"/>
    <x v="1"/>
    <x v="1"/>
    <x v="50"/>
    <x v="266"/>
    <x v="86"/>
    <x v="27"/>
    <x v="128"/>
  </r>
  <r>
    <x v="573"/>
    <x v="58"/>
    <x v="1"/>
    <x v="4"/>
    <x v="4"/>
    <x v="4"/>
    <x v="1"/>
    <x v="0"/>
    <x v="0"/>
    <x v="479"/>
    <x v="496"/>
    <x v="1"/>
    <x v="1"/>
    <x v="9"/>
    <x v="1"/>
    <x v="2"/>
    <x v="3"/>
    <x v="127"/>
    <x v="1"/>
    <x v="1"/>
    <x v="0"/>
    <x v="118"/>
    <x v="304"/>
    <x v="58"/>
    <x v="32"/>
    <x v="90"/>
  </r>
  <r>
    <x v="574"/>
    <x v="23"/>
    <x v="1"/>
    <x v="2"/>
    <x v="0"/>
    <x v="3"/>
    <x v="9"/>
    <x v="0"/>
    <x v="1"/>
    <x v="480"/>
    <x v="427"/>
    <x v="3"/>
    <x v="4"/>
    <x v="117"/>
    <x v="3"/>
    <x v="2"/>
    <x v="2"/>
    <x v="99"/>
    <x v="1"/>
    <x v="3"/>
    <x v="0"/>
    <x v="314"/>
    <x v="40"/>
    <x v="58"/>
    <x v="116"/>
    <x v="74"/>
  </r>
  <r>
    <x v="575"/>
    <x v="61"/>
    <x v="2"/>
    <x v="1"/>
    <x v="3"/>
    <x v="4"/>
    <x v="16"/>
    <x v="1"/>
    <x v="2"/>
    <x v="8"/>
    <x v="497"/>
    <x v="0"/>
    <x v="0"/>
    <x v="117"/>
    <x v="0"/>
    <x v="2"/>
    <x v="3"/>
    <x v="105"/>
    <x v="1"/>
    <x v="3"/>
    <x v="1"/>
    <x v="200"/>
    <x v="305"/>
    <x v="63"/>
    <x v="20"/>
    <x v="157"/>
  </r>
  <r>
    <x v="576"/>
    <x v="51"/>
    <x v="0"/>
    <x v="0"/>
    <x v="1"/>
    <x v="0"/>
    <x v="8"/>
    <x v="1"/>
    <x v="0"/>
    <x v="308"/>
    <x v="498"/>
    <x v="2"/>
    <x v="3"/>
    <x v="109"/>
    <x v="2"/>
    <x v="0"/>
    <x v="2"/>
    <x v="31"/>
    <x v="0"/>
    <x v="4"/>
    <x v="0"/>
    <x v="120"/>
    <x v="182"/>
    <x v="11"/>
    <x v="66"/>
    <x v="41"/>
  </r>
  <r>
    <x v="577"/>
    <x v="32"/>
    <x v="0"/>
    <x v="4"/>
    <x v="3"/>
    <x v="1"/>
    <x v="9"/>
    <x v="0"/>
    <x v="1"/>
    <x v="310"/>
    <x v="499"/>
    <x v="3"/>
    <x v="2"/>
    <x v="30"/>
    <x v="3"/>
    <x v="2"/>
    <x v="2"/>
    <x v="45"/>
    <x v="1"/>
    <x v="1"/>
    <x v="0"/>
    <x v="175"/>
    <x v="133"/>
    <x v="10"/>
    <x v="25"/>
    <x v="104"/>
  </r>
  <r>
    <x v="578"/>
    <x v="45"/>
    <x v="1"/>
    <x v="4"/>
    <x v="3"/>
    <x v="0"/>
    <x v="18"/>
    <x v="3"/>
    <x v="0"/>
    <x v="481"/>
    <x v="500"/>
    <x v="3"/>
    <x v="2"/>
    <x v="89"/>
    <x v="3"/>
    <x v="1"/>
    <x v="2"/>
    <x v="17"/>
    <x v="1"/>
    <x v="4"/>
    <x v="1"/>
    <x v="37"/>
    <x v="34"/>
    <x v="64"/>
    <x v="16"/>
    <x v="115"/>
  </r>
  <r>
    <x v="579"/>
    <x v="45"/>
    <x v="2"/>
    <x v="2"/>
    <x v="0"/>
    <x v="0"/>
    <x v="5"/>
    <x v="1"/>
    <x v="3"/>
    <x v="153"/>
    <x v="501"/>
    <x v="1"/>
    <x v="1"/>
    <x v="117"/>
    <x v="1"/>
    <x v="0"/>
    <x v="4"/>
    <x v="140"/>
    <x v="0"/>
    <x v="0"/>
    <x v="1"/>
    <x v="186"/>
    <x v="306"/>
    <x v="59"/>
    <x v="81"/>
    <x v="34"/>
  </r>
  <r>
    <x v="580"/>
    <x v="11"/>
    <x v="2"/>
    <x v="3"/>
    <x v="0"/>
    <x v="0"/>
    <x v="8"/>
    <x v="0"/>
    <x v="1"/>
    <x v="482"/>
    <x v="502"/>
    <x v="1"/>
    <x v="1"/>
    <x v="162"/>
    <x v="1"/>
    <x v="1"/>
    <x v="1"/>
    <x v="87"/>
    <x v="1"/>
    <x v="2"/>
    <x v="0"/>
    <x v="65"/>
    <x v="153"/>
    <x v="6"/>
    <x v="16"/>
    <x v="18"/>
  </r>
  <r>
    <x v="581"/>
    <x v="13"/>
    <x v="1"/>
    <x v="4"/>
    <x v="4"/>
    <x v="0"/>
    <x v="13"/>
    <x v="2"/>
    <x v="3"/>
    <x v="483"/>
    <x v="503"/>
    <x v="2"/>
    <x v="2"/>
    <x v="7"/>
    <x v="2"/>
    <x v="2"/>
    <x v="1"/>
    <x v="40"/>
    <x v="1"/>
    <x v="1"/>
    <x v="1"/>
    <x v="271"/>
    <x v="229"/>
    <x v="6"/>
    <x v="31"/>
    <x v="15"/>
  </r>
  <r>
    <x v="582"/>
    <x v="31"/>
    <x v="2"/>
    <x v="0"/>
    <x v="3"/>
    <x v="0"/>
    <x v="1"/>
    <x v="3"/>
    <x v="0"/>
    <x v="484"/>
    <x v="504"/>
    <x v="0"/>
    <x v="3"/>
    <x v="36"/>
    <x v="0"/>
    <x v="2"/>
    <x v="0"/>
    <x v="85"/>
    <x v="1"/>
    <x v="1"/>
    <x v="0"/>
    <x v="210"/>
    <x v="118"/>
    <x v="47"/>
    <x v="121"/>
    <x v="107"/>
  </r>
  <r>
    <x v="583"/>
    <x v="26"/>
    <x v="0"/>
    <x v="2"/>
    <x v="4"/>
    <x v="1"/>
    <x v="10"/>
    <x v="2"/>
    <x v="3"/>
    <x v="231"/>
    <x v="505"/>
    <x v="0"/>
    <x v="3"/>
    <x v="67"/>
    <x v="0"/>
    <x v="2"/>
    <x v="4"/>
    <x v="21"/>
    <x v="1"/>
    <x v="3"/>
    <x v="1"/>
    <x v="315"/>
    <x v="49"/>
    <x v="46"/>
    <x v="133"/>
    <x v="94"/>
  </r>
  <r>
    <x v="584"/>
    <x v="50"/>
    <x v="0"/>
    <x v="1"/>
    <x v="3"/>
    <x v="3"/>
    <x v="9"/>
    <x v="3"/>
    <x v="0"/>
    <x v="485"/>
    <x v="506"/>
    <x v="0"/>
    <x v="2"/>
    <x v="134"/>
    <x v="0"/>
    <x v="2"/>
    <x v="3"/>
    <x v="25"/>
    <x v="1"/>
    <x v="1"/>
    <x v="1"/>
    <x v="209"/>
    <x v="307"/>
    <x v="61"/>
    <x v="25"/>
    <x v="161"/>
  </r>
  <r>
    <x v="585"/>
    <x v="66"/>
    <x v="2"/>
    <x v="4"/>
    <x v="3"/>
    <x v="0"/>
    <x v="9"/>
    <x v="2"/>
    <x v="2"/>
    <x v="486"/>
    <x v="507"/>
    <x v="1"/>
    <x v="1"/>
    <x v="137"/>
    <x v="1"/>
    <x v="1"/>
    <x v="1"/>
    <x v="4"/>
    <x v="1"/>
    <x v="1"/>
    <x v="1"/>
    <x v="310"/>
    <x v="209"/>
    <x v="35"/>
    <x v="2"/>
    <x v="154"/>
  </r>
  <r>
    <x v="586"/>
    <x v="53"/>
    <x v="1"/>
    <x v="1"/>
    <x v="4"/>
    <x v="4"/>
    <x v="0"/>
    <x v="3"/>
    <x v="1"/>
    <x v="487"/>
    <x v="508"/>
    <x v="2"/>
    <x v="0"/>
    <x v="52"/>
    <x v="2"/>
    <x v="0"/>
    <x v="3"/>
    <x v="31"/>
    <x v="0"/>
    <x v="1"/>
    <x v="0"/>
    <x v="107"/>
    <x v="308"/>
    <x v="65"/>
    <x v="124"/>
    <x v="78"/>
  </r>
  <r>
    <x v="587"/>
    <x v="4"/>
    <x v="2"/>
    <x v="0"/>
    <x v="2"/>
    <x v="5"/>
    <x v="2"/>
    <x v="1"/>
    <x v="0"/>
    <x v="488"/>
    <x v="509"/>
    <x v="3"/>
    <x v="2"/>
    <x v="30"/>
    <x v="3"/>
    <x v="2"/>
    <x v="3"/>
    <x v="129"/>
    <x v="1"/>
    <x v="1"/>
    <x v="1"/>
    <x v="246"/>
    <x v="52"/>
    <x v="80"/>
    <x v="91"/>
    <x v="29"/>
  </r>
  <r>
    <x v="588"/>
    <x v="45"/>
    <x v="2"/>
    <x v="1"/>
    <x v="3"/>
    <x v="4"/>
    <x v="3"/>
    <x v="0"/>
    <x v="3"/>
    <x v="489"/>
    <x v="195"/>
    <x v="2"/>
    <x v="0"/>
    <x v="144"/>
    <x v="2"/>
    <x v="2"/>
    <x v="1"/>
    <x v="17"/>
    <x v="1"/>
    <x v="4"/>
    <x v="0"/>
    <x v="316"/>
    <x v="137"/>
    <x v="22"/>
    <x v="117"/>
    <x v="131"/>
  </r>
  <r>
    <x v="589"/>
    <x v="6"/>
    <x v="2"/>
    <x v="2"/>
    <x v="3"/>
    <x v="0"/>
    <x v="6"/>
    <x v="1"/>
    <x v="0"/>
    <x v="490"/>
    <x v="510"/>
    <x v="0"/>
    <x v="1"/>
    <x v="141"/>
    <x v="0"/>
    <x v="1"/>
    <x v="0"/>
    <x v="38"/>
    <x v="1"/>
    <x v="1"/>
    <x v="1"/>
    <x v="137"/>
    <x v="167"/>
    <x v="79"/>
    <x v="160"/>
    <x v="139"/>
  </r>
  <r>
    <x v="590"/>
    <x v="66"/>
    <x v="1"/>
    <x v="3"/>
    <x v="2"/>
    <x v="1"/>
    <x v="6"/>
    <x v="2"/>
    <x v="2"/>
    <x v="491"/>
    <x v="511"/>
    <x v="1"/>
    <x v="3"/>
    <x v="189"/>
    <x v="1"/>
    <x v="1"/>
    <x v="4"/>
    <x v="16"/>
    <x v="1"/>
    <x v="0"/>
    <x v="1"/>
    <x v="148"/>
    <x v="274"/>
    <x v="23"/>
    <x v="93"/>
    <x v="128"/>
  </r>
  <r>
    <x v="591"/>
    <x v="42"/>
    <x v="1"/>
    <x v="2"/>
    <x v="0"/>
    <x v="0"/>
    <x v="18"/>
    <x v="3"/>
    <x v="1"/>
    <x v="13"/>
    <x v="512"/>
    <x v="1"/>
    <x v="4"/>
    <x v="181"/>
    <x v="1"/>
    <x v="0"/>
    <x v="1"/>
    <x v="140"/>
    <x v="0"/>
    <x v="2"/>
    <x v="0"/>
    <x v="145"/>
    <x v="279"/>
    <x v="86"/>
    <x v="52"/>
    <x v="129"/>
  </r>
  <r>
    <x v="592"/>
    <x v="17"/>
    <x v="2"/>
    <x v="1"/>
    <x v="1"/>
    <x v="0"/>
    <x v="4"/>
    <x v="2"/>
    <x v="2"/>
    <x v="75"/>
    <x v="513"/>
    <x v="1"/>
    <x v="1"/>
    <x v="46"/>
    <x v="1"/>
    <x v="0"/>
    <x v="3"/>
    <x v="107"/>
    <x v="0"/>
    <x v="3"/>
    <x v="0"/>
    <x v="81"/>
    <x v="68"/>
    <x v="19"/>
    <x v="110"/>
    <x v="120"/>
  </r>
  <r>
    <x v="593"/>
    <x v="11"/>
    <x v="1"/>
    <x v="2"/>
    <x v="2"/>
    <x v="0"/>
    <x v="16"/>
    <x v="2"/>
    <x v="2"/>
    <x v="492"/>
    <x v="514"/>
    <x v="2"/>
    <x v="1"/>
    <x v="139"/>
    <x v="2"/>
    <x v="2"/>
    <x v="1"/>
    <x v="27"/>
    <x v="1"/>
    <x v="4"/>
    <x v="0"/>
    <x v="12"/>
    <x v="250"/>
    <x v="9"/>
    <x v="131"/>
    <x v="67"/>
  </r>
  <r>
    <x v="594"/>
    <x v="44"/>
    <x v="0"/>
    <x v="4"/>
    <x v="3"/>
    <x v="3"/>
    <x v="1"/>
    <x v="2"/>
    <x v="0"/>
    <x v="493"/>
    <x v="515"/>
    <x v="3"/>
    <x v="0"/>
    <x v="17"/>
    <x v="3"/>
    <x v="0"/>
    <x v="1"/>
    <x v="49"/>
    <x v="0"/>
    <x v="1"/>
    <x v="1"/>
    <x v="27"/>
    <x v="120"/>
    <x v="25"/>
    <x v="157"/>
    <x v="161"/>
  </r>
  <r>
    <x v="595"/>
    <x v="52"/>
    <x v="0"/>
    <x v="2"/>
    <x v="0"/>
    <x v="0"/>
    <x v="16"/>
    <x v="3"/>
    <x v="2"/>
    <x v="494"/>
    <x v="516"/>
    <x v="2"/>
    <x v="2"/>
    <x v="112"/>
    <x v="2"/>
    <x v="0"/>
    <x v="1"/>
    <x v="109"/>
    <x v="0"/>
    <x v="1"/>
    <x v="0"/>
    <x v="60"/>
    <x v="192"/>
    <x v="36"/>
    <x v="141"/>
    <x v="59"/>
  </r>
  <r>
    <x v="596"/>
    <x v="56"/>
    <x v="2"/>
    <x v="4"/>
    <x v="2"/>
    <x v="5"/>
    <x v="16"/>
    <x v="3"/>
    <x v="1"/>
    <x v="495"/>
    <x v="517"/>
    <x v="2"/>
    <x v="0"/>
    <x v="158"/>
    <x v="2"/>
    <x v="0"/>
    <x v="0"/>
    <x v="23"/>
    <x v="0"/>
    <x v="0"/>
    <x v="0"/>
    <x v="32"/>
    <x v="36"/>
    <x v="5"/>
    <x v="54"/>
    <x v="93"/>
  </r>
  <r>
    <x v="597"/>
    <x v="10"/>
    <x v="2"/>
    <x v="0"/>
    <x v="2"/>
    <x v="1"/>
    <x v="0"/>
    <x v="1"/>
    <x v="3"/>
    <x v="496"/>
    <x v="518"/>
    <x v="3"/>
    <x v="3"/>
    <x v="100"/>
    <x v="3"/>
    <x v="2"/>
    <x v="2"/>
    <x v="125"/>
    <x v="1"/>
    <x v="4"/>
    <x v="1"/>
    <x v="227"/>
    <x v="309"/>
    <x v="56"/>
    <x v="107"/>
    <x v="49"/>
  </r>
  <r>
    <x v="598"/>
    <x v="50"/>
    <x v="1"/>
    <x v="3"/>
    <x v="3"/>
    <x v="2"/>
    <x v="11"/>
    <x v="0"/>
    <x v="3"/>
    <x v="497"/>
    <x v="519"/>
    <x v="2"/>
    <x v="1"/>
    <x v="14"/>
    <x v="2"/>
    <x v="1"/>
    <x v="2"/>
    <x v="134"/>
    <x v="1"/>
    <x v="1"/>
    <x v="1"/>
    <x v="192"/>
    <x v="300"/>
    <x v="37"/>
    <x v="130"/>
    <x v="103"/>
  </r>
  <r>
    <x v="599"/>
    <x v="17"/>
    <x v="0"/>
    <x v="3"/>
    <x v="4"/>
    <x v="0"/>
    <x v="0"/>
    <x v="1"/>
    <x v="1"/>
    <x v="498"/>
    <x v="520"/>
    <x v="1"/>
    <x v="2"/>
    <x v="77"/>
    <x v="1"/>
    <x v="0"/>
    <x v="3"/>
    <x v="117"/>
    <x v="0"/>
    <x v="3"/>
    <x v="0"/>
    <x v="265"/>
    <x v="95"/>
    <x v="64"/>
    <x v="19"/>
    <x v="70"/>
  </r>
  <r>
    <x v="600"/>
    <x v="1"/>
    <x v="2"/>
    <x v="2"/>
    <x v="1"/>
    <x v="0"/>
    <x v="19"/>
    <x v="0"/>
    <x v="1"/>
    <x v="499"/>
    <x v="48"/>
    <x v="1"/>
    <x v="2"/>
    <x v="57"/>
    <x v="1"/>
    <x v="0"/>
    <x v="3"/>
    <x v="75"/>
    <x v="0"/>
    <x v="1"/>
    <x v="0"/>
    <x v="269"/>
    <x v="216"/>
    <x v="6"/>
    <x v="61"/>
    <x v="115"/>
  </r>
  <r>
    <x v="601"/>
    <x v="31"/>
    <x v="0"/>
    <x v="2"/>
    <x v="3"/>
    <x v="3"/>
    <x v="5"/>
    <x v="3"/>
    <x v="2"/>
    <x v="93"/>
    <x v="521"/>
    <x v="0"/>
    <x v="3"/>
    <x v="181"/>
    <x v="0"/>
    <x v="0"/>
    <x v="2"/>
    <x v="91"/>
    <x v="0"/>
    <x v="3"/>
    <x v="0"/>
    <x v="317"/>
    <x v="122"/>
    <x v="31"/>
    <x v="95"/>
    <x v="32"/>
  </r>
  <r>
    <x v="602"/>
    <x v="50"/>
    <x v="1"/>
    <x v="4"/>
    <x v="0"/>
    <x v="0"/>
    <x v="5"/>
    <x v="1"/>
    <x v="1"/>
    <x v="500"/>
    <x v="522"/>
    <x v="1"/>
    <x v="4"/>
    <x v="38"/>
    <x v="1"/>
    <x v="2"/>
    <x v="4"/>
    <x v="35"/>
    <x v="1"/>
    <x v="2"/>
    <x v="1"/>
    <x v="88"/>
    <x v="172"/>
    <x v="84"/>
    <x v="115"/>
    <x v="144"/>
  </r>
  <r>
    <x v="603"/>
    <x v="14"/>
    <x v="1"/>
    <x v="0"/>
    <x v="2"/>
    <x v="0"/>
    <x v="17"/>
    <x v="1"/>
    <x v="3"/>
    <x v="53"/>
    <x v="388"/>
    <x v="3"/>
    <x v="1"/>
    <x v="188"/>
    <x v="3"/>
    <x v="1"/>
    <x v="3"/>
    <x v="101"/>
    <x v="1"/>
    <x v="3"/>
    <x v="0"/>
    <x v="43"/>
    <x v="65"/>
    <x v="88"/>
    <x v="118"/>
    <x v="159"/>
  </r>
  <r>
    <x v="604"/>
    <x v="48"/>
    <x v="2"/>
    <x v="0"/>
    <x v="0"/>
    <x v="0"/>
    <x v="10"/>
    <x v="0"/>
    <x v="3"/>
    <x v="501"/>
    <x v="523"/>
    <x v="0"/>
    <x v="4"/>
    <x v="134"/>
    <x v="0"/>
    <x v="1"/>
    <x v="4"/>
    <x v="145"/>
    <x v="1"/>
    <x v="0"/>
    <x v="0"/>
    <x v="71"/>
    <x v="275"/>
    <x v="58"/>
    <x v="63"/>
    <x v="35"/>
  </r>
  <r>
    <x v="605"/>
    <x v="4"/>
    <x v="0"/>
    <x v="0"/>
    <x v="3"/>
    <x v="1"/>
    <x v="0"/>
    <x v="3"/>
    <x v="0"/>
    <x v="489"/>
    <x v="141"/>
    <x v="0"/>
    <x v="2"/>
    <x v="52"/>
    <x v="0"/>
    <x v="1"/>
    <x v="1"/>
    <x v="58"/>
    <x v="1"/>
    <x v="4"/>
    <x v="0"/>
    <x v="281"/>
    <x v="122"/>
    <x v="65"/>
    <x v="108"/>
    <x v="123"/>
  </r>
  <r>
    <x v="606"/>
    <x v="60"/>
    <x v="2"/>
    <x v="4"/>
    <x v="1"/>
    <x v="0"/>
    <x v="8"/>
    <x v="2"/>
    <x v="1"/>
    <x v="502"/>
    <x v="59"/>
    <x v="2"/>
    <x v="0"/>
    <x v="185"/>
    <x v="2"/>
    <x v="1"/>
    <x v="1"/>
    <x v="137"/>
    <x v="1"/>
    <x v="2"/>
    <x v="1"/>
    <x v="232"/>
    <x v="115"/>
    <x v="60"/>
    <x v="99"/>
    <x v="101"/>
  </r>
  <r>
    <x v="607"/>
    <x v="7"/>
    <x v="0"/>
    <x v="3"/>
    <x v="0"/>
    <x v="0"/>
    <x v="1"/>
    <x v="3"/>
    <x v="2"/>
    <x v="503"/>
    <x v="524"/>
    <x v="3"/>
    <x v="1"/>
    <x v="111"/>
    <x v="3"/>
    <x v="1"/>
    <x v="2"/>
    <x v="27"/>
    <x v="1"/>
    <x v="0"/>
    <x v="0"/>
    <x v="318"/>
    <x v="35"/>
    <x v="74"/>
    <x v="8"/>
    <x v="32"/>
  </r>
  <r>
    <x v="608"/>
    <x v="18"/>
    <x v="1"/>
    <x v="4"/>
    <x v="3"/>
    <x v="2"/>
    <x v="8"/>
    <x v="0"/>
    <x v="3"/>
    <x v="504"/>
    <x v="525"/>
    <x v="1"/>
    <x v="1"/>
    <x v="25"/>
    <x v="1"/>
    <x v="2"/>
    <x v="1"/>
    <x v="10"/>
    <x v="1"/>
    <x v="2"/>
    <x v="1"/>
    <x v="265"/>
    <x v="310"/>
    <x v="43"/>
    <x v="18"/>
    <x v="5"/>
  </r>
  <r>
    <x v="609"/>
    <x v="57"/>
    <x v="0"/>
    <x v="3"/>
    <x v="2"/>
    <x v="4"/>
    <x v="0"/>
    <x v="2"/>
    <x v="3"/>
    <x v="505"/>
    <x v="526"/>
    <x v="2"/>
    <x v="0"/>
    <x v="49"/>
    <x v="2"/>
    <x v="2"/>
    <x v="1"/>
    <x v="1"/>
    <x v="1"/>
    <x v="0"/>
    <x v="1"/>
    <x v="70"/>
    <x v="125"/>
    <x v="16"/>
    <x v="99"/>
    <x v="132"/>
  </r>
  <r>
    <x v="610"/>
    <x v="62"/>
    <x v="0"/>
    <x v="0"/>
    <x v="0"/>
    <x v="0"/>
    <x v="11"/>
    <x v="2"/>
    <x v="3"/>
    <x v="59"/>
    <x v="527"/>
    <x v="2"/>
    <x v="4"/>
    <x v="90"/>
    <x v="2"/>
    <x v="0"/>
    <x v="4"/>
    <x v="138"/>
    <x v="0"/>
    <x v="4"/>
    <x v="0"/>
    <x v="205"/>
    <x v="83"/>
    <x v="29"/>
    <x v="21"/>
    <x v="39"/>
  </r>
  <r>
    <x v="611"/>
    <x v="62"/>
    <x v="0"/>
    <x v="4"/>
    <x v="4"/>
    <x v="3"/>
    <x v="3"/>
    <x v="2"/>
    <x v="3"/>
    <x v="506"/>
    <x v="528"/>
    <x v="1"/>
    <x v="0"/>
    <x v="168"/>
    <x v="1"/>
    <x v="0"/>
    <x v="1"/>
    <x v="135"/>
    <x v="0"/>
    <x v="2"/>
    <x v="1"/>
    <x v="121"/>
    <x v="266"/>
    <x v="16"/>
    <x v="22"/>
    <x v="158"/>
  </r>
  <r>
    <x v="612"/>
    <x v="40"/>
    <x v="1"/>
    <x v="3"/>
    <x v="4"/>
    <x v="4"/>
    <x v="6"/>
    <x v="0"/>
    <x v="1"/>
    <x v="507"/>
    <x v="529"/>
    <x v="0"/>
    <x v="1"/>
    <x v="42"/>
    <x v="0"/>
    <x v="0"/>
    <x v="0"/>
    <x v="49"/>
    <x v="0"/>
    <x v="2"/>
    <x v="0"/>
    <x v="189"/>
    <x v="271"/>
    <x v="56"/>
    <x v="86"/>
    <x v="158"/>
  </r>
  <r>
    <x v="613"/>
    <x v="66"/>
    <x v="1"/>
    <x v="2"/>
    <x v="2"/>
    <x v="4"/>
    <x v="12"/>
    <x v="3"/>
    <x v="3"/>
    <x v="308"/>
    <x v="530"/>
    <x v="3"/>
    <x v="2"/>
    <x v="28"/>
    <x v="3"/>
    <x v="2"/>
    <x v="0"/>
    <x v="10"/>
    <x v="1"/>
    <x v="0"/>
    <x v="1"/>
    <x v="319"/>
    <x v="311"/>
    <x v="9"/>
    <x v="90"/>
    <x v="5"/>
  </r>
  <r>
    <x v="614"/>
    <x v="43"/>
    <x v="2"/>
    <x v="2"/>
    <x v="3"/>
    <x v="0"/>
    <x v="11"/>
    <x v="2"/>
    <x v="3"/>
    <x v="508"/>
    <x v="531"/>
    <x v="2"/>
    <x v="3"/>
    <x v="40"/>
    <x v="2"/>
    <x v="2"/>
    <x v="1"/>
    <x v="68"/>
    <x v="1"/>
    <x v="3"/>
    <x v="0"/>
    <x v="146"/>
    <x v="30"/>
    <x v="59"/>
    <x v="3"/>
    <x v="82"/>
  </r>
  <r>
    <x v="615"/>
    <x v="58"/>
    <x v="0"/>
    <x v="2"/>
    <x v="0"/>
    <x v="4"/>
    <x v="10"/>
    <x v="0"/>
    <x v="3"/>
    <x v="509"/>
    <x v="532"/>
    <x v="3"/>
    <x v="4"/>
    <x v="105"/>
    <x v="3"/>
    <x v="1"/>
    <x v="0"/>
    <x v="126"/>
    <x v="1"/>
    <x v="2"/>
    <x v="0"/>
    <x v="69"/>
    <x v="312"/>
    <x v="16"/>
    <x v="42"/>
    <x v="163"/>
  </r>
  <r>
    <x v="616"/>
    <x v="31"/>
    <x v="1"/>
    <x v="4"/>
    <x v="4"/>
    <x v="0"/>
    <x v="15"/>
    <x v="2"/>
    <x v="2"/>
    <x v="510"/>
    <x v="533"/>
    <x v="3"/>
    <x v="0"/>
    <x v="22"/>
    <x v="3"/>
    <x v="0"/>
    <x v="3"/>
    <x v="8"/>
    <x v="0"/>
    <x v="0"/>
    <x v="0"/>
    <x v="163"/>
    <x v="116"/>
    <x v="18"/>
    <x v="60"/>
    <x v="152"/>
  </r>
  <r>
    <x v="617"/>
    <x v="58"/>
    <x v="2"/>
    <x v="0"/>
    <x v="2"/>
    <x v="1"/>
    <x v="13"/>
    <x v="0"/>
    <x v="0"/>
    <x v="511"/>
    <x v="534"/>
    <x v="0"/>
    <x v="2"/>
    <x v="92"/>
    <x v="0"/>
    <x v="0"/>
    <x v="1"/>
    <x v="131"/>
    <x v="0"/>
    <x v="2"/>
    <x v="1"/>
    <x v="320"/>
    <x v="250"/>
    <x v="61"/>
    <x v="17"/>
    <x v="112"/>
  </r>
  <r>
    <x v="618"/>
    <x v="30"/>
    <x v="1"/>
    <x v="2"/>
    <x v="0"/>
    <x v="0"/>
    <x v="17"/>
    <x v="2"/>
    <x v="0"/>
    <x v="512"/>
    <x v="15"/>
    <x v="2"/>
    <x v="3"/>
    <x v="165"/>
    <x v="2"/>
    <x v="1"/>
    <x v="1"/>
    <x v="57"/>
    <x v="1"/>
    <x v="2"/>
    <x v="1"/>
    <x v="164"/>
    <x v="235"/>
    <x v="41"/>
    <x v="172"/>
    <x v="77"/>
  </r>
  <r>
    <x v="619"/>
    <x v="2"/>
    <x v="0"/>
    <x v="0"/>
    <x v="2"/>
    <x v="2"/>
    <x v="19"/>
    <x v="1"/>
    <x v="0"/>
    <x v="513"/>
    <x v="535"/>
    <x v="0"/>
    <x v="0"/>
    <x v="3"/>
    <x v="0"/>
    <x v="0"/>
    <x v="0"/>
    <x v="21"/>
    <x v="0"/>
    <x v="0"/>
    <x v="0"/>
    <x v="268"/>
    <x v="52"/>
    <x v="10"/>
    <x v="93"/>
    <x v="103"/>
  </r>
  <r>
    <x v="620"/>
    <x v="20"/>
    <x v="2"/>
    <x v="4"/>
    <x v="0"/>
    <x v="0"/>
    <x v="16"/>
    <x v="3"/>
    <x v="1"/>
    <x v="104"/>
    <x v="106"/>
    <x v="1"/>
    <x v="2"/>
    <x v="31"/>
    <x v="1"/>
    <x v="0"/>
    <x v="4"/>
    <x v="55"/>
    <x v="0"/>
    <x v="1"/>
    <x v="1"/>
    <x v="18"/>
    <x v="313"/>
    <x v="63"/>
    <x v="120"/>
    <x v="116"/>
  </r>
  <r>
    <x v="621"/>
    <x v="28"/>
    <x v="1"/>
    <x v="3"/>
    <x v="0"/>
    <x v="0"/>
    <x v="3"/>
    <x v="3"/>
    <x v="3"/>
    <x v="514"/>
    <x v="279"/>
    <x v="3"/>
    <x v="3"/>
    <x v="190"/>
    <x v="3"/>
    <x v="0"/>
    <x v="4"/>
    <x v="75"/>
    <x v="0"/>
    <x v="4"/>
    <x v="1"/>
    <x v="321"/>
    <x v="306"/>
    <x v="90"/>
    <x v="91"/>
    <x v="164"/>
  </r>
  <r>
    <x v="622"/>
    <x v="43"/>
    <x v="2"/>
    <x v="1"/>
    <x v="1"/>
    <x v="2"/>
    <x v="5"/>
    <x v="2"/>
    <x v="0"/>
    <x v="515"/>
    <x v="234"/>
    <x v="3"/>
    <x v="2"/>
    <x v="149"/>
    <x v="3"/>
    <x v="0"/>
    <x v="4"/>
    <x v="71"/>
    <x v="0"/>
    <x v="0"/>
    <x v="0"/>
    <x v="229"/>
    <x v="236"/>
    <x v="89"/>
    <x v="68"/>
    <x v="122"/>
  </r>
  <r>
    <x v="623"/>
    <x v="22"/>
    <x v="1"/>
    <x v="4"/>
    <x v="4"/>
    <x v="4"/>
    <x v="19"/>
    <x v="0"/>
    <x v="3"/>
    <x v="516"/>
    <x v="536"/>
    <x v="3"/>
    <x v="0"/>
    <x v="80"/>
    <x v="3"/>
    <x v="2"/>
    <x v="0"/>
    <x v="60"/>
    <x v="1"/>
    <x v="3"/>
    <x v="1"/>
    <x v="29"/>
    <x v="314"/>
    <x v="59"/>
    <x v="103"/>
    <x v="120"/>
  </r>
  <r>
    <x v="624"/>
    <x v="60"/>
    <x v="1"/>
    <x v="3"/>
    <x v="1"/>
    <x v="0"/>
    <x v="4"/>
    <x v="1"/>
    <x v="1"/>
    <x v="517"/>
    <x v="537"/>
    <x v="0"/>
    <x v="1"/>
    <x v="78"/>
    <x v="0"/>
    <x v="2"/>
    <x v="4"/>
    <x v="54"/>
    <x v="1"/>
    <x v="0"/>
    <x v="1"/>
    <x v="299"/>
    <x v="107"/>
    <x v="66"/>
    <x v="73"/>
    <x v="102"/>
  </r>
  <r>
    <x v="625"/>
    <x v="30"/>
    <x v="2"/>
    <x v="2"/>
    <x v="0"/>
    <x v="0"/>
    <x v="1"/>
    <x v="3"/>
    <x v="2"/>
    <x v="208"/>
    <x v="455"/>
    <x v="2"/>
    <x v="4"/>
    <x v="25"/>
    <x v="2"/>
    <x v="2"/>
    <x v="4"/>
    <x v="142"/>
    <x v="1"/>
    <x v="2"/>
    <x v="0"/>
    <x v="87"/>
    <x v="315"/>
    <x v="67"/>
    <x v="103"/>
    <x v="55"/>
  </r>
  <r>
    <x v="626"/>
    <x v="28"/>
    <x v="2"/>
    <x v="0"/>
    <x v="3"/>
    <x v="1"/>
    <x v="16"/>
    <x v="3"/>
    <x v="3"/>
    <x v="518"/>
    <x v="538"/>
    <x v="0"/>
    <x v="3"/>
    <x v="135"/>
    <x v="0"/>
    <x v="0"/>
    <x v="2"/>
    <x v="86"/>
    <x v="0"/>
    <x v="0"/>
    <x v="1"/>
    <x v="235"/>
    <x v="57"/>
    <x v="83"/>
    <x v="164"/>
    <x v="168"/>
  </r>
  <r>
    <x v="627"/>
    <x v="25"/>
    <x v="2"/>
    <x v="3"/>
    <x v="3"/>
    <x v="0"/>
    <x v="8"/>
    <x v="1"/>
    <x v="3"/>
    <x v="519"/>
    <x v="539"/>
    <x v="2"/>
    <x v="0"/>
    <x v="16"/>
    <x v="2"/>
    <x v="1"/>
    <x v="3"/>
    <x v="108"/>
    <x v="1"/>
    <x v="3"/>
    <x v="0"/>
    <x v="322"/>
    <x v="295"/>
    <x v="53"/>
    <x v="162"/>
    <x v="58"/>
  </r>
  <r>
    <x v="628"/>
    <x v="18"/>
    <x v="0"/>
    <x v="1"/>
    <x v="4"/>
    <x v="3"/>
    <x v="8"/>
    <x v="2"/>
    <x v="3"/>
    <x v="520"/>
    <x v="540"/>
    <x v="2"/>
    <x v="4"/>
    <x v="95"/>
    <x v="2"/>
    <x v="1"/>
    <x v="0"/>
    <x v="21"/>
    <x v="1"/>
    <x v="0"/>
    <x v="1"/>
    <x v="156"/>
    <x v="240"/>
    <x v="31"/>
    <x v="167"/>
    <x v="92"/>
  </r>
  <r>
    <x v="629"/>
    <x v="53"/>
    <x v="2"/>
    <x v="4"/>
    <x v="4"/>
    <x v="0"/>
    <x v="17"/>
    <x v="1"/>
    <x v="0"/>
    <x v="521"/>
    <x v="541"/>
    <x v="1"/>
    <x v="1"/>
    <x v="153"/>
    <x v="1"/>
    <x v="2"/>
    <x v="3"/>
    <x v="54"/>
    <x v="1"/>
    <x v="3"/>
    <x v="0"/>
    <x v="70"/>
    <x v="79"/>
    <x v="13"/>
    <x v="160"/>
    <x v="83"/>
  </r>
  <r>
    <x v="630"/>
    <x v="22"/>
    <x v="1"/>
    <x v="2"/>
    <x v="1"/>
    <x v="5"/>
    <x v="10"/>
    <x v="0"/>
    <x v="0"/>
    <x v="522"/>
    <x v="542"/>
    <x v="0"/>
    <x v="3"/>
    <x v="6"/>
    <x v="0"/>
    <x v="1"/>
    <x v="0"/>
    <x v="99"/>
    <x v="1"/>
    <x v="0"/>
    <x v="1"/>
    <x v="116"/>
    <x v="127"/>
    <x v="1"/>
    <x v="137"/>
    <x v="73"/>
  </r>
  <r>
    <x v="631"/>
    <x v="29"/>
    <x v="2"/>
    <x v="1"/>
    <x v="3"/>
    <x v="0"/>
    <x v="4"/>
    <x v="1"/>
    <x v="0"/>
    <x v="523"/>
    <x v="39"/>
    <x v="3"/>
    <x v="4"/>
    <x v="166"/>
    <x v="3"/>
    <x v="2"/>
    <x v="3"/>
    <x v="6"/>
    <x v="1"/>
    <x v="2"/>
    <x v="1"/>
    <x v="74"/>
    <x v="97"/>
    <x v="21"/>
    <x v="122"/>
    <x v="143"/>
  </r>
  <r>
    <x v="632"/>
    <x v="19"/>
    <x v="0"/>
    <x v="3"/>
    <x v="4"/>
    <x v="0"/>
    <x v="10"/>
    <x v="3"/>
    <x v="3"/>
    <x v="524"/>
    <x v="543"/>
    <x v="3"/>
    <x v="4"/>
    <x v="130"/>
    <x v="3"/>
    <x v="2"/>
    <x v="0"/>
    <x v="92"/>
    <x v="1"/>
    <x v="4"/>
    <x v="1"/>
    <x v="260"/>
    <x v="181"/>
    <x v="56"/>
    <x v="107"/>
    <x v="66"/>
  </r>
  <r>
    <x v="633"/>
    <x v="27"/>
    <x v="0"/>
    <x v="1"/>
    <x v="3"/>
    <x v="4"/>
    <x v="4"/>
    <x v="1"/>
    <x v="0"/>
    <x v="525"/>
    <x v="544"/>
    <x v="2"/>
    <x v="3"/>
    <x v="12"/>
    <x v="2"/>
    <x v="2"/>
    <x v="3"/>
    <x v="86"/>
    <x v="1"/>
    <x v="2"/>
    <x v="0"/>
    <x v="296"/>
    <x v="59"/>
    <x v="26"/>
    <x v="143"/>
    <x v="75"/>
  </r>
  <r>
    <x v="634"/>
    <x v="18"/>
    <x v="1"/>
    <x v="4"/>
    <x v="3"/>
    <x v="4"/>
    <x v="9"/>
    <x v="0"/>
    <x v="3"/>
    <x v="526"/>
    <x v="545"/>
    <x v="3"/>
    <x v="4"/>
    <x v="179"/>
    <x v="3"/>
    <x v="0"/>
    <x v="3"/>
    <x v="17"/>
    <x v="0"/>
    <x v="0"/>
    <x v="1"/>
    <x v="156"/>
    <x v="316"/>
    <x v="39"/>
    <x v="140"/>
    <x v="110"/>
  </r>
  <r>
    <x v="635"/>
    <x v="13"/>
    <x v="1"/>
    <x v="4"/>
    <x v="1"/>
    <x v="3"/>
    <x v="3"/>
    <x v="2"/>
    <x v="0"/>
    <x v="527"/>
    <x v="546"/>
    <x v="1"/>
    <x v="3"/>
    <x v="185"/>
    <x v="1"/>
    <x v="1"/>
    <x v="0"/>
    <x v="129"/>
    <x v="1"/>
    <x v="2"/>
    <x v="1"/>
    <x v="252"/>
    <x v="317"/>
    <x v="89"/>
    <x v="68"/>
    <x v="124"/>
  </r>
  <r>
    <x v="636"/>
    <x v="49"/>
    <x v="1"/>
    <x v="3"/>
    <x v="4"/>
    <x v="3"/>
    <x v="1"/>
    <x v="1"/>
    <x v="1"/>
    <x v="528"/>
    <x v="547"/>
    <x v="0"/>
    <x v="3"/>
    <x v="13"/>
    <x v="0"/>
    <x v="0"/>
    <x v="3"/>
    <x v="144"/>
    <x v="0"/>
    <x v="3"/>
    <x v="0"/>
    <x v="235"/>
    <x v="272"/>
    <x v="73"/>
    <x v="31"/>
    <x v="134"/>
  </r>
  <r>
    <x v="637"/>
    <x v="50"/>
    <x v="1"/>
    <x v="1"/>
    <x v="2"/>
    <x v="0"/>
    <x v="3"/>
    <x v="1"/>
    <x v="2"/>
    <x v="529"/>
    <x v="548"/>
    <x v="3"/>
    <x v="0"/>
    <x v="110"/>
    <x v="3"/>
    <x v="1"/>
    <x v="1"/>
    <x v="30"/>
    <x v="1"/>
    <x v="3"/>
    <x v="1"/>
    <x v="315"/>
    <x v="318"/>
    <x v="88"/>
    <x v="83"/>
    <x v="47"/>
  </r>
  <r>
    <x v="638"/>
    <x v="33"/>
    <x v="2"/>
    <x v="2"/>
    <x v="4"/>
    <x v="0"/>
    <x v="15"/>
    <x v="1"/>
    <x v="3"/>
    <x v="78"/>
    <x v="549"/>
    <x v="1"/>
    <x v="4"/>
    <x v="22"/>
    <x v="1"/>
    <x v="1"/>
    <x v="1"/>
    <x v="93"/>
    <x v="1"/>
    <x v="0"/>
    <x v="1"/>
    <x v="190"/>
    <x v="319"/>
    <x v="73"/>
    <x v="133"/>
    <x v="11"/>
  </r>
  <r>
    <x v="639"/>
    <x v="67"/>
    <x v="0"/>
    <x v="4"/>
    <x v="0"/>
    <x v="5"/>
    <x v="3"/>
    <x v="1"/>
    <x v="2"/>
    <x v="530"/>
    <x v="550"/>
    <x v="2"/>
    <x v="1"/>
    <x v="177"/>
    <x v="2"/>
    <x v="0"/>
    <x v="0"/>
    <x v="85"/>
    <x v="0"/>
    <x v="4"/>
    <x v="1"/>
    <x v="149"/>
    <x v="320"/>
    <x v="9"/>
    <x v="98"/>
    <x v="87"/>
  </r>
  <r>
    <x v="640"/>
    <x v="22"/>
    <x v="0"/>
    <x v="0"/>
    <x v="3"/>
    <x v="4"/>
    <x v="6"/>
    <x v="3"/>
    <x v="0"/>
    <x v="531"/>
    <x v="461"/>
    <x v="2"/>
    <x v="2"/>
    <x v="156"/>
    <x v="2"/>
    <x v="0"/>
    <x v="0"/>
    <x v="31"/>
    <x v="0"/>
    <x v="2"/>
    <x v="0"/>
    <x v="2"/>
    <x v="251"/>
    <x v="60"/>
    <x v="95"/>
    <x v="46"/>
  </r>
  <r>
    <x v="641"/>
    <x v="42"/>
    <x v="2"/>
    <x v="2"/>
    <x v="2"/>
    <x v="2"/>
    <x v="19"/>
    <x v="0"/>
    <x v="3"/>
    <x v="278"/>
    <x v="551"/>
    <x v="0"/>
    <x v="4"/>
    <x v="92"/>
    <x v="0"/>
    <x v="2"/>
    <x v="2"/>
    <x v="87"/>
    <x v="1"/>
    <x v="0"/>
    <x v="1"/>
    <x v="323"/>
    <x v="260"/>
    <x v="5"/>
    <x v="165"/>
    <x v="114"/>
  </r>
  <r>
    <x v="642"/>
    <x v="1"/>
    <x v="0"/>
    <x v="3"/>
    <x v="2"/>
    <x v="0"/>
    <x v="12"/>
    <x v="1"/>
    <x v="3"/>
    <x v="532"/>
    <x v="552"/>
    <x v="1"/>
    <x v="1"/>
    <x v="30"/>
    <x v="1"/>
    <x v="0"/>
    <x v="4"/>
    <x v="16"/>
    <x v="0"/>
    <x v="0"/>
    <x v="1"/>
    <x v="82"/>
    <x v="70"/>
    <x v="79"/>
    <x v="14"/>
    <x v="84"/>
  </r>
  <r>
    <x v="643"/>
    <x v="18"/>
    <x v="2"/>
    <x v="3"/>
    <x v="2"/>
    <x v="1"/>
    <x v="5"/>
    <x v="2"/>
    <x v="3"/>
    <x v="533"/>
    <x v="553"/>
    <x v="2"/>
    <x v="4"/>
    <x v="121"/>
    <x v="2"/>
    <x v="2"/>
    <x v="1"/>
    <x v="76"/>
    <x v="1"/>
    <x v="4"/>
    <x v="0"/>
    <x v="160"/>
    <x v="97"/>
    <x v="27"/>
    <x v="124"/>
    <x v="12"/>
  </r>
  <r>
    <x v="644"/>
    <x v="31"/>
    <x v="2"/>
    <x v="0"/>
    <x v="1"/>
    <x v="0"/>
    <x v="3"/>
    <x v="0"/>
    <x v="2"/>
    <x v="426"/>
    <x v="521"/>
    <x v="0"/>
    <x v="1"/>
    <x v="87"/>
    <x v="0"/>
    <x v="0"/>
    <x v="4"/>
    <x v="133"/>
    <x v="0"/>
    <x v="1"/>
    <x v="1"/>
    <x v="316"/>
    <x v="80"/>
    <x v="2"/>
    <x v="128"/>
    <x v="160"/>
  </r>
  <r>
    <x v="645"/>
    <x v="30"/>
    <x v="0"/>
    <x v="4"/>
    <x v="2"/>
    <x v="0"/>
    <x v="19"/>
    <x v="0"/>
    <x v="0"/>
    <x v="534"/>
    <x v="554"/>
    <x v="0"/>
    <x v="2"/>
    <x v="90"/>
    <x v="0"/>
    <x v="1"/>
    <x v="3"/>
    <x v="64"/>
    <x v="1"/>
    <x v="0"/>
    <x v="0"/>
    <x v="251"/>
    <x v="183"/>
    <x v="87"/>
    <x v="168"/>
    <x v="57"/>
  </r>
  <r>
    <x v="646"/>
    <x v="32"/>
    <x v="0"/>
    <x v="2"/>
    <x v="4"/>
    <x v="3"/>
    <x v="14"/>
    <x v="0"/>
    <x v="2"/>
    <x v="535"/>
    <x v="555"/>
    <x v="1"/>
    <x v="3"/>
    <x v="32"/>
    <x v="1"/>
    <x v="0"/>
    <x v="3"/>
    <x v="127"/>
    <x v="0"/>
    <x v="2"/>
    <x v="1"/>
    <x v="53"/>
    <x v="257"/>
    <x v="71"/>
    <x v="45"/>
    <x v="102"/>
  </r>
  <r>
    <x v="647"/>
    <x v="45"/>
    <x v="1"/>
    <x v="4"/>
    <x v="1"/>
    <x v="3"/>
    <x v="4"/>
    <x v="0"/>
    <x v="3"/>
    <x v="327"/>
    <x v="556"/>
    <x v="2"/>
    <x v="0"/>
    <x v="182"/>
    <x v="2"/>
    <x v="0"/>
    <x v="2"/>
    <x v="125"/>
    <x v="0"/>
    <x v="0"/>
    <x v="0"/>
    <x v="225"/>
    <x v="64"/>
    <x v="65"/>
    <x v="11"/>
    <x v="34"/>
  </r>
  <r>
    <x v="648"/>
    <x v="17"/>
    <x v="1"/>
    <x v="2"/>
    <x v="4"/>
    <x v="1"/>
    <x v="2"/>
    <x v="2"/>
    <x v="0"/>
    <x v="536"/>
    <x v="371"/>
    <x v="2"/>
    <x v="2"/>
    <x v="130"/>
    <x v="2"/>
    <x v="2"/>
    <x v="4"/>
    <x v="100"/>
    <x v="1"/>
    <x v="2"/>
    <x v="1"/>
    <x v="324"/>
    <x v="76"/>
    <x v="65"/>
    <x v="5"/>
    <x v="146"/>
  </r>
  <r>
    <x v="649"/>
    <x v="27"/>
    <x v="0"/>
    <x v="4"/>
    <x v="4"/>
    <x v="0"/>
    <x v="1"/>
    <x v="3"/>
    <x v="0"/>
    <x v="537"/>
    <x v="119"/>
    <x v="0"/>
    <x v="3"/>
    <x v="134"/>
    <x v="0"/>
    <x v="1"/>
    <x v="1"/>
    <x v="104"/>
    <x v="1"/>
    <x v="1"/>
    <x v="1"/>
    <x v="165"/>
    <x v="64"/>
    <x v="68"/>
    <x v="48"/>
    <x v="140"/>
  </r>
  <r>
    <x v="650"/>
    <x v="28"/>
    <x v="0"/>
    <x v="3"/>
    <x v="0"/>
    <x v="0"/>
    <x v="19"/>
    <x v="2"/>
    <x v="3"/>
    <x v="368"/>
    <x v="557"/>
    <x v="0"/>
    <x v="4"/>
    <x v="141"/>
    <x v="0"/>
    <x v="0"/>
    <x v="4"/>
    <x v="90"/>
    <x v="0"/>
    <x v="1"/>
    <x v="1"/>
    <x v="119"/>
    <x v="1"/>
    <x v="0"/>
    <x v="112"/>
    <x v="91"/>
  </r>
  <r>
    <x v="651"/>
    <x v="40"/>
    <x v="2"/>
    <x v="0"/>
    <x v="1"/>
    <x v="1"/>
    <x v="13"/>
    <x v="2"/>
    <x v="1"/>
    <x v="20"/>
    <x v="558"/>
    <x v="0"/>
    <x v="1"/>
    <x v="98"/>
    <x v="0"/>
    <x v="1"/>
    <x v="0"/>
    <x v="101"/>
    <x v="1"/>
    <x v="1"/>
    <x v="0"/>
    <x v="66"/>
    <x v="214"/>
    <x v="42"/>
    <x v="132"/>
    <x v="79"/>
  </r>
  <r>
    <x v="652"/>
    <x v="60"/>
    <x v="1"/>
    <x v="0"/>
    <x v="1"/>
    <x v="2"/>
    <x v="3"/>
    <x v="2"/>
    <x v="2"/>
    <x v="538"/>
    <x v="559"/>
    <x v="1"/>
    <x v="4"/>
    <x v="104"/>
    <x v="1"/>
    <x v="0"/>
    <x v="1"/>
    <x v="74"/>
    <x v="0"/>
    <x v="0"/>
    <x v="0"/>
    <x v="237"/>
    <x v="321"/>
    <x v="36"/>
    <x v="162"/>
    <x v="163"/>
  </r>
  <r>
    <x v="653"/>
    <x v="11"/>
    <x v="1"/>
    <x v="2"/>
    <x v="0"/>
    <x v="0"/>
    <x v="19"/>
    <x v="2"/>
    <x v="3"/>
    <x v="191"/>
    <x v="560"/>
    <x v="1"/>
    <x v="1"/>
    <x v="158"/>
    <x v="1"/>
    <x v="0"/>
    <x v="1"/>
    <x v="74"/>
    <x v="0"/>
    <x v="2"/>
    <x v="0"/>
    <x v="273"/>
    <x v="40"/>
    <x v="13"/>
    <x v="75"/>
    <x v="22"/>
  </r>
  <r>
    <x v="654"/>
    <x v="15"/>
    <x v="1"/>
    <x v="1"/>
    <x v="3"/>
    <x v="0"/>
    <x v="8"/>
    <x v="2"/>
    <x v="1"/>
    <x v="539"/>
    <x v="222"/>
    <x v="3"/>
    <x v="1"/>
    <x v="93"/>
    <x v="3"/>
    <x v="2"/>
    <x v="3"/>
    <x v="66"/>
    <x v="1"/>
    <x v="2"/>
    <x v="1"/>
    <x v="309"/>
    <x v="194"/>
    <x v="42"/>
    <x v="80"/>
    <x v="103"/>
  </r>
  <r>
    <x v="655"/>
    <x v="15"/>
    <x v="0"/>
    <x v="1"/>
    <x v="1"/>
    <x v="5"/>
    <x v="0"/>
    <x v="2"/>
    <x v="3"/>
    <x v="237"/>
    <x v="3"/>
    <x v="3"/>
    <x v="0"/>
    <x v="190"/>
    <x v="3"/>
    <x v="1"/>
    <x v="1"/>
    <x v="37"/>
    <x v="1"/>
    <x v="0"/>
    <x v="1"/>
    <x v="206"/>
    <x v="249"/>
    <x v="41"/>
    <x v="104"/>
    <x v="115"/>
  </r>
  <r>
    <x v="656"/>
    <x v="9"/>
    <x v="1"/>
    <x v="4"/>
    <x v="3"/>
    <x v="5"/>
    <x v="2"/>
    <x v="2"/>
    <x v="1"/>
    <x v="540"/>
    <x v="54"/>
    <x v="2"/>
    <x v="3"/>
    <x v="46"/>
    <x v="2"/>
    <x v="1"/>
    <x v="2"/>
    <x v="78"/>
    <x v="1"/>
    <x v="1"/>
    <x v="1"/>
    <x v="157"/>
    <x v="322"/>
    <x v="82"/>
    <x v="72"/>
    <x v="43"/>
  </r>
  <r>
    <x v="657"/>
    <x v="18"/>
    <x v="1"/>
    <x v="1"/>
    <x v="0"/>
    <x v="0"/>
    <x v="11"/>
    <x v="0"/>
    <x v="0"/>
    <x v="541"/>
    <x v="561"/>
    <x v="1"/>
    <x v="0"/>
    <x v="97"/>
    <x v="1"/>
    <x v="2"/>
    <x v="4"/>
    <x v="109"/>
    <x v="1"/>
    <x v="3"/>
    <x v="1"/>
    <x v="126"/>
    <x v="141"/>
    <x v="31"/>
    <x v="71"/>
    <x v="131"/>
  </r>
  <r>
    <x v="658"/>
    <x v="43"/>
    <x v="1"/>
    <x v="0"/>
    <x v="2"/>
    <x v="1"/>
    <x v="5"/>
    <x v="1"/>
    <x v="2"/>
    <x v="181"/>
    <x v="415"/>
    <x v="0"/>
    <x v="0"/>
    <x v="129"/>
    <x v="0"/>
    <x v="0"/>
    <x v="3"/>
    <x v="131"/>
    <x v="0"/>
    <x v="1"/>
    <x v="1"/>
    <x v="312"/>
    <x v="172"/>
    <x v="80"/>
    <x v="42"/>
    <x v="41"/>
  </r>
  <r>
    <x v="659"/>
    <x v="19"/>
    <x v="1"/>
    <x v="3"/>
    <x v="3"/>
    <x v="4"/>
    <x v="19"/>
    <x v="2"/>
    <x v="0"/>
    <x v="54"/>
    <x v="562"/>
    <x v="3"/>
    <x v="1"/>
    <x v="137"/>
    <x v="3"/>
    <x v="1"/>
    <x v="0"/>
    <x v="143"/>
    <x v="1"/>
    <x v="3"/>
    <x v="1"/>
    <x v="197"/>
    <x v="27"/>
    <x v="75"/>
    <x v="137"/>
    <x v="25"/>
  </r>
  <r>
    <x v="660"/>
    <x v="25"/>
    <x v="2"/>
    <x v="1"/>
    <x v="3"/>
    <x v="1"/>
    <x v="10"/>
    <x v="0"/>
    <x v="3"/>
    <x v="542"/>
    <x v="563"/>
    <x v="3"/>
    <x v="0"/>
    <x v="114"/>
    <x v="3"/>
    <x v="2"/>
    <x v="2"/>
    <x v="15"/>
    <x v="1"/>
    <x v="3"/>
    <x v="0"/>
    <x v="100"/>
    <x v="88"/>
    <x v="1"/>
    <x v="106"/>
    <x v="12"/>
  </r>
  <r>
    <x v="661"/>
    <x v="55"/>
    <x v="0"/>
    <x v="1"/>
    <x v="2"/>
    <x v="1"/>
    <x v="0"/>
    <x v="3"/>
    <x v="3"/>
    <x v="543"/>
    <x v="148"/>
    <x v="3"/>
    <x v="3"/>
    <x v="11"/>
    <x v="3"/>
    <x v="1"/>
    <x v="0"/>
    <x v="82"/>
    <x v="1"/>
    <x v="3"/>
    <x v="0"/>
    <x v="150"/>
    <x v="147"/>
    <x v="42"/>
    <x v="151"/>
    <x v="139"/>
  </r>
  <r>
    <x v="662"/>
    <x v="53"/>
    <x v="1"/>
    <x v="0"/>
    <x v="3"/>
    <x v="0"/>
    <x v="15"/>
    <x v="2"/>
    <x v="2"/>
    <x v="514"/>
    <x v="564"/>
    <x v="2"/>
    <x v="0"/>
    <x v="191"/>
    <x v="2"/>
    <x v="1"/>
    <x v="3"/>
    <x v="2"/>
    <x v="1"/>
    <x v="0"/>
    <x v="1"/>
    <x v="172"/>
    <x v="323"/>
    <x v="66"/>
    <x v="122"/>
    <x v="19"/>
  </r>
  <r>
    <x v="663"/>
    <x v="61"/>
    <x v="1"/>
    <x v="4"/>
    <x v="3"/>
    <x v="0"/>
    <x v="15"/>
    <x v="2"/>
    <x v="1"/>
    <x v="311"/>
    <x v="565"/>
    <x v="2"/>
    <x v="4"/>
    <x v="42"/>
    <x v="2"/>
    <x v="0"/>
    <x v="0"/>
    <x v="24"/>
    <x v="0"/>
    <x v="3"/>
    <x v="1"/>
    <x v="173"/>
    <x v="268"/>
    <x v="1"/>
    <x v="138"/>
    <x v="72"/>
  </r>
  <r>
    <x v="664"/>
    <x v="1"/>
    <x v="2"/>
    <x v="0"/>
    <x v="3"/>
    <x v="0"/>
    <x v="15"/>
    <x v="0"/>
    <x v="3"/>
    <x v="544"/>
    <x v="566"/>
    <x v="2"/>
    <x v="0"/>
    <x v="176"/>
    <x v="2"/>
    <x v="1"/>
    <x v="4"/>
    <x v="130"/>
    <x v="1"/>
    <x v="2"/>
    <x v="1"/>
    <x v="99"/>
    <x v="247"/>
    <x v="3"/>
    <x v="16"/>
    <x v="159"/>
  </r>
  <r>
    <x v="665"/>
    <x v="41"/>
    <x v="2"/>
    <x v="3"/>
    <x v="4"/>
    <x v="0"/>
    <x v="18"/>
    <x v="0"/>
    <x v="1"/>
    <x v="545"/>
    <x v="74"/>
    <x v="1"/>
    <x v="4"/>
    <x v="107"/>
    <x v="1"/>
    <x v="0"/>
    <x v="2"/>
    <x v="3"/>
    <x v="0"/>
    <x v="4"/>
    <x v="1"/>
    <x v="192"/>
    <x v="324"/>
    <x v="72"/>
    <x v="131"/>
    <x v="61"/>
  </r>
  <r>
    <x v="666"/>
    <x v="8"/>
    <x v="1"/>
    <x v="1"/>
    <x v="2"/>
    <x v="4"/>
    <x v="8"/>
    <x v="3"/>
    <x v="1"/>
    <x v="546"/>
    <x v="532"/>
    <x v="0"/>
    <x v="4"/>
    <x v="184"/>
    <x v="0"/>
    <x v="0"/>
    <x v="4"/>
    <x v="10"/>
    <x v="0"/>
    <x v="3"/>
    <x v="1"/>
    <x v="182"/>
    <x v="158"/>
    <x v="1"/>
    <x v="148"/>
    <x v="158"/>
  </r>
  <r>
    <x v="667"/>
    <x v="10"/>
    <x v="1"/>
    <x v="3"/>
    <x v="3"/>
    <x v="0"/>
    <x v="11"/>
    <x v="3"/>
    <x v="2"/>
    <x v="119"/>
    <x v="567"/>
    <x v="1"/>
    <x v="0"/>
    <x v="120"/>
    <x v="1"/>
    <x v="1"/>
    <x v="3"/>
    <x v="93"/>
    <x v="1"/>
    <x v="3"/>
    <x v="0"/>
    <x v="248"/>
    <x v="56"/>
    <x v="38"/>
    <x v="98"/>
    <x v="0"/>
  </r>
  <r>
    <x v="668"/>
    <x v="37"/>
    <x v="0"/>
    <x v="1"/>
    <x v="3"/>
    <x v="5"/>
    <x v="6"/>
    <x v="1"/>
    <x v="1"/>
    <x v="547"/>
    <x v="568"/>
    <x v="2"/>
    <x v="1"/>
    <x v="68"/>
    <x v="2"/>
    <x v="0"/>
    <x v="4"/>
    <x v="130"/>
    <x v="0"/>
    <x v="3"/>
    <x v="0"/>
    <x v="39"/>
    <x v="325"/>
    <x v="72"/>
    <x v="126"/>
    <x v="88"/>
  </r>
  <r>
    <x v="669"/>
    <x v="16"/>
    <x v="0"/>
    <x v="1"/>
    <x v="4"/>
    <x v="0"/>
    <x v="5"/>
    <x v="2"/>
    <x v="0"/>
    <x v="548"/>
    <x v="35"/>
    <x v="2"/>
    <x v="3"/>
    <x v="67"/>
    <x v="2"/>
    <x v="0"/>
    <x v="3"/>
    <x v="66"/>
    <x v="0"/>
    <x v="2"/>
    <x v="1"/>
    <x v="197"/>
    <x v="108"/>
    <x v="41"/>
    <x v="169"/>
    <x v="119"/>
  </r>
  <r>
    <x v="670"/>
    <x v="44"/>
    <x v="2"/>
    <x v="1"/>
    <x v="4"/>
    <x v="4"/>
    <x v="18"/>
    <x v="1"/>
    <x v="0"/>
    <x v="247"/>
    <x v="569"/>
    <x v="0"/>
    <x v="1"/>
    <x v="74"/>
    <x v="0"/>
    <x v="2"/>
    <x v="0"/>
    <x v="108"/>
    <x v="1"/>
    <x v="0"/>
    <x v="1"/>
    <x v="266"/>
    <x v="326"/>
    <x v="25"/>
    <x v="173"/>
    <x v="104"/>
  </r>
  <r>
    <x v="671"/>
    <x v="28"/>
    <x v="0"/>
    <x v="4"/>
    <x v="3"/>
    <x v="4"/>
    <x v="9"/>
    <x v="1"/>
    <x v="1"/>
    <x v="549"/>
    <x v="195"/>
    <x v="0"/>
    <x v="0"/>
    <x v="126"/>
    <x v="0"/>
    <x v="0"/>
    <x v="4"/>
    <x v="111"/>
    <x v="0"/>
    <x v="4"/>
    <x v="0"/>
    <x v="313"/>
    <x v="309"/>
    <x v="10"/>
    <x v="126"/>
    <x v="161"/>
  </r>
  <r>
    <x v="672"/>
    <x v="52"/>
    <x v="1"/>
    <x v="3"/>
    <x v="4"/>
    <x v="0"/>
    <x v="14"/>
    <x v="0"/>
    <x v="2"/>
    <x v="503"/>
    <x v="524"/>
    <x v="1"/>
    <x v="0"/>
    <x v="118"/>
    <x v="1"/>
    <x v="0"/>
    <x v="3"/>
    <x v="86"/>
    <x v="0"/>
    <x v="1"/>
    <x v="0"/>
    <x v="106"/>
    <x v="105"/>
    <x v="89"/>
    <x v="39"/>
    <x v="20"/>
  </r>
  <r>
    <x v="673"/>
    <x v="41"/>
    <x v="1"/>
    <x v="3"/>
    <x v="2"/>
    <x v="2"/>
    <x v="1"/>
    <x v="0"/>
    <x v="2"/>
    <x v="479"/>
    <x v="496"/>
    <x v="3"/>
    <x v="1"/>
    <x v="68"/>
    <x v="3"/>
    <x v="0"/>
    <x v="1"/>
    <x v="82"/>
    <x v="0"/>
    <x v="2"/>
    <x v="1"/>
    <x v="31"/>
    <x v="327"/>
    <x v="23"/>
    <x v="104"/>
    <x v="119"/>
  </r>
  <r>
    <x v="674"/>
    <x v="9"/>
    <x v="0"/>
    <x v="4"/>
    <x v="3"/>
    <x v="5"/>
    <x v="16"/>
    <x v="0"/>
    <x v="3"/>
    <x v="550"/>
    <x v="570"/>
    <x v="1"/>
    <x v="0"/>
    <x v="151"/>
    <x v="1"/>
    <x v="2"/>
    <x v="2"/>
    <x v="120"/>
    <x v="1"/>
    <x v="2"/>
    <x v="1"/>
    <x v="152"/>
    <x v="139"/>
    <x v="26"/>
    <x v="72"/>
    <x v="15"/>
  </r>
  <r>
    <x v="675"/>
    <x v="23"/>
    <x v="2"/>
    <x v="1"/>
    <x v="0"/>
    <x v="5"/>
    <x v="19"/>
    <x v="0"/>
    <x v="0"/>
    <x v="155"/>
    <x v="571"/>
    <x v="0"/>
    <x v="2"/>
    <x v="140"/>
    <x v="0"/>
    <x v="2"/>
    <x v="2"/>
    <x v="44"/>
    <x v="1"/>
    <x v="4"/>
    <x v="0"/>
    <x v="62"/>
    <x v="136"/>
    <x v="37"/>
    <x v="6"/>
    <x v="37"/>
  </r>
  <r>
    <x v="676"/>
    <x v="27"/>
    <x v="1"/>
    <x v="0"/>
    <x v="4"/>
    <x v="0"/>
    <x v="4"/>
    <x v="0"/>
    <x v="0"/>
    <x v="551"/>
    <x v="451"/>
    <x v="3"/>
    <x v="4"/>
    <x v="130"/>
    <x v="3"/>
    <x v="1"/>
    <x v="3"/>
    <x v="143"/>
    <x v="1"/>
    <x v="3"/>
    <x v="0"/>
    <x v="325"/>
    <x v="189"/>
    <x v="78"/>
    <x v="94"/>
    <x v="82"/>
  </r>
  <r>
    <x v="677"/>
    <x v="9"/>
    <x v="2"/>
    <x v="1"/>
    <x v="3"/>
    <x v="2"/>
    <x v="12"/>
    <x v="1"/>
    <x v="0"/>
    <x v="67"/>
    <x v="474"/>
    <x v="2"/>
    <x v="0"/>
    <x v="90"/>
    <x v="2"/>
    <x v="2"/>
    <x v="4"/>
    <x v="61"/>
    <x v="1"/>
    <x v="2"/>
    <x v="0"/>
    <x v="326"/>
    <x v="92"/>
    <x v="19"/>
    <x v="84"/>
    <x v="152"/>
  </r>
  <r>
    <x v="678"/>
    <x v="37"/>
    <x v="2"/>
    <x v="3"/>
    <x v="4"/>
    <x v="4"/>
    <x v="3"/>
    <x v="1"/>
    <x v="1"/>
    <x v="91"/>
    <x v="572"/>
    <x v="1"/>
    <x v="1"/>
    <x v="154"/>
    <x v="1"/>
    <x v="1"/>
    <x v="1"/>
    <x v="144"/>
    <x v="1"/>
    <x v="4"/>
    <x v="0"/>
    <x v="112"/>
    <x v="27"/>
    <x v="23"/>
    <x v="132"/>
    <x v="33"/>
  </r>
  <r>
    <x v="679"/>
    <x v="45"/>
    <x v="1"/>
    <x v="1"/>
    <x v="0"/>
    <x v="0"/>
    <x v="10"/>
    <x v="2"/>
    <x v="1"/>
    <x v="552"/>
    <x v="573"/>
    <x v="2"/>
    <x v="2"/>
    <x v="134"/>
    <x v="2"/>
    <x v="1"/>
    <x v="4"/>
    <x v="133"/>
    <x v="1"/>
    <x v="2"/>
    <x v="1"/>
    <x v="111"/>
    <x v="15"/>
    <x v="48"/>
    <x v="92"/>
    <x v="138"/>
  </r>
  <r>
    <x v="680"/>
    <x v="55"/>
    <x v="0"/>
    <x v="3"/>
    <x v="0"/>
    <x v="5"/>
    <x v="16"/>
    <x v="1"/>
    <x v="3"/>
    <x v="553"/>
    <x v="574"/>
    <x v="2"/>
    <x v="2"/>
    <x v="154"/>
    <x v="2"/>
    <x v="0"/>
    <x v="4"/>
    <x v="144"/>
    <x v="0"/>
    <x v="2"/>
    <x v="0"/>
    <x v="282"/>
    <x v="4"/>
    <x v="52"/>
    <x v="81"/>
    <x v="138"/>
  </r>
  <r>
    <x v="681"/>
    <x v="52"/>
    <x v="2"/>
    <x v="0"/>
    <x v="4"/>
    <x v="1"/>
    <x v="1"/>
    <x v="1"/>
    <x v="0"/>
    <x v="455"/>
    <x v="575"/>
    <x v="0"/>
    <x v="2"/>
    <x v="62"/>
    <x v="0"/>
    <x v="1"/>
    <x v="2"/>
    <x v="121"/>
    <x v="1"/>
    <x v="1"/>
    <x v="1"/>
    <x v="322"/>
    <x v="151"/>
    <x v="0"/>
    <x v="125"/>
    <x v="96"/>
  </r>
  <r>
    <x v="682"/>
    <x v="6"/>
    <x v="0"/>
    <x v="2"/>
    <x v="4"/>
    <x v="5"/>
    <x v="4"/>
    <x v="0"/>
    <x v="1"/>
    <x v="554"/>
    <x v="528"/>
    <x v="3"/>
    <x v="4"/>
    <x v="29"/>
    <x v="3"/>
    <x v="0"/>
    <x v="2"/>
    <x v="45"/>
    <x v="0"/>
    <x v="2"/>
    <x v="0"/>
    <x v="21"/>
    <x v="266"/>
    <x v="82"/>
    <x v="170"/>
    <x v="114"/>
  </r>
  <r>
    <x v="683"/>
    <x v="58"/>
    <x v="1"/>
    <x v="3"/>
    <x v="0"/>
    <x v="0"/>
    <x v="0"/>
    <x v="1"/>
    <x v="1"/>
    <x v="121"/>
    <x v="576"/>
    <x v="0"/>
    <x v="2"/>
    <x v="40"/>
    <x v="0"/>
    <x v="1"/>
    <x v="1"/>
    <x v="40"/>
    <x v="1"/>
    <x v="1"/>
    <x v="0"/>
    <x v="152"/>
    <x v="217"/>
    <x v="42"/>
    <x v="8"/>
    <x v="76"/>
  </r>
  <r>
    <x v="684"/>
    <x v="9"/>
    <x v="1"/>
    <x v="3"/>
    <x v="4"/>
    <x v="0"/>
    <x v="16"/>
    <x v="1"/>
    <x v="0"/>
    <x v="517"/>
    <x v="577"/>
    <x v="3"/>
    <x v="1"/>
    <x v="28"/>
    <x v="3"/>
    <x v="0"/>
    <x v="3"/>
    <x v="64"/>
    <x v="0"/>
    <x v="2"/>
    <x v="0"/>
    <x v="327"/>
    <x v="174"/>
    <x v="73"/>
    <x v="27"/>
    <x v="84"/>
  </r>
  <r>
    <x v="685"/>
    <x v="32"/>
    <x v="0"/>
    <x v="2"/>
    <x v="2"/>
    <x v="0"/>
    <x v="0"/>
    <x v="1"/>
    <x v="2"/>
    <x v="555"/>
    <x v="495"/>
    <x v="3"/>
    <x v="2"/>
    <x v="60"/>
    <x v="3"/>
    <x v="1"/>
    <x v="2"/>
    <x v="78"/>
    <x v="1"/>
    <x v="3"/>
    <x v="1"/>
    <x v="207"/>
    <x v="86"/>
    <x v="46"/>
    <x v="112"/>
    <x v="22"/>
  </r>
  <r>
    <x v="686"/>
    <x v="20"/>
    <x v="0"/>
    <x v="3"/>
    <x v="4"/>
    <x v="1"/>
    <x v="10"/>
    <x v="0"/>
    <x v="3"/>
    <x v="556"/>
    <x v="578"/>
    <x v="3"/>
    <x v="4"/>
    <x v="68"/>
    <x v="3"/>
    <x v="1"/>
    <x v="4"/>
    <x v="73"/>
    <x v="1"/>
    <x v="2"/>
    <x v="0"/>
    <x v="43"/>
    <x v="42"/>
    <x v="35"/>
    <x v="94"/>
    <x v="162"/>
  </r>
  <r>
    <x v="687"/>
    <x v="46"/>
    <x v="0"/>
    <x v="1"/>
    <x v="0"/>
    <x v="0"/>
    <x v="2"/>
    <x v="1"/>
    <x v="3"/>
    <x v="557"/>
    <x v="579"/>
    <x v="3"/>
    <x v="2"/>
    <x v="164"/>
    <x v="3"/>
    <x v="2"/>
    <x v="1"/>
    <x v="146"/>
    <x v="1"/>
    <x v="2"/>
    <x v="0"/>
    <x v="309"/>
    <x v="2"/>
    <x v="26"/>
    <x v="137"/>
    <x v="69"/>
  </r>
  <r>
    <x v="688"/>
    <x v="64"/>
    <x v="0"/>
    <x v="1"/>
    <x v="2"/>
    <x v="0"/>
    <x v="5"/>
    <x v="3"/>
    <x v="2"/>
    <x v="268"/>
    <x v="580"/>
    <x v="0"/>
    <x v="3"/>
    <x v="23"/>
    <x v="0"/>
    <x v="1"/>
    <x v="1"/>
    <x v="73"/>
    <x v="1"/>
    <x v="2"/>
    <x v="1"/>
    <x v="115"/>
    <x v="34"/>
    <x v="87"/>
    <x v="64"/>
    <x v="26"/>
  </r>
  <r>
    <x v="689"/>
    <x v="45"/>
    <x v="1"/>
    <x v="4"/>
    <x v="0"/>
    <x v="0"/>
    <x v="7"/>
    <x v="3"/>
    <x v="3"/>
    <x v="558"/>
    <x v="359"/>
    <x v="0"/>
    <x v="0"/>
    <x v="157"/>
    <x v="0"/>
    <x v="2"/>
    <x v="1"/>
    <x v="84"/>
    <x v="1"/>
    <x v="3"/>
    <x v="0"/>
    <x v="328"/>
    <x v="64"/>
    <x v="80"/>
    <x v="168"/>
    <x v="101"/>
  </r>
  <r>
    <x v="690"/>
    <x v="34"/>
    <x v="2"/>
    <x v="2"/>
    <x v="1"/>
    <x v="0"/>
    <x v="9"/>
    <x v="1"/>
    <x v="0"/>
    <x v="273"/>
    <x v="581"/>
    <x v="3"/>
    <x v="0"/>
    <x v="20"/>
    <x v="3"/>
    <x v="1"/>
    <x v="3"/>
    <x v="53"/>
    <x v="1"/>
    <x v="0"/>
    <x v="1"/>
    <x v="79"/>
    <x v="80"/>
    <x v="84"/>
    <x v="38"/>
    <x v="37"/>
  </r>
  <r>
    <x v="691"/>
    <x v="42"/>
    <x v="0"/>
    <x v="2"/>
    <x v="2"/>
    <x v="1"/>
    <x v="11"/>
    <x v="0"/>
    <x v="0"/>
    <x v="559"/>
    <x v="582"/>
    <x v="0"/>
    <x v="0"/>
    <x v="61"/>
    <x v="0"/>
    <x v="1"/>
    <x v="4"/>
    <x v="100"/>
    <x v="1"/>
    <x v="3"/>
    <x v="1"/>
    <x v="78"/>
    <x v="296"/>
    <x v="62"/>
    <x v="151"/>
    <x v="15"/>
  </r>
  <r>
    <x v="692"/>
    <x v="30"/>
    <x v="1"/>
    <x v="3"/>
    <x v="1"/>
    <x v="5"/>
    <x v="19"/>
    <x v="0"/>
    <x v="2"/>
    <x v="18"/>
    <x v="18"/>
    <x v="2"/>
    <x v="0"/>
    <x v="88"/>
    <x v="2"/>
    <x v="0"/>
    <x v="0"/>
    <x v="141"/>
    <x v="0"/>
    <x v="3"/>
    <x v="1"/>
    <x v="329"/>
    <x v="13"/>
    <x v="11"/>
    <x v="56"/>
    <x v="94"/>
  </r>
  <r>
    <x v="693"/>
    <x v="21"/>
    <x v="1"/>
    <x v="4"/>
    <x v="3"/>
    <x v="2"/>
    <x v="3"/>
    <x v="3"/>
    <x v="3"/>
    <x v="560"/>
    <x v="424"/>
    <x v="1"/>
    <x v="0"/>
    <x v="9"/>
    <x v="1"/>
    <x v="1"/>
    <x v="0"/>
    <x v="8"/>
    <x v="1"/>
    <x v="2"/>
    <x v="0"/>
    <x v="102"/>
    <x v="152"/>
    <x v="53"/>
    <x v="79"/>
    <x v="59"/>
  </r>
  <r>
    <x v="694"/>
    <x v="56"/>
    <x v="1"/>
    <x v="0"/>
    <x v="0"/>
    <x v="5"/>
    <x v="15"/>
    <x v="0"/>
    <x v="0"/>
    <x v="561"/>
    <x v="583"/>
    <x v="1"/>
    <x v="1"/>
    <x v="17"/>
    <x v="1"/>
    <x v="2"/>
    <x v="2"/>
    <x v="122"/>
    <x v="1"/>
    <x v="2"/>
    <x v="0"/>
    <x v="330"/>
    <x v="328"/>
    <x v="5"/>
    <x v="174"/>
    <x v="91"/>
  </r>
  <r>
    <x v="695"/>
    <x v="41"/>
    <x v="2"/>
    <x v="2"/>
    <x v="1"/>
    <x v="0"/>
    <x v="0"/>
    <x v="3"/>
    <x v="3"/>
    <x v="562"/>
    <x v="420"/>
    <x v="3"/>
    <x v="1"/>
    <x v="15"/>
    <x v="3"/>
    <x v="1"/>
    <x v="2"/>
    <x v="57"/>
    <x v="1"/>
    <x v="1"/>
    <x v="1"/>
    <x v="324"/>
    <x v="329"/>
    <x v="34"/>
    <x v="151"/>
    <x v="49"/>
  </r>
  <r>
    <x v="696"/>
    <x v="54"/>
    <x v="1"/>
    <x v="3"/>
    <x v="0"/>
    <x v="4"/>
    <x v="0"/>
    <x v="1"/>
    <x v="3"/>
    <x v="563"/>
    <x v="37"/>
    <x v="2"/>
    <x v="0"/>
    <x v="89"/>
    <x v="2"/>
    <x v="0"/>
    <x v="3"/>
    <x v="34"/>
    <x v="0"/>
    <x v="2"/>
    <x v="0"/>
    <x v="300"/>
    <x v="167"/>
    <x v="66"/>
    <x v="152"/>
    <x v="74"/>
  </r>
  <r>
    <x v="697"/>
    <x v="7"/>
    <x v="1"/>
    <x v="2"/>
    <x v="1"/>
    <x v="3"/>
    <x v="10"/>
    <x v="1"/>
    <x v="0"/>
    <x v="564"/>
    <x v="584"/>
    <x v="1"/>
    <x v="2"/>
    <x v="127"/>
    <x v="1"/>
    <x v="0"/>
    <x v="2"/>
    <x v="20"/>
    <x v="0"/>
    <x v="3"/>
    <x v="1"/>
    <x v="42"/>
    <x v="153"/>
    <x v="83"/>
    <x v="114"/>
    <x v="51"/>
  </r>
  <r>
    <x v="698"/>
    <x v="27"/>
    <x v="0"/>
    <x v="2"/>
    <x v="2"/>
    <x v="0"/>
    <x v="12"/>
    <x v="1"/>
    <x v="1"/>
    <x v="565"/>
    <x v="585"/>
    <x v="1"/>
    <x v="4"/>
    <x v="66"/>
    <x v="1"/>
    <x v="1"/>
    <x v="2"/>
    <x v="41"/>
    <x v="1"/>
    <x v="3"/>
    <x v="1"/>
    <x v="85"/>
    <x v="24"/>
    <x v="65"/>
    <x v="151"/>
    <x v="163"/>
  </r>
  <r>
    <x v="699"/>
    <x v="14"/>
    <x v="1"/>
    <x v="0"/>
    <x v="4"/>
    <x v="3"/>
    <x v="2"/>
    <x v="0"/>
    <x v="1"/>
    <x v="173"/>
    <x v="586"/>
    <x v="0"/>
    <x v="0"/>
    <x v="26"/>
    <x v="0"/>
    <x v="2"/>
    <x v="2"/>
    <x v="129"/>
    <x v="1"/>
    <x v="4"/>
    <x v="0"/>
    <x v="331"/>
    <x v="210"/>
    <x v="14"/>
    <x v="70"/>
    <x v="88"/>
  </r>
  <r>
    <x v="700"/>
    <x v="15"/>
    <x v="0"/>
    <x v="4"/>
    <x v="4"/>
    <x v="0"/>
    <x v="5"/>
    <x v="2"/>
    <x v="2"/>
    <x v="566"/>
    <x v="488"/>
    <x v="0"/>
    <x v="3"/>
    <x v="29"/>
    <x v="0"/>
    <x v="0"/>
    <x v="3"/>
    <x v="55"/>
    <x v="0"/>
    <x v="4"/>
    <x v="1"/>
    <x v="229"/>
    <x v="167"/>
    <x v="65"/>
    <x v="37"/>
    <x v="56"/>
  </r>
  <r>
    <x v="701"/>
    <x v="60"/>
    <x v="0"/>
    <x v="2"/>
    <x v="1"/>
    <x v="5"/>
    <x v="8"/>
    <x v="0"/>
    <x v="1"/>
    <x v="544"/>
    <x v="587"/>
    <x v="3"/>
    <x v="0"/>
    <x v="48"/>
    <x v="3"/>
    <x v="0"/>
    <x v="1"/>
    <x v="38"/>
    <x v="0"/>
    <x v="3"/>
    <x v="1"/>
    <x v="270"/>
    <x v="268"/>
    <x v="68"/>
    <x v="96"/>
    <x v="98"/>
  </r>
  <r>
    <x v="702"/>
    <x v="7"/>
    <x v="2"/>
    <x v="4"/>
    <x v="2"/>
    <x v="0"/>
    <x v="14"/>
    <x v="0"/>
    <x v="0"/>
    <x v="567"/>
    <x v="96"/>
    <x v="1"/>
    <x v="4"/>
    <x v="73"/>
    <x v="1"/>
    <x v="1"/>
    <x v="4"/>
    <x v="70"/>
    <x v="1"/>
    <x v="4"/>
    <x v="0"/>
    <x v="180"/>
    <x v="13"/>
    <x v="70"/>
    <x v="19"/>
    <x v="44"/>
  </r>
  <r>
    <x v="703"/>
    <x v="63"/>
    <x v="0"/>
    <x v="3"/>
    <x v="2"/>
    <x v="3"/>
    <x v="19"/>
    <x v="1"/>
    <x v="1"/>
    <x v="333"/>
    <x v="588"/>
    <x v="3"/>
    <x v="4"/>
    <x v="121"/>
    <x v="3"/>
    <x v="2"/>
    <x v="1"/>
    <x v="79"/>
    <x v="1"/>
    <x v="2"/>
    <x v="0"/>
    <x v="211"/>
    <x v="206"/>
    <x v="49"/>
    <x v="99"/>
    <x v="37"/>
  </r>
  <r>
    <x v="704"/>
    <x v="7"/>
    <x v="0"/>
    <x v="4"/>
    <x v="4"/>
    <x v="0"/>
    <x v="12"/>
    <x v="1"/>
    <x v="2"/>
    <x v="568"/>
    <x v="589"/>
    <x v="3"/>
    <x v="1"/>
    <x v="189"/>
    <x v="3"/>
    <x v="0"/>
    <x v="1"/>
    <x v="149"/>
    <x v="0"/>
    <x v="1"/>
    <x v="1"/>
    <x v="332"/>
    <x v="103"/>
    <x v="23"/>
    <x v="72"/>
    <x v="63"/>
  </r>
  <r>
    <x v="705"/>
    <x v="31"/>
    <x v="0"/>
    <x v="4"/>
    <x v="4"/>
    <x v="0"/>
    <x v="12"/>
    <x v="3"/>
    <x v="1"/>
    <x v="89"/>
    <x v="590"/>
    <x v="3"/>
    <x v="1"/>
    <x v="102"/>
    <x v="3"/>
    <x v="1"/>
    <x v="4"/>
    <x v="60"/>
    <x v="1"/>
    <x v="3"/>
    <x v="0"/>
    <x v="111"/>
    <x v="127"/>
    <x v="26"/>
    <x v="42"/>
    <x v="36"/>
  </r>
  <r>
    <x v="706"/>
    <x v="22"/>
    <x v="2"/>
    <x v="2"/>
    <x v="4"/>
    <x v="4"/>
    <x v="4"/>
    <x v="1"/>
    <x v="1"/>
    <x v="569"/>
    <x v="591"/>
    <x v="0"/>
    <x v="1"/>
    <x v="192"/>
    <x v="0"/>
    <x v="2"/>
    <x v="3"/>
    <x v="72"/>
    <x v="1"/>
    <x v="4"/>
    <x v="1"/>
    <x v="299"/>
    <x v="69"/>
    <x v="27"/>
    <x v="117"/>
    <x v="88"/>
  </r>
  <r>
    <x v="707"/>
    <x v="43"/>
    <x v="2"/>
    <x v="2"/>
    <x v="0"/>
    <x v="0"/>
    <x v="18"/>
    <x v="0"/>
    <x v="2"/>
    <x v="570"/>
    <x v="345"/>
    <x v="0"/>
    <x v="4"/>
    <x v="8"/>
    <x v="0"/>
    <x v="0"/>
    <x v="4"/>
    <x v="106"/>
    <x v="0"/>
    <x v="2"/>
    <x v="0"/>
    <x v="333"/>
    <x v="156"/>
    <x v="76"/>
    <x v="116"/>
    <x v="34"/>
  </r>
  <r>
    <x v="708"/>
    <x v="48"/>
    <x v="1"/>
    <x v="3"/>
    <x v="4"/>
    <x v="0"/>
    <x v="19"/>
    <x v="1"/>
    <x v="1"/>
    <x v="571"/>
    <x v="592"/>
    <x v="2"/>
    <x v="4"/>
    <x v="39"/>
    <x v="2"/>
    <x v="2"/>
    <x v="4"/>
    <x v="112"/>
    <x v="1"/>
    <x v="4"/>
    <x v="1"/>
    <x v="298"/>
    <x v="297"/>
    <x v="31"/>
    <x v="122"/>
    <x v="28"/>
  </r>
  <r>
    <x v="709"/>
    <x v="23"/>
    <x v="0"/>
    <x v="3"/>
    <x v="3"/>
    <x v="0"/>
    <x v="2"/>
    <x v="3"/>
    <x v="2"/>
    <x v="572"/>
    <x v="593"/>
    <x v="2"/>
    <x v="2"/>
    <x v="138"/>
    <x v="2"/>
    <x v="2"/>
    <x v="0"/>
    <x v="85"/>
    <x v="1"/>
    <x v="2"/>
    <x v="0"/>
    <x v="101"/>
    <x v="330"/>
    <x v="41"/>
    <x v="95"/>
    <x v="153"/>
  </r>
  <r>
    <x v="710"/>
    <x v="62"/>
    <x v="0"/>
    <x v="3"/>
    <x v="1"/>
    <x v="3"/>
    <x v="12"/>
    <x v="3"/>
    <x v="3"/>
    <x v="206"/>
    <x v="594"/>
    <x v="1"/>
    <x v="2"/>
    <x v="32"/>
    <x v="1"/>
    <x v="1"/>
    <x v="3"/>
    <x v="133"/>
    <x v="1"/>
    <x v="1"/>
    <x v="1"/>
    <x v="326"/>
    <x v="155"/>
    <x v="1"/>
    <x v="6"/>
    <x v="107"/>
  </r>
  <r>
    <x v="711"/>
    <x v="23"/>
    <x v="0"/>
    <x v="1"/>
    <x v="0"/>
    <x v="0"/>
    <x v="15"/>
    <x v="0"/>
    <x v="2"/>
    <x v="573"/>
    <x v="0"/>
    <x v="1"/>
    <x v="0"/>
    <x v="119"/>
    <x v="1"/>
    <x v="1"/>
    <x v="1"/>
    <x v="126"/>
    <x v="1"/>
    <x v="3"/>
    <x v="0"/>
    <x v="334"/>
    <x v="76"/>
    <x v="53"/>
    <x v="144"/>
    <x v="85"/>
  </r>
  <r>
    <x v="712"/>
    <x v="8"/>
    <x v="2"/>
    <x v="0"/>
    <x v="1"/>
    <x v="0"/>
    <x v="18"/>
    <x v="3"/>
    <x v="3"/>
    <x v="333"/>
    <x v="350"/>
    <x v="1"/>
    <x v="3"/>
    <x v="48"/>
    <x v="1"/>
    <x v="0"/>
    <x v="4"/>
    <x v="86"/>
    <x v="0"/>
    <x v="3"/>
    <x v="1"/>
    <x v="256"/>
    <x v="24"/>
    <x v="61"/>
    <x v="39"/>
    <x v="5"/>
  </r>
  <r>
    <x v="713"/>
    <x v="13"/>
    <x v="1"/>
    <x v="0"/>
    <x v="3"/>
    <x v="2"/>
    <x v="18"/>
    <x v="1"/>
    <x v="2"/>
    <x v="574"/>
    <x v="595"/>
    <x v="2"/>
    <x v="3"/>
    <x v="74"/>
    <x v="2"/>
    <x v="0"/>
    <x v="3"/>
    <x v="107"/>
    <x v="0"/>
    <x v="1"/>
    <x v="1"/>
    <x v="262"/>
    <x v="272"/>
    <x v="84"/>
    <x v="8"/>
    <x v="138"/>
  </r>
  <r>
    <x v="714"/>
    <x v="5"/>
    <x v="1"/>
    <x v="0"/>
    <x v="2"/>
    <x v="0"/>
    <x v="17"/>
    <x v="1"/>
    <x v="2"/>
    <x v="575"/>
    <x v="596"/>
    <x v="1"/>
    <x v="1"/>
    <x v="42"/>
    <x v="1"/>
    <x v="2"/>
    <x v="3"/>
    <x v="53"/>
    <x v="1"/>
    <x v="3"/>
    <x v="1"/>
    <x v="142"/>
    <x v="251"/>
    <x v="24"/>
    <x v="53"/>
    <x v="0"/>
  </r>
  <r>
    <x v="715"/>
    <x v="33"/>
    <x v="1"/>
    <x v="4"/>
    <x v="1"/>
    <x v="0"/>
    <x v="5"/>
    <x v="0"/>
    <x v="2"/>
    <x v="576"/>
    <x v="597"/>
    <x v="3"/>
    <x v="0"/>
    <x v="161"/>
    <x v="3"/>
    <x v="0"/>
    <x v="3"/>
    <x v="71"/>
    <x v="0"/>
    <x v="2"/>
    <x v="1"/>
    <x v="329"/>
    <x v="147"/>
    <x v="5"/>
    <x v="171"/>
    <x v="61"/>
  </r>
  <r>
    <x v="716"/>
    <x v="38"/>
    <x v="2"/>
    <x v="2"/>
    <x v="0"/>
    <x v="0"/>
    <x v="2"/>
    <x v="1"/>
    <x v="2"/>
    <x v="229"/>
    <x v="141"/>
    <x v="2"/>
    <x v="2"/>
    <x v="177"/>
    <x v="2"/>
    <x v="0"/>
    <x v="3"/>
    <x v="107"/>
    <x v="0"/>
    <x v="2"/>
    <x v="1"/>
    <x v="172"/>
    <x v="99"/>
    <x v="35"/>
    <x v="29"/>
    <x v="116"/>
  </r>
  <r>
    <x v="717"/>
    <x v="28"/>
    <x v="1"/>
    <x v="2"/>
    <x v="3"/>
    <x v="0"/>
    <x v="1"/>
    <x v="1"/>
    <x v="1"/>
    <x v="577"/>
    <x v="598"/>
    <x v="3"/>
    <x v="2"/>
    <x v="3"/>
    <x v="3"/>
    <x v="2"/>
    <x v="1"/>
    <x v="135"/>
    <x v="1"/>
    <x v="3"/>
    <x v="0"/>
    <x v="159"/>
    <x v="118"/>
    <x v="25"/>
    <x v="95"/>
    <x v="2"/>
  </r>
  <r>
    <x v="718"/>
    <x v="43"/>
    <x v="1"/>
    <x v="3"/>
    <x v="3"/>
    <x v="2"/>
    <x v="12"/>
    <x v="1"/>
    <x v="0"/>
    <x v="366"/>
    <x v="599"/>
    <x v="0"/>
    <x v="3"/>
    <x v="29"/>
    <x v="0"/>
    <x v="0"/>
    <x v="3"/>
    <x v="39"/>
    <x v="0"/>
    <x v="2"/>
    <x v="0"/>
    <x v="335"/>
    <x v="121"/>
    <x v="72"/>
    <x v="91"/>
    <x v="108"/>
  </r>
  <r>
    <x v="719"/>
    <x v="38"/>
    <x v="2"/>
    <x v="1"/>
    <x v="2"/>
    <x v="2"/>
    <x v="2"/>
    <x v="2"/>
    <x v="0"/>
    <x v="578"/>
    <x v="202"/>
    <x v="1"/>
    <x v="0"/>
    <x v="126"/>
    <x v="1"/>
    <x v="0"/>
    <x v="1"/>
    <x v="3"/>
    <x v="0"/>
    <x v="0"/>
    <x v="0"/>
    <x v="177"/>
    <x v="232"/>
    <x v="27"/>
    <x v="66"/>
    <x v="73"/>
  </r>
  <r>
    <x v="720"/>
    <x v="10"/>
    <x v="1"/>
    <x v="0"/>
    <x v="2"/>
    <x v="5"/>
    <x v="10"/>
    <x v="0"/>
    <x v="1"/>
    <x v="579"/>
    <x v="600"/>
    <x v="0"/>
    <x v="2"/>
    <x v="98"/>
    <x v="0"/>
    <x v="1"/>
    <x v="1"/>
    <x v="18"/>
    <x v="1"/>
    <x v="1"/>
    <x v="1"/>
    <x v="230"/>
    <x v="331"/>
    <x v="34"/>
    <x v="137"/>
    <x v="95"/>
  </r>
  <r>
    <x v="721"/>
    <x v="60"/>
    <x v="2"/>
    <x v="2"/>
    <x v="0"/>
    <x v="0"/>
    <x v="7"/>
    <x v="2"/>
    <x v="0"/>
    <x v="580"/>
    <x v="601"/>
    <x v="1"/>
    <x v="4"/>
    <x v="87"/>
    <x v="1"/>
    <x v="0"/>
    <x v="3"/>
    <x v="140"/>
    <x v="0"/>
    <x v="0"/>
    <x v="1"/>
    <x v="336"/>
    <x v="228"/>
    <x v="56"/>
    <x v="144"/>
    <x v="34"/>
  </r>
  <r>
    <x v="722"/>
    <x v="67"/>
    <x v="1"/>
    <x v="4"/>
    <x v="4"/>
    <x v="0"/>
    <x v="5"/>
    <x v="0"/>
    <x v="3"/>
    <x v="581"/>
    <x v="602"/>
    <x v="1"/>
    <x v="3"/>
    <x v="179"/>
    <x v="1"/>
    <x v="2"/>
    <x v="0"/>
    <x v="6"/>
    <x v="1"/>
    <x v="2"/>
    <x v="0"/>
    <x v="315"/>
    <x v="279"/>
    <x v="32"/>
    <x v="20"/>
    <x v="68"/>
  </r>
  <r>
    <x v="723"/>
    <x v="31"/>
    <x v="2"/>
    <x v="0"/>
    <x v="2"/>
    <x v="0"/>
    <x v="9"/>
    <x v="1"/>
    <x v="2"/>
    <x v="582"/>
    <x v="603"/>
    <x v="0"/>
    <x v="1"/>
    <x v="6"/>
    <x v="0"/>
    <x v="0"/>
    <x v="0"/>
    <x v="83"/>
    <x v="0"/>
    <x v="2"/>
    <x v="0"/>
    <x v="242"/>
    <x v="92"/>
    <x v="68"/>
    <x v="111"/>
    <x v="118"/>
  </r>
  <r>
    <x v="724"/>
    <x v="64"/>
    <x v="0"/>
    <x v="4"/>
    <x v="1"/>
    <x v="0"/>
    <x v="12"/>
    <x v="1"/>
    <x v="1"/>
    <x v="583"/>
    <x v="604"/>
    <x v="3"/>
    <x v="2"/>
    <x v="121"/>
    <x v="3"/>
    <x v="2"/>
    <x v="3"/>
    <x v="27"/>
    <x v="1"/>
    <x v="4"/>
    <x v="0"/>
    <x v="337"/>
    <x v="319"/>
    <x v="70"/>
    <x v="58"/>
    <x v="133"/>
  </r>
  <r>
    <x v="725"/>
    <x v="63"/>
    <x v="2"/>
    <x v="3"/>
    <x v="2"/>
    <x v="0"/>
    <x v="8"/>
    <x v="3"/>
    <x v="0"/>
    <x v="584"/>
    <x v="605"/>
    <x v="2"/>
    <x v="3"/>
    <x v="158"/>
    <x v="2"/>
    <x v="1"/>
    <x v="1"/>
    <x v="105"/>
    <x v="1"/>
    <x v="4"/>
    <x v="1"/>
    <x v="253"/>
    <x v="332"/>
    <x v="50"/>
    <x v="142"/>
    <x v="155"/>
  </r>
  <r>
    <x v="726"/>
    <x v="40"/>
    <x v="0"/>
    <x v="0"/>
    <x v="0"/>
    <x v="5"/>
    <x v="17"/>
    <x v="0"/>
    <x v="2"/>
    <x v="585"/>
    <x v="196"/>
    <x v="1"/>
    <x v="0"/>
    <x v="27"/>
    <x v="1"/>
    <x v="2"/>
    <x v="2"/>
    <x v="4"/>
    <x v="1"/>
    <x v="1"/>
    <x v="0"/>
    <x v="80"/>
    <x v="333"/>
    <x v="9"/>
    <x v="69"/>
    <x v="57"/>
  </r>
  <r>
    <x v="727"/>
    <x v="62"/>
    <x v="0"/>
    <x v="3"/>
    <x v="4"/>
    <x v="1"/>
    <x v="13"/>
    <x v="3"/>
    <x v="2"/>
    <x v="586"/>
    <x v="606"/>
    <x v="1"/>
    <x v="3"/>
    <x v="82"/>
    <x v="1"/>
    <x v="2"/>
    <x v="2"/>
    <x v="115"/>
    <x v="1"/>
    <x v="0"/>
    <x v="0"/>
    <x v="334"/>
    <x v="220"/>
    <x v="60"/>
    <x v="34"/>
    <x v="167"/>
  </r>
  <r>
    <x v="728"/>
    <x v="63"/>
    <x v="1"/>
    <x v="2"/>
    <x v="2"/>
    <x v="0"/>
    <x v="7"/>
    <x v="2"/>
    <x v="0"/>
    <x v="587"/>
    <x v="607"/>
    <x v="1"/>
    <x v="3"/>
    <x v="193"/>
    <x v="1"/>
    <x v="2"/>
    <x v="1"/>
    <x v="100"/>
    <x v="1"/>
    <x v="4"/>
    <x v="0"/>
    <x v="316"/>
    <x v="11"/>
    <x v="87"/>
    <x v="163"/>
    <x v="130"/>
  </r>
  <r>
    <x v="729"/>
    <x v="43"/>
    <x v="2"/>
    <x v="3"/>
    <x v="2"/>
    <x v="5"/>
    <x v="5"/>
    <x v="1"/>
    <x v="0"/>
    <x v="526"/>
    <x v="608"/>
    <x v="1"/>
    <x v="3"/>
    <x v="79"/>
    <x v="1"/>
    <x v="2"/>
    <x v="4"/>
    <x v="76"/>
    <x v="1"/>
    <x v="4"/>
    <x v="0"/>
    <x v="137"/>
    <x v="334"/>
    <x v="14"/>
    <x v="119"/>
    <x v="107"/>
  </r>
  <r>
    <x v="730"/>
    <x v="17"/>
    <x v="1"/>
    <x v="1"/>
    <x v="1"/>
    <x v="2"/>
    <x v="17"/>
    <x v="0"/>
    <x v="1"/>
    <x v="588"/>
    <x v="164"/>
    <x v="1"/>
    <x v="2"/>
    <x v="34"/>
    <x v="1"/>
    <x v="2"/>
    <x v="0"/>
    <x v="30"/>
    <x v="1"/>
    <x v="1"/>
    <x v="0"/>
    <x v="49"/>
    <x v="315"/>
    <x v="79"/>
    <x v="87"/>
    <x v="19"/>
  </r>
  <r>
    <x v="731"/>
    <x v="33"/>
    <x v="0"/>
    <x v="3"/>
    <x v="0"/>
    <x v="5"/>
    <x v="5"/>
    <x v="0"/>
    <x v="1"/>
    <x v="589"/>
    <x v="609"/>
    <x v="3"/>
    <x v="1"/>
    <x v="49"/>
    <x v="3"/>
    <x v="2"/>
    <x v="3"/>
    <x v="59"/>
    <x v="1"/>
    <x v="3"/>
    <x v="1"/>
    <x v="63"/>
    <x v="233"/>
    <x v="77"/>
    <x v="134"/>
    <x v="132"/>
  </r>
  <r>
    <x v="732"/>
    <x v="64"/>
    <x v="0"/>
    <x v="1"/>
    <x v="1"/>
    <x v="0"/>
    <x v="19"/>
    <x v="3"/>
    <x v="2"/>
    <x v="590"/>
    <x v="610"/>
    <x v="2"/>
    <x v="2"/>
    <x v="53"/>
    <x v="2"/>
    <x v="1"/>
    <x v="2"/>
    <x v="36"/>
    <x v="1"/>
    <x v="1"/>
    <x v="0"/>
    <x v="14"/>
    <x v="65"/>
    <x v="34"/>
    <x v="127"/>
    <x v="110"/>
  </r>
  <r>
    <x v="733"/>
    <x v="33"/>
    <x v="2"/>
    <x v="3"/>
    <x v="1"/>
    <x v="0"/>
    <x v="1"/>
    <x v="2"/>
    <x v="2"/>
    <x v="587"/>
    <x v="607"/>
    <x v="3"/>
    <x v="4"/>
    <x v="190"/>
    <x v="3"/>
    <x v="0"/>
    <x v="2"/>
    <x v="12"/>
    <x v="0"/>
    <x v="4"/>
    <x v="0"/>
    <x v="279"/>
    <x v="103"/>
    <x v="75"/>
    <x v="82"/>
    <x v="168"/>
  </r>
  <r>
    <x v="734"/>
    <x v="12"/>
    <x v="2"/>
    <x v="1"/>
    <x v="2"/>
    <x v="4"/>
    <x v="5"/>
    <x v="2"/>
    <x v="0"/>
    <x v="175"/>
    <x v="192"/>
    <x v="2"/>
    <x v="0"/>
    <x v="119"/>
    <x v="2"/>
    <x v="0"/>
    <x v="0"/>
    <x v="145"/>
    <x v="0"/>
    <x v="3"/>
    <x v="1"/>
    <x v="72"/>
    <x v="32"/>
    <x v="71"/>
    <x v="26"/>
    <x v="9"/>
  </r>
  <r>
    <x v="735"/>
    <x v="37"/>
    <x v="0"/>
    <x v="4"/>
    <x v="4"/>
    <x v="4"/>
    <x v="13"/>
    <x v="3"/>
    <x v="1"/>
    <x v="591"/>
    <x v="424"/>
    <x v="2"/>
    <x v="4"/>
    <x v="173"/>
    <x v="2"/>
    <x v="2"/>
    <x v="2"/>
    <x v="96"/>
    <x v="1"/>
    <x v="1"/>
    <x v="0"/>
    <x v="186"/>
    <x v="54"/>
    <x v="3"/>
    <x v="16"/>
    <x v="162"/>
  </r>
  <r>
    <x v="736"/>
    <x v="61"/>
    <x v="0"/>
    <x v="3"/>
    <x v="4"/>
    <x v="0"/>
    <x v="14"/>
    <x v="0"/>
    <x v="3"/>
    <x v="592"/>
    <x v="611"/>
    <x v="1"/>
    <x v="1"/>
    <x v="80"/>
    <x v="1"/>
    <x v="1"/>
    <x v="2"/>
    <x v="149"/>
    <x v="1"/>
    <x v="3"/>
    <x v="1"/>
    <x v="11"/>
    <x v="71"/>
    <x v="23"/>
    <x v="82"/>
    <x v="121"/>
  </r>
  <r>
    <x v="737"/>
    <x v="9"/>
    <x v="1"/>
    <x v="2"/>
    <x v="1"/>
    <x v="2"/>
    <x v="7"/>
    <x v="3"/>
    <x v="0"/>
    <x v="549"/>
    <x v="249"/>
    <x v="0"/>
    <x v="3"/>
    <x v="47"/>
    <x v="0"/>
    <x v="0"/>
    <x v="1"/>
    <x v="74"/>
    <x v="0"/>
    <x v="1"/>
    <x v="0"/>
    <x v="230"/>
    <x v="176"/>
    <x v="29"/>
    <x v="52"/>
    <x v="157"/>
  </r>
  <r>
    <x v="738"/>
    <x v="49"/>
    <x v="2"/>
    <x v="4"/>
    <x v="2"/>
    <x v="0"/>
    <x v="1"/>
    <x v="2"/>
    <x v="3"/>
    <x v="593"/>
    <x v="587"/>
    <x v="0"/>
    <x v="4"/>
    <x v="103"/>
    <x v="0"/>
    <x v="2"/>
    <x v="1"/>
    <x v="24"/>
    <x v="1"/>
    <x v="2"/>
    <x v="0"/>
    <x v="112"/>
    <x v="201"/>
    <x v="69"/>
    <x v="119"/>
    <x v="8"/>
  </r>
  <r>
    <x v="739"/>
    <x v="48"/>
    <x v="1"/>
    <x v="2"/>
    <x v="2"/>
    <x v="1"/>
    <x v="13"/>
    <x v="3"/>
    <x v="0"/>
    <x v="1"/>
    <x v="612"/>
    <x v="0"/>
    <x v="2"/>
    <x v="58"/>
    <x v="0"/>
    <x v="1"/>
    <x v="2"/>
    <x v="114"/>
    <x v="1"/>
    <x v="3"/>
    <x v="1"/>
    <x v="338"/>
    <x v="123"/>
    <x v="90"/>
    <x v="124"/>
    <x v="8"/>
  </r>
  <r>
    <x v="740"/>
    <x v="30"/>
    <x v="1"/>
    <x v="1"/>
    <x v="1"/>
    <x v="4"/>
    <x v="8"/>
    <x v="2"/>
    <x v="3"/>
    <x v="247"/>
    <x v="613"/>
    <x v="0"/>
    <x v="1"/>
    <x v="153"/>
    <x v="0"/>
    <x v="1"/>
    <x v="3"/>
    <x v="56"/>
    <x v="1"/>
    <x v="1"/>
    <x v="0"/>
    <x v="213"/>
    <x v="312"/>
    <x v="38"/>
    <x v="57"/>
    <x v="20"/>
  </r>
  <r>
    <x v="741"/>
    <x v="67"/>
    <x v="2"/>
    <x v="4"/>
    <x v="4"/>
    <x v="0"/>
    <x v="6"/>
    <x v="0"/>
    <x v="0"/>
    <x v="594"/>
    <x v="614"/>
    <x v="2"/>
    <x v="4"/>
    <x v="122"/>
    <x v="2"/>
    <x v="2"/>
    <x v="2"/>
    <x v="13"/>
    <x v="1"/>
    <x v="2"/>
    <x v="0"/>
    <x v="289"/>
    <x v="55"/>
    <x v="34"/>
    <x v="22"/>
    <x v="98"/>
  </r>
  <r>
    <x v="742"/>
    <x v="44"/>
    <x v="0"/>
    <x v="2"/>
    <x v="2"/>
    <x v="0"/>
    <x v="12"/>
    <x v="2"/>
    <x v="0"/>
    <x v="595"/>
    <x v="615"/>
    <x v="2"/>
    <x v="0"/>
    <x v="139"/>
    <x v="2"/>
    <x v="2"/>
    <x v="2"/>
    <x v="82"/>
    <x v="1"/>
    <x v="2"/>
    <x v="0"/>
    <x v="126"/>
    <x v="55"/>
    <x v="34"/>
    <x v="133"/>
    <x v="13"/>
  </r>
  <r>
    <x v="743"/>
    <x v="16"/>
    <x v="1"/>
    <x v="0"/>
    <x v="3"/>
    <x v="0"/>
    <x v="17"/>
    <x v="3"/>
    <x v="1"/>
    <x v="596"/>
    <x v="155"/>
    <x v="1"/>
    <x v="4"/>
    <x v="22"/>
    <x v="1"/>
    <x v="0"/>
    <x v="2"/>
    <x v="9"/>
    <x v="0"/>
    <x v="3"/>
    <x v="1"/>
    <x v="218"/>
    <x v="197"/>
    <x v="69"/>
    <x v="112"/>
    <x v="19"/>
  </r>
  <r>
    <x v="744"/>
    <x v="9"/>
    <x v="1"/>
    <x v="2"/>
    <x v="0"/>
    <x v="1"/>
    <x v="3"/>
    <x v="3"/>
    <x v="0"/>
    <x v="597"/>
    <x v="79"/>
    <x v="0"/>
    <x v="4"/>
    <x v="52"/>
    <x v="0"/>
    <x v="2"/>
    <x v="2"/>
    <x v="47"/>
    <x v="1"/>
    <x v="1"/>
    <x v="0"/>
    <x v="189"/>
    <x v="105"/>
    <x v="49"/>
    <x v="0"/>
    <x v="93"/>
  </r>
  <r>
    <x v="745"/>
    <x v="48"/>
    <x v="2"/>
    <x v="1"/>
    <x v="4"/>
    <x v="4"/>
    <x v="2"/>
    <x v="0"/>
    <x v="1"/>
    <x v="598"/>
    <x v="616"/>
    <x v="0"/>
    <x v="3"/>
    <x v="75"/>
    <x v="0"/>
    <x v="1"/>
    <x v="2"/>
    <x v="118"/>
    <x v="1"/>
    <x v="3"/>
    <x v="0"/>
    <x v="339"/>
    <x v="255"/>
    <x v="45"/>
    <x v="167"/>
    <x v="30"/>
  </r>
  <r>
    <x v="746"/>
    <x v="4"/>
    <x v="1"/>
    <x v="1"/>
    <x v="1"/>
    <x v="0"/>
    <x v="0"/>
    <x v="0"/>
    <x v="3"/>
    <x v="579"/>
    <x v="617"/>
    <x v="0"/>
    <x v="4"/>
    <x v="178"/>
    <x v="0"/>
    <x v="2"/>
    <x v="4"/>
    <x v="9"/>
    <x v="1"/>
    <x v="0"/>
    <x v="0"/>
    <x v="224"/>
    <x v="314"/>
    <x v="74"/>
    <x v="154"/>
    <x v="60"/>
  </r>
  <r>
    <x v="747"/>
    <x v="17"/>
    <x v="1"/>
    <x v="4"/>
    <x v="1"/>
    <x v="0"/>
    <x v="4"/>
    <x v="1"/>
    <x v="3"/>
    <x v="599"/>
    <x v="618"/>
    <x v="2"/>
    <x v="3"/>
    <x v="11"/>
    <x v="2"/>
    <x v="1"/>
    <x v="0"/>
    <x v="61"/>
    <x v="1"/>
    <x v="4"/>
    <x v="1"/>
    <x v="146"/>
    <x v="184"/>
    <x v="61"/>
    <x v="157"/>
    <x v="108"/>
  </r>
  <r>
    <x v="748"/>
    <x v="4"/>
    <x v="2"/>
    <x v="4"/>
    <x v="3"/>
    <x v="0"/>
    <x v="2"/>
    <x v="2"/>
    <x v="3"/>
    <x v="584"/>
    <x v="619"/>
    <x v="2"/>
    <x v="0"/>
    <x v="115"/>
    <x v="2"/>
    <x v="0"/>
    <x v="2"/>
    <x v="30"/>
    <x v="0"/>
    <x v="4"/>
    <x v="1"/>
    <x v="340"/>
    <x v="109"/>
    <x v="65"/>
    <x v="109"/>
    <x v="28"/>
  </r>
  <r>
    <x v="749"/>
    <x v="22"/>
    <x v="2"/>
    <x v="3"/>
    <x v="0"/>
    <x v="1"/>
    <x v="14"/>
    <x v="0"/>
    <x v="1"/>
    <x v="600"/>
    <x v="620"/>
    <x v="2"/>
    <x v="0"/>
    <x v="83"/>
    <x v="2"/>
    <x v="1"/>
    <x v="2"/>
    <x v="76"/>
    <x v="1"/>
    <x v="2"/>
    <x v="0"/>
    <x v="326"/>
    <x v="335"/>
    <x v="38"/>
    <x v="56"/>
    <x v="164"/>
  </r>
  <r>
    <x v="750"/>
    <x v="56"/>
    <x v="1"/>
    <x v="1"/>
    <x v="3"/>
    <x v="4"/>
    <x v="17"/>
    <x v="0"/>
    <x v="2"/>
    <x v="601"/>
    <x v="356"/>
    <x v="1"/>
    <x v="1"/>
    <x v="28"/>
    <x v="1"/>
    <x v="1"/>
    <x v="0"/>
    <x v="21"/>
    <x v="1"/>
    <x v="4"/>
    <x v="1"/>
    <x v="341"/>
    <x v="183"/>
    <x v="42"/>
    <x v="21"/>
    <x v="35"/>
  </r>
  <r>
    <x v="751"/>
    <x v="50"/>
    <x v="0"/>
    <x v="4"/>
    <x v="1"/>
    <x v="4"/>
    <x v="1"/>
    <x v="3"/>
    <x v="1"/>
    <x v="602"/>
    <x v="621"/>
    <x v="3"/>
    <x v="3"/>
    <x v="147"/>
    <x v="3"/>
    <x v="0"/>
    <x v="3"/>
    <x v="36"/>
    <x v="0"/>
    <x v="3"/>
    <x v="0"/>
    <x v="197"/>
    <x v="302"/>
    <x v="83"/>
    <x v="87"/>
    <x v="59"/>
  </r>
  <r>
    <x v="752"/>
    <x v="25"/>
    <x v="0"/>
    <x v="3"/>
    <x v="3"/>
    <x v="0"/>
    <x v="7"/>
    <x v="3"/>
    <x v="1"/>
    <x v="603"/>
    <x v="622"/>
    <x v="0"/>
    <x v="1"/>
    <x v="21"/>
    <x v="0"/>
    <x v="0"/>
    <x v="1"/>
    <x v="82"/>
    <x v="0"/>
    <x v="2"/>
    <x v="1"/>
    <x v="342"/>
    <x v="259"/>
    <x v="68"/>
    <x v="76"/>
    <x v="103"/>
  </r>
  <r>
    <x v="753"/>
    <x v="8"/>
    <x v="0"/>
    <x v="4"/>
    <x v="2"/>
    <x v="0"/>
    <x v="1"/>
    <x v="3"/>
    <x v="1"/>
    <x v="604"/>
    <x v="623"/>
    <x v="0"/>
    <x v="4"/>
    <x v="194"/>
    <x v="0"/>
    <x v="0"/>
    <x v="0"/>
    <x v="127"/>
    <x v="0"/>
    <x v="2"/>
    <x v="1"/>
    <x v="331"/>
    <x v="164"/>
    <x v="32"/>
    <x v="0"/>
    <x v="128"/>
  </r>
  <r>
    <x v="754"/>
    <x v="9"/>
    <x v="2"/>
    <x v="0"/>
    <x v="0"/>
    <x v="2"/>
    <x v="0"/>
    <x v="0"/>
    <x v="2"/>
    <x v="605"/>
    <x v="624"/>
    <x v="3"/>
    <x v="4"/>
    <x v="151"/>
    <x v="3"/>
    <x v="0"/>
    <x v="1"/>
    <x v="91"/>
    <x v="0"/>
    <x v="3"/>
    <x v="0"/>
    <x v="137"/>
    <x v="112"/>
    <x v="26"/>
    <x v="85"/>
    <x v="68"/>
  </r>
  <r>
    <x v="755"/>
    <x v="53"/>
    <x v="1"/>
    <x v="0"/>
    <x v="1"/>
    <x v="0"/>
    <x v="2"/>
    <x v="1"/>
    <x v="2"/>
    <x v="606"/>
    <x v="491"/>
    <x v="2"/>
    <x v="2"/>
    <x v="1"/>
    <x v="2"/>
    <x v="1"/>
    <x v="4"/>
    <x v="77"/>
    <x v="1"/>
    <x v="3"/>
    <x v="0"/>
    <x v="240"/>
    <x v="203"/>
    <x v="30"/>
    <x v="17"/>
    <x v="124"/>
  </r>
  <r>
    <x v="756"/>
    <x v="29"/>
    <x v="2"/>
    <x v="4"/>
    <x v="4"/>
    <x v="2"/>
    <x v="17"/>
    <x v="3"/>
    <x v="0"/>
    <x v="607"/>
    <x v="316"/>
    <x v="1"/>
    <x v="0"/>
    <x v="109"/>
    <x v="1"/>
    <x v="2"/>
    <x v="0"/>
    <x v="27"/>
    <x v="1"/>
    <x v="1"/>
    <x v="0"/>
    <x v="1"/>
    <x v="321"/>
    <x v="22"/>
    <x v="175"/>
    <x v="66"/>
  </r>
  <r>
    <x v="757"/>
    <x v="30"/>
    <x v="0"/>
    <x v="0"/>
    <x v="0"/>
    <x v="0"/>
    <x v="8"/>
    <x v="0"/>
    <x v="3"/>
    <x v="608"/>
    <x v="143"/>
    <x v="1"/>
    <x v="3"/>
    <x v="29"/>
    <x v="1"/>
    <x v="0"/>
    <x v="3"/>
    <x v="132"/>
    <x v="0"/>
    <x v="0"/>
    <x v="0"/>
    <x v="4"/>
    <x v="201"/>
    <x v="29"/>
    <x v="18"/>
    <x v="76"/>
  </r>
  <r>
    <x v="758"/>
    <x v="30"/>
    <x v="2"/>
    <x v="0"/>
    <x v="0"/>
    <x v="1"/>
    <x v="13"/>
    <x v="1"/>
    <x v="2"/>
    <x v="609"/>
    <x v="625"/>
    <x v="1"/>
    <x v="3"/>
    <x v="78"/>
    <x v="1"/>
    <x v="2"/>
    <x v="1"/>
    <x v="124"/>
    <x v="1"/>
    <x v="1"/>
    <x v="0"/>
    <x v="96"/>
    <x v="178"/>
    <x v="41"/>
    <x v="13"/>
    <x v="124"/>
  </r>
  <r>
    <x v="759"/>
    <x v="3"/>
    <x v="0"/>
    <x v="4"/>
    <x v="2"/>
    <x v="2"/>
    <x v="15"/>
    <x v="0"/>
    <x v="3"/>
    <x v="610"/>
    <x v="626"/>
    <x v="3"/>
    <x v="0"/>
    <x v="165"/>
    <x v="3"/>
    <x v="2"/>
    <x v="0"/>
    <x v="49"/>
    <x v="1"/>
    <x v="2"/>
    <x v="0"/>
    <x v="100"/>
    <x v="236"/>
    <x v="26"/>
    <x v="161"/>
    <x v="57"/>
  </r>
  <r>
    <x v="760"/>
    <x v="49"/>
    <x v="1"/>
    <x v="2"/>
    <x v="0"/>
    <x v="0"/>
    <x v="19"/>
    <x v="1"/>
    <x v="0"/>
    <x v="482"/>
    <x v="621"/>
    <x v="1"/>
    <x v="4"/>
    <x v="51"/>
    <x v="1"/>
    <x v="2"/>
    <x v="1"/>
    <x v="50"/>
    <x v="1"/>
    <x v="2"/>
    <x v="0"/>
    <x v="132"/>
    <x v="47"/>
    <x v="65"/>
    <x v="79"/>
    <x v="79"/>
  </r>
  <r>
    <x v="761"/>
    <x v="22"/>
    <x v="1"/>
    <x v="4"/>
    <x v="1"/>
    <x v="3"/>
    <x v="12"/>
    <x v="2"/>
    <x v="0"/>
    <x v="611"/>
    <x v="627"/>
    <x v="2"/>
    <x v="3"/>
    <x v="149"/>
    <x v="2"/>
    <x v="0"/>
    <x v="2"/>
    <x v="83"/>
    <x v="0"/>
    <x v="0"/>
    <x v="0"/>
    <x v="132"/>
    <x v="336"/>
    <x v="19"/>
    <x v="72"/>
    <x v="107"/>
  </r>
  <r>
    <x v="762"/>
    <x v="4"/>
    <x v="1"/>
    <x v="0"/>
    <x v="1"/>
    <x v="0"/>
    <x v="14"/>
    <x v="2"/>
    <x v="3"/>
    <x v="177"/>
    <x v="628"/>
    <x v="3"/>
    <x v="4"/>
    <x v="167"/>
    <x v="3"/>
    <x v="0"/>
    <x v="0"/>
    <x v="27"/>
    <x v="0"/>
    <x v="0"/>
    <x v="0"/>
    <x v="232"/>
    <x v="47"/>
    <x v="38"/>
    <x v="88"/>
    <x v="164"/>
  </r>
  <r>
    <x v="763"/>
    <x v="2"/>
    <x v="1"/>
    <x v="0"/>
    <x v="0"/>
    <x v="0"/>
    <x v="3"/>
    <x v="1"/>
    <x v="2"/>
    <x v="612"/>
    <x v="265"/>
    <x v="0"/>
    <x v="0"/>
    <x v="77"/>
    <x v="0"/>
    <x v="0"/>
    <x v="0"/>
    <x v="12"/>
    <x v="0"/>
    <x v="0"/>
    <x v="0"/>
    <x v="72"/>
    <x v="294"/>
    <x v="53"/>
    <x v="126"/>
    <x v="125"/>
  </r>
  <r>
    <x v="764"/>
    <x v="2"/>
    <x v="0"/>
    <x v="1"/>
    <x v="3"/>
    <x v="0"/>
    <x v="3"/>
    <x v="1"/>
    <x v="2"/>
    <x v="228"/>
    <x v="629"/>
    <x v="1"/>
    <x v="3"/>
    <x v="8"/>
    <x v="1"/>
    <x v="0"/>
    <x v="3"/>
    <x v="2"/>
    <x v="0"/>
    <x v="4"/>
    <x v="1"/>
    <x v="107"/>
    <x v="58"/>
    <x v="23"/>
    <x v="24"/>
    <x v="127"/>
  </r>
  <r>
    <x v="765"/>
    <x v="11"/>
    <x v="2"/>
    <x v="4"/>
    <x v="1"/>
    <x v="5"/>
    <x v="15"/>
    <x v="3"/>
    <x v="0"/>
    <x v="613"/>
    <x v="630"/>
    <x v="0"/>
    <x v="0"/>
    <x v="34"/>
    <x v="0"/>
    <x v="2"/>
    <x v="4"/>
    <x v="9"/>
    <x v="1"/>
    <x v="0"/>
    <x v="1"/>
    <x v="15"/>
    <x v="169"/>
    <x v="84"/>
    <x v="20"/>
    <x v="127"/>
  </r>
  <r>
    <x v="766"/>
    <x v="33"/>
    <x v="0"/>
    <x v="4"/>
    <x v="4"/>
    <x v="2"/>
    <x v="2"/>
    <x v="3"/>
    <x v="1"/>
    <x v="278"/>
    <x v="631"/>
    <x v="0"/>
    <x v="1"/>
    <x v="154"/>
    <x v="0"/>
    <x v="0"/>
    <x v="2"/>
    <x v="74"/>
    <x v="0"/>
    <x v="3"/>
    <x v="0"/>
    <x v="252"/>
    <x v="135"/>
    <x v="71"/>
    <x v="30"/>
    <x v="65"/>
  </r>
  <r>
    <x v="767"/>
    <x v="4"/>
    <x v="2"/>
    <x v="1"/>
    <x v="2"/>
    <x v="0"/>
    <x v="10"/>
    <x v="0"/>
    <x v="2"/>
    <x v="185"/>
    <x v="256"/>
    <x v="1"/>
    <x v="3"/>
    <x v="143"/>
    <x v="1"/>
    <x v="0"/>
    <x v="2"/>
    <x v="38"/>
    <x v="0"/>
    <x v="1"/>
    <x v="0"/>
    <x v="291"/>
    <x v="337"/>
    <x v="49"/>
    <x v="148"/>
    <x v="116"/>
  </r>
  <r>
    <x v="768"/>
    <x v="31"/>
    <x v="2"/>
    <x v="1"/>
    <x v="3"/>
    <x v="5"/>
    <x v="6"/>
    <x v="3"/>
    <x v="1"/>
    <x v="614"/>
    <x v="632"/>
    <x v="1"/>
    <x v="2"/>
    <x v="75"/>
    <x v="1"/>
    <x v="2"/>
    <x v="0"/>
    <x v="20"/>
    <x v="1"/>
    <x v="1"/>
    <x v="0"/>
    <x v="331"/>
    <x v="242"/>
    <x v="1"/>
    <x v="72"/>
    <x v="154"/>
  </r>
  <r>
    <x v="769"/>
    <x v="11"/>
    <x v="0"/>
    <x v="1"/>
    <x v="4"/>
    <x v="1"/>
    <x v="11"/>
    <x v="1"/>
    <x v="2"/>
    <x v="309"/>
    <x v="146"/>
    <x v="3"/>
    <x v="0"/>
    <x v="148"/>
    <x v="3"/>
    <x v="2"/>
    <x v="2"/>
    <x v="32"/>
    <x v="1"/>
    <x v="0"/>
    <x v="0"/>
    <x v="166"/>
    <x v="22"/>
    <x v="10"/>
    <x v="72"/>
    <x v="55"/>
  </r>
  <r>
    <x v="770"/>
    <x v="14"/>
    <x v="0"/>
    <x v="0"/>
    <x v="0"/>
    <x v="1"/>
    <x v="0"/>
    <x v="2"/>
    <x v="1"/>
    <x v="31"/>
    <x v="559"/>
    <x v="2"/>
    <x v="2"/>
    <x v="93"/>
    <x v="2"/>
    <x v="0"/>
    <x v="3"/>
    <x v="36"/>
    <x v="0"/>
    <x v="3"/>
    <x v="1"/>
    <x v="276"/>
    <x v="96"/>
    <x v="68"/>
    <x v="134"/>
    <x v="89"/>
  </r>
  <r>
    <x v="771"/>
    <x v="23"/>
    <x v="0"/>
    <x v="0"/>
    <x v="4"/>
    <x v="0"/>
    <x v="0"/>
    <x v="2"/>
    <x v="2"/>
    <x v="123"/>
    <x v="73"/>
    <x v="3"/>
    <x v="0"/>
    <x v="14"/>
    <x v="3"/>
    <x v="1"/>
    <x v="3"/>
    <x v="75"/>
    <x v="1"/>
    <x v="0"/>
    <x v="1"/>
    <x v="243"/>
    <x v="107"/>
    <x v="35"/>
    <x v="125"/>
    <x v="45"/>
  </r>
  <r>
    <x v="772"/>
    <x v="34"/>
    <x v="2"/>
    <x v="1"/>
    <x v="3"/>
    <x v="0"/>
    <x v="7"/>
    <x v="2"/>
    <x v="0"/>
    <x v="479"/>
    <x v="633"/>
    <x v="0"/>
    <x v="3"/>
    <x v="153"/>
    <x v="0"/>
    <x v="1"/>
    <x v="0"/>
    <x v="16"/>
    <x v="1"/>
    <x v="0"/>
    <x v="0"/>
    <x v="159"/>
    <x v="8"/>
    <x v="61"/>
    <x v="9"/>
    <x v="37"/>
  </r>
  <r>
    <x v="773"/>
    <x v="22"/>
    <x v="1"/>
    <x v="2"/>
    <x v="1"/>
    <x v="1"/>
    <x v="9"/>
    <x v="3"/>
    <x v="1"/>
    <x v="615"/>
    <x v="379"/>
    <x v="1"/>
    <x v="4"/>
    <x v="194"/>
    <x v="1"/>
    <x v="2"/>
    <x v="2"/>
    <x v="51"/>
    <x v="1"/>
    <x v="1"/>
    <x v="0"/>
    <x v="155"/>
    <x v="178"/>
    <x v="71"/>
    <x v="168"/>
    <x v="45"/>
  </r>
  <r>
    <x v="774"/>
    <x v="60"/>
    <x v="1"/>
    <x v="1"/>
    <x v="4"/>
    <x v="4"/>
    <x v="6"/>
    <x v="0"/>
    <x v="1"/>
    <x v="197"/>
    <x v="234"/>
    <x v="3"/>
    <x v="1"/>
    <x v="5"/>
    <x v="3"/>
    <x v="0"/>
    <x v="3"/>
    <x v="133"/>
    <x v="0"/>
    <x v="3"/>
    <x v="1"/>
    <x v="204"/>
    <x v="301"/>
    <x v="56"/>
    <x v="48"/>
    <x v="142"/>
  </r>
  <r>
    <x v="775"/>
    <x v="8"/>
    <x v="1"/>
    <x v="1"/>
    <x v="3"/>
    <x v="2"/>
    <x v="12"/>
    <x v="1"/>
    <x v="3"/>
    <x v="616"/>
    <x v="310"/>
    <x v="2"/>
    <x v="1"/>
    <x v="163"/>
    <x v="2"/>
    <x v="0"/>
    <x v="4"/>
    <x v="11"/>
    <x v="0"/>
    <x v="3"/>
    <x v="0"/>
    <x v="163"/>
    <x v="338"/>
    <x v="59"/>
    <x v="111"/>
    <x v="148"/>
  </r>
  <r>
    <x v="776"/>
    <x v="35"/>
    <x v="1"/>
    <x v="3"/>
    <x v="4"/>
    <x v="3"/>
    <x v="9"/>
    <x v="1"/>
    <x v="1"/>
    <x v="617"/>
    <x v="634"/>
    <x v="0"/>
    <x v="0"/>
    <x v="119"/>
    <x v="0"/>
    <x v="1"/>
    <x v="3"/>
    <x v="104"/>
    <x v="1"/>
    <x v="0"/>
    <x v="1"/>
    <x v="188"/>
    <x v="237"/>
    <x v="29"/>
    <x v="59"/>
    <x v="9"/>
  </r>
  <r>
    <x v="777"/>
    <x v="18"/>
    <x v="0"/>
    <x v="1"/>
    <x v="4"/>
    <x v="0"/>
    <x v="16"/>
    <x v="3"/>
    <x v="1"/>
    <x v="618"/>
    <x v="635"/>
    <x v="3"/>
    <x v="2"/>
    <x v="99"/>
    <x v="3"/>
    <x v="0"/>
    <x v="2"/>
    <x v="85"/>
    <x v="0"/>
    <x v="1"/>
    <x v="1"/>
    <x v="36"/>
    <x v="192"/>
    <x v="53"/>
    <x v="63"/>
    <x v="15"/>
  </r>
  <r>
    <x v="778"/>
    <x v="49"/>
    <x v="0"/>
    <x v="2"/>
    <x v="3"/>
    <x v="0"/>
    <x v="0"/>
    <x v="1"/>
    <x v="1"/>
    <x v="619"/>
    <x v="636"/>
    <x v="0"/>
    <x v="0"/>
    <x v="163"/>
    <x v="0"/>
    <x v="0"/>
    <x v="1"/>
    <x v="116"/>
    <x v="0"/>
    <x v="3"/>
    <x v="1"/>
    <x v="23"/>
    <x v="53"/>
    <x v="45"/>
    <x v="129"/>
    <x v="46"/>
  </r>
  <r>
    <x v="779"/>
    <x v="24"/>
    <x v="1"/>
    <x v="1"/>
    <x v="0"/>
    <x v="0"/>
    <x v="19"/>
    <x v="3"/>
    <x v="0"/>
    <x v="620"/>
    <x v="637"/>
    <x v="1"/>
    <x v="3"/>
    <x v="1"/>
    <x v="1"/>
    <x v="1"/>
    <x v="1"/>
    <x v="57"/>
    <x v="1"/>
    <x v="2"/>
    <x v="1"/>
    <x v="44"/>
    <x v="94"/>
    <x v="27"/>
    <x v="137"/>
    <x v="7"/>
  </r>
  <r>
    <x v="780"/>
    <x v="44"/>
    <x v="1"/>
    <x v="0"/>
    <x v="3"/>
    <x v="0"/>
    <x v="1"/>
    <x v="2"/>
    <x v="1"/>
    <x v="222"/>
    <x v="638"/>
    <x v="1"/>
    <x v="4"/>
    <x v="35"/>
    <x v="1"/>
    <x v="0"/>
    <x v="3"/>
    <x v="139"/>
    <x v="0"/>
    <x v="1"/>
    <x v="1"/>
    <x v="161"/>
    <x v="245"/>
    <x v="7"/>
    <x v="87"/>
    <x v="84"/>
  </r>
  <r>
    <x v="781"/>
    <x v="29"/>
    <x v="0"/>
    <x v="0"/>
    <x v="2"/>
    <x v="0"/>
    <x v="13"/>
    <x v="1"/>
    <x v="1"/>
    <x v="243"/>
    <x v="417"/>
    <x v="0"/>
    <x v="1"/>
    <x v="41"/>
    <x v="0"/>
    <x v="0"/>
    <x v="4"/>
    <x v="88"/>
    <x v="0"/>
    <x v="0"/>
    <x v="0"/>
    <x v="343"/>
    <x v="339"/>
    <x v="43"/>
    <x v="148"/>
    <x v="66"/>
  </r>
  <r>
    <x v="782"/>
    <x v="17"/>
    <x v="2"/>
    <x v="2"/>
    <x v="2"/>
    <x v="5"/>
    <x v="0"/>
    <x v="2"/>
    <x v="1"/>
    <x v="621"/>
    <x v="639"/>
    <x v="3"/>
    <x v="1"/>
    <x v="87"/>
    <x v="3"/>
    <x v="2"/>
    <x v="0"/>
    <x v="42"/>
    <x v="1"/>
    <x v="3"/>
    <x v="0"/>
    <x v="313"/>
    <x v="60"/>
    <x v="9"/>
    <x v="30"/>
    <x v="28"/>
  </r>
  <r>
    <x v="783"/>
    <x v="65"/>
    <x v="2"/>
    <x v="3"/>
    <x v="4"/>
    <x v="0"/>
    <x v="11"/>
    <x v="0"/>
    <x v="1"/>
    <x v="42"/>
    <x v="460"/>
    <x v="1"/>
    <x v="1"/>
    <x v="179"/>
    <x v="1"/>
    <x v="1"/>
    <x v="2"/>
    <x v="139"/>
    <x v="1"/>
    <x v="0"/>
    <x v="0"/>
    <x v="305"/>
    <x v="5"/>
    <x v="47"/>
    <x v="46"/>
    <x v="120"/>
  </r>
  <r>
    <x v="784"/>
    <x v="15"/>
    <x v="1"/>
    <x v="3"/>
    <x v="1"/>
    <x v="3"/>
    <x v="4"/>
    <x v="0"/>
    <x v="1"/>
    <x v="4"/>
    <x v="4"/>
    <x v="3"/>
    <x v="1"/>
    <x v="148"/>
    <x v="3"/>
    <x v="0"/>
    <x v="3"/>
    <x v="150"/>
    <x v="0"/>
    <x v="1"/>
    <x v="0"/>
    <x v="344"/>
    <x v="205"/>
    <x v="80"/>
    <x v="119"/>
    <x v="81"/>
  </r>
  <r>
    <x v="785"/>
    <x v="55"/>
    <x v="1"/>
    <x v="1"/>
    <x v="1"/>
    <x v="1"/>
    <x v="9"/>
    <x v="2"/>
    <x v="1"/>
    <x v="622"/>
    <x v="640"/>
    <x v="3"/>
    <x v="1"/>
    <x v="75"/>
    <x v="3"/>
    <x v="2"/>
    <x v="2"/>
    <x v="87"/>
    <x v="1"/>
    <x v="2"/>
    <x v="1"/>
    <x v="287"/>
    <x v="168"/>
    <x v="75"/>
    <x v="55"/>
    <x v="43"/>
  </r>
  <r>
    <x v="786"/>
    <x v="42"/>
    <x v="0"/>
    <x v="2"/>
    <x v="3"/>
    <x v="0"/>
    <x v="14"/>
    <x v="0"/>
    <x v="1"/>
    <x v="623"/>
    <x v="477"/>
    <x v="2"/>
    <x v="0"/>
    <x v="145"/>
    <x v="2"/>
    <x v="1"/>
    <x v="2"/>
    <x v="82"/>
    <x v="1"/>
    <x v="0"/>
    <x v="1"/>
    <x v="253"/>
    <x v="340"/>
    <x v="72"/>
    <x v="54"/>
    <x v="119"/>
  </r>
  <r>
    <x v="787"/>
    <x v="47"/>
    <x v="1"/>
    <x v="3"/>
    <x v="4"/>
    <x v="0"/>
    <x v="9"/>
    <x v="1"/>
    <x v="3"/>
    <x v="624"/>
    <x v="136"/>
    <x v="2"/>
    <x v="2"/>
    <x v="10"/>
    <x v="2"/>
    <x v="1"/>
    <x v="2"/>
    <x v="107"/>
    <x v="1"/>
    <x v="4"/>
    <x v="1"/>
    <x v="252"/>
    <x v="341"/>
    <x v="73"/>
    <x v="117"/>
    <x v="62"/>
  </r>
  <r>
    <x v="788"/>
    <x v="39"/>
    <x v="2"/>
    <x v="2"/>
    <x v="1"/>
    <x v="0"/>
    <x v="3"/>
    <x v="0"/>
    <x v="2"/>
    <x v="34"/>
    <x v="641"/>
    <x v="1"/>
    <x v="4"/>
    <x v="34"/>
    <x v="1"/>
    <x v="2"/>
    <x v="3"/>
    <x v="139"/>
    <x v="1"/>
    <x v="3"/>
    <x v="1"/>
    <x v="98"/>
    <x v="41"/>
    <x v="66"/>
    <x v="48"/>
    <x v="28"/>
  </r>
  <r>
    <x v="789"/>
    <x v="7"/>
    <x v="2"/>
    <x v="2"/>
    <x v="2"/>
    <x v="0"/>
    <x v="10"/>
    <x v="3"/>
    <x v="1"/>
    <x v="625"/>
    <x v="642"/>
    <x v="1"/>
    <x v="4"/>
    <x v="67"/>
    <x v="1"/>
    <x v="2"/>
    <x v="2"/>
    <x v="148"/>
    <x v="1"/>
    <x v="0"/>
    <x v="1"/>
    <x v="222"/>
    <x v="42"/>
    <x v="33"/>
    <x v="46"/>
    <x v="33"/>
  </r>
  <r>
    <x v="790"/>
    <x v="43"/>
    <x v="1"/>
    <x v="2"/>
    <x v="3"/>
    <x v="0"/>
    <x v="11"/>
    <x v="2"/>
    <x v="3"/>
    <x v="626"/>
    <x v="643"/>
    <x v="2"/>
    <x v="4"/>
    <x v="180"/>
    <x v="2"/>
    <x v="2"/>
    <x v="4"/>
    <x v="33"/>
    <x v="1"/>
    <x v="3"/>
    <x v="1"/>
    <x v="62"/>
    <x v="141"/>
    <x v="48"/>
    <x v="23"/>
    <x v="5"/>
  </r>
  <r>
    <x v="791"/>
    <x v="27"/>
    <x v="2"/>
    <x v="0"/>
    <x v="1"/>
    <x v="5"/>
    <x v="6"/>
    <x v="0"/>
    <x v="1"/>
    <x v="68"/>
    <x v="243"/>
    <x v="1"/>
    <x v="4"/>
    <x v="193"/>
    <x v="1"/>
    <x v="0"/>
    <x v="3"/>
    <x v="106"/>
    <x v="0"/>
    <x v="2"/>
    <x v="0"/>
    <x v="159"/>
    <x v="93"/>
    <x v="43"/>
    <x v="86"/>
    <x v="117"/>
  </r>
  <r>
    <x v="792"/>
    <x v="17"/>
    <x v="2"/>
    <x v="3"/>
    <x v="0"/>
    <x v="0"/>
    <x v="2"/>
    <x v="1"/>
    <x v="0"/>
    <x v="627"/>
    <x v="644"/>
    <x v="1"/>
    <x v="4"/>
    <x v="98"/>
    <x v="1"/>
    <x v="2"/>
    <x v="3"/>
    <x v="112"/>
    <x v="1"/>
    <x v="4"/>
    <x v="0"/>
    <x v="11"/>
    <x v="85"/>
    <x v="6"/>
    <x v="38"/>
    <x v="134"/>
  </r>
  <r>
    <x v="793"/>
    <x v="14"/>
    <x v="0"/>
    <x v="1"/>
    <x v="1"/>
    <x v="3"/>
    <x v="8"/>
    <x v="2"/>
    <x v="0"/>
    <x v="628"/>
    <x v="645"/>
    <x v="0"/>
    <x v="1"/>
    <x v="57"/>
    <x v="0"/>
    <x v="0"/>
    <x v="3"/>
    <x v="0"/>
    <x v="0"/>
    <x v="4"/>
    <x v="0"/>
    <x v="152"/>
    <x v="135"/>
    <x v="26"/>
    <x v="1"/>
    <x v="140"/>
  </r>
  <r>
    <x v="794"/>
    <x v="8"/>
    <x v="1"/>
    <x v="2"/>
    <x v="1"/>
    <x v="2"/>
    <x v="18"/>
    <x v="3"/>
    <x v="2"/>
    <x v="629"/>
    <x v="646"/>
    <x v="0"/>
    <x v="2"/>
    <x v="15"/>
    <x v="0"/>
    <x v="1"/>
    <x v="4"/>
    <x v="60"/>
    <x v="1"/>
    <x v="2"/>
    <x v="1"/>
    <x v="55"/>
    <x v="170"/>
    <x v="22"/>
    <x v="87"/>
    <x v="63"/>
  </r>
  <r>
    <x v="795"/>
    <x v="8"/>
    <x v="0"/>
    <x v="3"/>
    <x v="3"/>
    <x v="0"/>
    <x v="10"/>
    <x v="2"/>
    <x v="3"/>
    <x v="109"/>
    <x v="160"/>
    <x v="3"/>
    <x v="3"/>
    <x v="140"/>
    <x v="3"/>
    <x v="2"/>
    <x v="1"/>
    <x v="113"/>
    <x v="1"/>
    <x v="4"/>
    <x v="0"/>
    <x v="322"/>
    <x v="2"/>
    <x v="74"/>
    <x v="160"/>
    <x v="34"/>
  </r>
  <r>
    <x v="796"/>
    <x v="66"/>
    <x v="1"/>
    <x v="3"/>
    <x v="0"/>
    <x v="0"/>
    <x v="7"/>
    <x v="2"/>
    <x v="3"/>
    <x v="630"/>
    <x v="296"/>
    <x v="0"/>
    <x v="3"/>
    <x v="2"/>
    <x v="0"/>
    <x v="2"/>
    <x v="2"/>
    <x v="28"/>
    <x v="1"/>
    <x v="2"/>
    <x v="1"/>
    <x v="1"/>
    <x v="342"/>
    <x v="10"/>
    <x v="125"/>
    <x v="159"/>
  </r>
  <r>
    <x v="797"/>
    <x v="66"/>
    <x v="1"/>
    <x v="1"/>
    <x v="3"/>
    <x v="0"/>
    <x v="10"/>
    <x v="0"/>
    <x v="3"/>
    <x v="631"/>
    <x v="647"/>
    <x v="3"/>
    <x v="2"/>
    <x v="2"/>
    <x v="3"/>
    <x v="0"/>
    <x v="2"/>
    <x v="5"/>
    <x v="0"/>
    <x v="3"/>
    <x v="1"/>
    <x v="226"/>
    <x v="123"/>
    <x v="74"/>
    <x v="90"/>
    <x v="132"/>
  </r>
  <r>
    <x v="798"/>
    <x v="32"/>
    <x v="0"/>
    <x v="3"/>
    <x v="4"/>
    <x v="5"/>
    <x v="3"/>
    <x v="1"/>
    <x v="0"/>
    <x v="632"/>
    <x v="648"/>
    <x v="0"/>
    <x v="4"/>
    <x v="79"/>
    <x v="0"/>
    <x v="0"/>
    <x v="0"/>
    <x v="132"/>
    <x v="0"/>
    <x v="3"/>
    <x v="1"/>
    <x v="211"/>
    <x v="91"/>
    <x v="41"/>
    <x v="103"/>
    <x v="70"/>
  </r>
  <r>
    <x v="799"/>
    <x v="28"/>
    <x v="1"/>
    <x v="1"/>
    <x v="4"/>
    <x v="5"/>
    <x v="9"/>
    <x v="1"/>
    <x v="3"/>
    <x v="542"/>
    <x v="649"/>
    <x v="2"/>
    <x v="2"/>
    <x v="74"/>
    <x v="2"/>
    <x v="1"/>
    <x v="0"/>
    <x v="120"/>
    <x v="1"/>
    <x v="2"/>
    <x v="1"/>
    <x v="38"/>
    <x v="79"/>
    <x v="12"/>
    <x v="66"/>
    <x v="69"/>
  </r>
  <r>
    <x v="800"/>
    <x v="60"/>
    <x v="1"/>
    <x v="3"/>
    <x v="4"/>
    <x v="1"/>
    <x v="15"/>
    <x v="2"/>
    <x v="1"/>
    <x v="633"/>
    <x v="650"/>
    <x v="0"/>
    <x v="1"/>
    <x v="77"/>
    <x v="0"/>
    <x v="1"/>
    <x v="4"/>
    <x v="23"/>
    <x v="1"/>
    <x v="0"/>
    <x v="0"/>
    <x v="83"/>
    <x v="224"/>
    <x v="90"/>
    <x v="97"/>
    <x v="163"/>
  </r>
  <r>
    <x v="801"/>
    <x v="47"/>
    <x v="2"/>
    <x v="2"/>
    <x v="3"/>
    <x v="2"/>
    <x v="15"/>
    <x v="3"/>
    <x v="0"/>
    <x v="634"/>
    <x v="651"/>
    <x v="0"/>
    <x v="1"/>
    <x v="19"/>
    <x v="0"/>
    <x v="1"/>
    <x v="4"/>
    <x v="96"/>
    <x v="1"/>
    <x v="0"/>
    <x v="0"/>
    <x v="198"/>
    <x v="321"/>
    <x v="47"/>
    <x v="56"/>
    <x v="128"/>
  </r>
  <r>
    <x v="802"/>
    <x v="37"/>
    <x v="2"/>
    <x v="3"/>
    <x v="1"/>
    <x v="0"/>
    <x v="7"/>
    <x v="2"/>
    <x v="2"/>
    <x v="635"/>
    <x v="652"/>
    <x v="0"/>
    <x v="4"/>
    <x v="116"/>
    <x v="0"/>
    <x v="1"/>
    <x v="1"/>
    <x v="70"/>
    <x v="1"/>
    <x v="2"/>
    <x v="0"/>
    <x v="105"/>
    <x v="342"/>
    <x v="87"/>
    <x v="84"/>
    <x v="66"/>
  </r>
  <r>
    <x v="803"/>
    <x v="59"/>
    <x v="0"/>
    <x v="2"/>
    <x v="4"/>
    <x v="5"/>
    <x v="10"/>
    <x v="0"/>
    <x v="3"/>
    <x v="636"/>
    <x v="653"/>
    <x v="3"/>
    <x v="3"/>
    <x v="20"/>
    <x v="3"/>
    <x v="0"/>
    <x v="0"/>
    <x v="22"/>
    <x v="0"/>
    <x v="2"/>
    <x v="1"/>
    <x v="345"/>
    <x v="262"/>
    <x v="49"/>
    <x v="19"/>
    <x v="60"/>
  </r>
  <r>
    <x v="804"/>
    <x v="52"/>
    <x v="2"/>
    <x v="3"/>
    <x v="0"/>
    <x v="5"/>
    <x v="8"/>
    <x v="0"/>
    <x v="0"/>
    <x v="637"/>
    <x v="654"/>
    <x v="0"/>
    <x v="0"/>
    <x v="47"/>
    <x v="0"/>
    <x v="0"/>
    <x v="3"/>
    <x v="41"/>
    <x v="0"/>
    <x v="3"/>
    <x v="0"/>
    <x v="185"/>
    <x v="141"/>
    <x v="64"/>
    <x v="160"/>
    <x v="127"/>
  </r>
  <r>
    <x v="805"/>
    <x v="23"/>
    <x v="1"/>
    <x v="4"/>
    <x v="3"/>
    <x v="1"/>
    <x v="16"/>
    <x v="3"/>
    <x v="1"/>
    <x v="638"/>
    <x v="116"/>
    <x v="1"/>
    <x v="1"/>
    <x v="116"/>
    <x v="1"/>
    <x v="0"/>
    <x v="3"/>
    <x v="148"/>
    <x v="0"/>
    <x v="0"/>
    <x v="1"/>
    <x v="123"/>
    <x v="66"/>
    <x v="52"/>
    <x v="125"/>
    <x v="45"/>
  </r>
  <r>
    <x v="806"/>
    <x v="35"/>
    <x v="1"/>
    <x v="0"/>
    <x v="4"/>
    <x v="1"/>
    <x v="15"/>
    <x v="0"/>
    <x v="3"/>
    <x v="639"/>
    <x v="655"/>
    <x v="1"/>
    <x v="2"/>
    <x v="3"/>
    <x v="1"/>
    <x v="0"/>
    <x v="1"/>
    <x v="126"/>
    <x v="0"/>
    <x v="1"/>
    <x v="1"/>
    <x v="124"/>
    <x v="343"/>
    <x v="7"/>
    <x v="156"/>
    <x v="66"/>
  </r>
  <r>
    <x v="807"/>
    <x v="19"/>
    <x v="2"/>
    <x v="1"/>
    <x v="4"/>
    <x v="1"/>
    <x v="5"/>
    <x v="2"/>
    <x v="3"/>
    <x v="640"/>
    <x v="656"/>
    <x v="1"/>
    <x v="3"/>
    <x v="138"/>
    <x v="1"/>
    <x v="0"/>
    <x v="0"/>
    <x v="90"/>
    <x v="0"/>
    <x v="3"/>
    <x v="0"/>
    <x v="168"/>
    <x v="331"/>
    <x v="25"/>
    <x v="22"/>
    <x v="64"/>
  </r>
  <r>
    <x v="808"/>
    <x v="57"/>
    <x v="2"/>
    <x v="3"/>
    <x v="1"/>
    <x v="0"/>
    <x v="15"/>
    <x v="0"/>
    <x v="2"/>
    <x v="641"/>
    <x v="358"/>
    <x v="1"/>
    <x v="3"/>
    <x v="147"/>
    <x v="1"/>
    <x v="2"/>
    <x v="1"/>
    <x v="130"/>
    <x v="1"/>
    <x v="0"/>
    <x v="1"/>
    <x v="33"/>
    <x v="245"/>
    <x v="22"/>
    <x v="165"/>
    <x v="59"/>
  </r>
  <r>
    <x v="809"/>
    <x v="37"/>
    <x v="0"/>
    <x v="2"/>
    <x v="0"/>
    <x v="1"/>
    <x v="19"/>
    <x v="3"/>
    <x v="3"/>
    <x v="642"/>
    <x v="657"/>
    <x v="2"/>
    <x v="1"/>
    <x v="127"/>
    <x v="2"/>
    <x v="1"/>
    <x v="4"/>
    <x v="40"/>
    <x v="1"/>
    <x v="4"/>
    <x v="1"/>
    <x v="6"/>
    <x v="291"/>
    <x v="45"/>
    <x v="34"/>
    <x v="43"/>
  </r>
  <r>
    <x v="810"/>
    <x v="11"/>
    <x v="2"/>
    <x v="4"/>
    <x v="0"/>
    <x v="0"/>
    <x v="10"/>
    <x v="3"/>
    <x v="2"/>
    <x v="20"/>
    <x v="4"/>
    <x v="3"/>
    <x v="1"/>
    <x v="130"/>
    <x v="3"/>
    <x v="2"/>
    <x v="2"/>
    <x v="133"/>
    <x v="1"/>
    <x v="0"/>
    <x v="1"/>
    <x v="206"/>
    <x v="190"/>
    <x v="26"/>
    <x v="144"/>
    <x v="158"/>
  </r>
  <r>
    <x v="811"/>
    <x v="47"/>
    <x v="2"/>
    <x v="0"/>
    <x v="0"/>
    <x v="0"/>
    <x v="12"/>
    <x v="3"/>
    <x v="2"/>
    <x v="358"/>
    <x v="658"/>
    <x v="0"/>
    <x v="0"/>
    <x v="60"/>
    <x v="0"/>
    <x v="1"/>
    <x v="1"/>
    <x v="86"/>
    <x v="1"/>
    <x v="1"/>
    <x v="0"/>
    <x v="315"/>
    <x v="64"/>
    <x v="23"/>
    <x v="98"/>
    <x v="85"/>
  </r>
  <r>
    <x v="812"/>
    <x v="0"/>
    <x v="0"/>
    <x v="1"/>
    <x v="0"/>
    <x v="0"/>
    <x v="11"/>
    <x v="0"/>
    <x v="2"/>
    <x v="643"/>
    <x v="659"/>
    <x v="1"/>
    <x v="4"/>
    <x v="58"/>
    <x v="1"/>
    <x v="0"/>
    <x v="2"/>
    <x v="34"/>
    <x v="0"/>
    <x v="0"/>
    <x v="0"/>
    <x v="346"/>
    <x v="38"/>
    <x v="37"/>
    <x v="151"/>
    <x v="37"/>
  </r>
  <r>
    <x v="813"/>
    <x v="41"/>
    <x v="0"/>
    <x v="3"/>
    <x v="1"/>
    <x v="0"/>
    <x v="4"/>
    <x v="2"/>
    <x v="2"/>
    <x v="644"/>
    <x v="660"/>
    <x v="1"/>
    <x v="0"/>
    <x v="96"/>
    <x v="1"/>
    <x v="0"/>
    <x v="3"/>
    <x v="119"/>
    <x v="0"/>
    <x v="0"/>
    <x v="0"/>
    <x v="274"/>
    <x v="344"/>
    <x v="66"/>
    <x v="150"/>
    <x v="137"/>
  </r>
  <r>
    <x v="814"/>
    <x v="15"/>
    <x v="0"/>
    <x v="2"/>
    <x v="4"/>
    <x v="0"/>
    <x v="11"/>
    <x v="3"/>
    <x v="0"/>
    <x v="645"/>
    <x v="642"/>
    <x v="0"/>
    <x v="4"/>
    <x v="189"/>
    <x v="0"/>
    <x v="0"/>
    <x v="4"/>
    <x v="54"/>
    <x v="0"/>
    <x v="4"/>
    <x v="1"/>
    <x v="347"/>
    <x v="274"/>
    <x v="7"/>
    <x v="11"/>
    <x v="92"/>
  </r>
  <r>
    <x v="815"/>
    <x v="39"/>
    <x v="1"/>
    <x v="2"/>
    <x v="1"/>
    <x v="0"/>
    <x v="18"/>
    <x v="0"/>
    <x v="2"/>
    <x v="646"/>
    <x v="661"/>
    <x v="3"/>
    <x v="1"/>
    <x v="166"/>
    <x v="3"/>
    <x v="2"/>
    <x v="1"/>
    <x v="134"/>
    <x v="1"/>
    <x v="4"/>
    <x v="1"/>
    <x v="160"/>
    <x v="213"/>
    <x v="22"/>
    <x v="170"/>
    <x v="129"/>
  </r>
  <r>
    <x v="816"/>
    <x v="64"/>
    <x v="2"/>
    <x v="0"/>
    <x v="4"/>
    <x v="4"/>
    <x v="13"/>
    <x v="3"/>
    <x v="0"/>
    <x v="647"/>
    <x v="542"/>
    <x v="2"/>
    <x v="3"/>
    <x v="47"/>
    <x v="2"/>
    <x v="1"/>
    <x v="3"/>
    <x v="149"/>
    <x v="1"/>
    <x v="1"/>
    <x v="1"/>
    <x v="326"/>
    <x v="45"/>
    <x v="73"/>
    <x v="171"/>
    <x v="90"/>
  </r>
  <r>
    <x v="817"/>
    <x v="59"/>
    <x v="1"/>
    <x v="0"/>
    <x v="4"/>
    <x v="1"/>
    <x v="16"/>
    <x v="0"/>
    <x v="1"/>
    <x v="473"/>
    <x v="662"/>
    <x v="2"/>
    <x v="4"/>
    <x v="153"/>
    <x v="2"/>
    <x v="1"/>
    <x v="3"/>
    <x v="58"/>
    <x v="1"/>
    <x v="2"/>
    <x v="1"/>
    <x v="147"/>
    <x v="13"/>
    <x v="12"/>
    <x v="8"/>
    <x v="33"/>
  </r>
  <r>
    <x v="818"/>
    <x v="62"/>
    <x v="0"/>
    <x v="1"/>
    <x v="0"/>
    <x v="3"/>
    <x v="5"/>
    <x v="3"/>
    <x v="0"/>
    <x v="246"/>
    <x v="624"/>
    <x v="1"/>
    <x v="3"/>
    <x v="195"/>
    <x v="1"/>
    <x v="1"/>
    <x v="2"/>
    <x v="121"/>
    <x v="1"/>
    <x v="3"/>
    <x v="0"/>
    <x v="329"/>
    <x v="21"/>
    <x v="69"/>
    <x v="159"/>
    <x v="24"/>
  </r>
  <r>
    <x v="819"/>
    <x v="60"/>
    <x v="2"/>
    <x v="1"/>
    <x v="0"/>
    <x v="0"/>
    <x v="4"/>
    <x v="1"/>
    <x v="0"/>
    <x v="513"/>
    <x v="663"/>
    <x v="0"/>
    <x v="2"/>
    <x v="155"/>
    <x v="0"/>
    <x v="2"/>
    <x v="0"/>
    <x v="5"/>
    <x v="1"/>
    <x v="4"/>
    <x v="1"/>
    <x v="268"/>
    <x v="345"/>
    <x v="8"/>
    <x v="126"/>
    <x v="91"/>
  </r>
  <r>
    <x v="820"/>
    <x v="67"/>
    <x v="2"/>
    <x v="3"/>
    <x v="3"/>
    <x v="3"/>
    <x v="2"/>
    <x v="2"/>
    <x v="1"/>
    <x v="22"/>
    <x v="664"/>
    <x v="2"/>
    <x v="3"/>
    <x v="70"/>
    <x v="2"/>
    <x v="0"/>
    <x v="4"/>
    <x v="14"/>
    <x v="0"/>
    <x v="2"/>
    <x v="0"/>
    <x v="212"/>
    <x v="14"/>
    <x v="52"/>
    <x v="93"/>
    <x v="136"/>
  </r>
  <r>
    <x v="821"/>
    <x v="6"/>
    <x v="0"/>
    <x v="2"/>
    <x v="3"/>
    <x v="3"/>
    <x v="0"/>
    <x v="1"/>
    <x v="0"/>
    <x v="648"/>
    <x v="665"/>
    <x v="3"/>
    <x v="0"/>
    <x v="182"/>
    <x v="3"/>
    <x v="2"/>
    <x v="1"/>
    <x v="117"/>
    <x v="1"/>
    <x v="3"/>
    <x v="0"/>
    <x v="274"/>
    <x v="148"/>
    <x v="17"/>
    <x v="134"/>
    <x v="21"/>
  </r>
  <r>
    <x v="822"/>
    <x v="9"/>
    <x v="0"/>
    <x v="1"/>
    <x v="0"/>
    <x v="4"/>
    <x v="1"/>
    <x v="0"/>
    <x v="2"/>
    <x v="649"/>
    <x v="666"/>
    <x v="2"/>
    <x v="3"/>
    <x v="124"/>
    <x v="2"/>
    <x v="2"/>
    <x v="4"/>
    <x v="136"/>
    <x v="1"/>
    <x v="4"/>
    <x v="0"/>
    <x v="242"/>
    <x v="183"/>
    <x v="16"/>
    <x v="140"/>
    <x v="102"/>
  </r>
  <r>
    <x v="823"/>
    <x v="49"/>
    <x v="2"/>
    <x v="0"/>
    <x v="2"/>
    <x v="5"/>
    <x v="0"/>
    <x v="3"/>
    <x v="2"/>
    <x v="650"/>
    <x v="667"/>
    <x v="2"/>
    <x v="2"/>
    <x v="168"/>
    <x v="2"/>
    <x v="0"/>
    <x v="3"/>
    <x v="58"/>
    <x v="0"/>
    <x v="0"/>
    <x v="1"/>
    <x v="217"/>
    <x v="310"/>
    <x v="37"/>
    <x v="99"/>
    <x v="137"/>
  </r>
  <r>
    <x v="824"/>
    <x v="64"/>
    <x v="1"/>
    <x v="2"/>
    <x v="3"/>
    <x v="4"/>
    <x v="15"/>
    <x v="3"/>
    <x v="2"/>
    <x v="28"/>
    <x v="402"/>
    <x v="2"/>
    <x v="1"/>
    <x v="150"/>
    <x v="2"/>
    <x v="1"/>
    <x v="2"/>
    <x v="147"/>
    <x v="1"/>
    <x v="0"/>
    <x v="0"/>
    <x v="348"/>
    <x v="196"/>
    <x v="43"/>
    <x v="112"/>
    <x v="46"/>
  </r>
  <r>
    <x v="825"/>
    <x v="46"/>
    <x v="2"/>
    <x v="3"/>
    <x v="1"/>
    <x v="1"/>
    <x v="10"/>
    <x v="3"/>
    <x v="3"/>
    <x v="446"/>
    <x v="668"/>
    <x v="2"/>
    <x v="2"/>
    <x v="95"/>
    <x v="2"/>
    <x v="1"/>
    <x v="3"/>
    <x v="61"/>
    <x v="1"/>
    <x v="1"/>
    <x v="0"/>
    <x v="349"/>
    <x v="346"/>
    <x v="69"/>
    <x v="30"/>
    <x v="142"/>
  </r>
  <r>
    <x v="826"/>
    <x v="39"/>
    <x v="1"/>
    <x v="4"/>
    <x v="3"/>
    <x v="5"/>
    <x v="16"/>
    <x v="2"/>
    <x v="0"/>
    <x v="650"/>
    <x v="669"/>
    <x v="3"/>
    <x v="4"/>
    <x v="97"/>
    <x v="3"/>
    <x v="1"/>
    <x v="2"/>
    <x v="70"/>
    <x v="1"/>
    <x v="3"/>
    <x v="0"/>
    <x v="237"/>
    <x v="49"/>
    <x v="33"/>
    <x v="60"/>
    <x v="121"/>
  </r>
  <r>
    <x v="827"/>
    <x v="52"/>
    <x v="1"/>
    <x v="2"/>
    <x v="0"/>
    <x v="0"/>
    <x v="18"/>
    <x v="0"/>
    <x v="3"/>
    <x v="559"/>
    <x v="670"/>
    <x v="0"/>
    <x v="3"/>
    <x v="86"/>
    <x v="0"/>
    <x v="1"/>
    <x v="1"/>
    <x v="0"/>
    <x v="1"/>
    <x v="4"/>
    <x v="1"/>
    <x v="164"/>
    <x v="330"/>
    <x v="9"/>
    <x v="100"/>
    <x v="127"/>
  </r>
  <r>
    <x v="828"/>
    <x v="56"/>
    <x v="1"/>
    <x v="2"/>
    <x v="0"/>
    <x v="0"/>
    <x v="17"/>
    <x v="2"/>
    <x v="0"/>
    <x v="651"/>
    <x v="671"/>
    <x v="3"/>
    <x v="2"/>
    <x v="41"/>
    <x v="3"/>
    <x v="1"/>
    <x v="4"/>
    <x v="149"/>
    <x v="1"/>
    <x v="0"/>
    <x v="1"/>
    <x v="7"/>
    <x v="49"/>
    <x v="77"/>
    <x v="38"/>
    <x v="78"/>
  </r>
  <r>
    <x v="829"/>
    <x v="8"/>
    <x v="0"/>
    <x v="4"/>
    <x v="4"/>
    <x v="2"/>
    <x v="5"/>
    <x v="0"/>
    <x v="0"/>
    <x v="652"/>
    <x v="672"/>
    <x v="2"/>
    <x v="4"/>
    <x v="50"/>
    <x v="2"/>
    <x v="0"/>
    <x v="0"/>
    <x v="15"/>
    <x v="0"/>
    <x v="2"/>
    <x v="1"/>
    <x v="226"/>
    <x v="251"/>
    <x v="40"/>
    <x v="73"/>
    <x v="67"/>
  </r>
  <r>
    <x v="830"/>
    <x v="0"/>
    <x v="2"/>
    <x v="3"/>
    <x v="3"/>
    <x v="3"/>
    <x v="2"/>
    <x v="0"/>
    <x v="3"/>
    <x v="653"/>
    <x v="673"/>
    <x v="2"/>
    <x v="1"/>
    <x v="37"/>
    <x v="2"/>
    <x v="1"/>
    <x v="4"/>
    <x v="73"/>
    <x v="1"/>
    <x v="0"/>
    <x v="0"/>
    <x v="350"/>
    <x v="163"/>
    <x v="72"/>
    <x v="95"/>
    <x v="65"/>
  </r>
  <r>
    <x v="831"/>
    <x v="2"/>
    <x v="1"/>
    <x v="2"/>
    <x v="3"/>
    <x v="0"/>
    <x v="15"/>
    <x v="1"/>
    <x v="0"/>
    <x v="30"/>
    <x v="674"/>
    <x v="2"/>
    <x v="1"/>
    <x v="80"/>
    <x v="2"/>
    <x v="0"/>
    <x v="1"/>
    <x v="50"/>
    <x v="0"/>
    <x v="0"/>
    <x v="0"/>
    <x v="145"/>
    <x v="116"/>
    <x v="34"/>
    <x v="32"/>
    <x v="118"/>
  </r>
  <r>
    <x v="832"/>
    <x v="0"/>
    <x v="2"/>
    <x v="0"/>
    <x v="2"/>
    <x v="1"/>
    <x v="18"/>
    <x v="1"/>
    <x v="1"/>
    <x v="654"/>
    <x v="469"/>
    <x v="0"/>
    <x v="4"/>
    <x v="75"/>
    <x v="0"/>
    <x v="0"/>
    <x v="1"/>
    <x v="130"/>
    <x v="0"/>
    <x v="4"/>
    <x v="1"/>
    <x v="260"/>
    <x v="8"/>
    <x v="83"/>
    <x v="72"/>
    <x v="79"/>
  </r>
  <r>
    <x v="833"/>
    <x v="59"/>
    <x v="0"/>
    <x v="4"/>
    <x v="1"/>
    <x v="0"/>
    <x v="11"/>
    <x v="0"/>
    <x v="2"/>
    <x v="655"/>
    <x v="675"/>
    <x v="1"/>
    <x v="2"/>
    <x v="34"/>
    <x v="1"/>
    <x v="0"/>
    <x v="1"/>
    <x v="32"/>
    <x v="0"/>
    <x v="4"/>
    <x v="1"/>
    <x v="162"/>
    <x v="227"/>
    <x v="48"/>
    <x v="8"/>
    <x v="90"/>
  </r>
  <r>
    <x v="834"/>
    <x v="33"/>
    <x v="0"/>
    <x v="4"/>
    <x v="3"/>
    <x v="0"/>
    <x v="9"/>
    <x v="1"/>
    <x v="3"/>
    <x v="398"/>
    <x v="676"/>
    <x v="1"/>
    <x v="3"/>
    <x v="53"/>
    <x v="1"/>
    <x v="2"/>
    <x v="2"/>
    <x v="127"/>
    <x v="1"/>
    <x v="3"/>
    <x v="1"/>
    <x v="351"/>
    <x v="258"/>
    <x v="39"/>
    <x v="140"/>
    <x v="152"/>
  </r>
  <r>
    <x v="835"/>
    <x v="45"/>
    <x v="0"/>
    <x v="3"/>
    <x v="4"/>
    <x v="0"/>
    <x v="5"/>
    <x v="2"/>
    <x v="0"/>
    <x v="644"/>
    <x v="677"/>
    <x v="2"/>
    <x v="2"/>
    <x v="166"/>
    <x v="2"/>
    <x v="0"/>
    <x v="3"/>
    <x v="89"/>
    <x v="0"/>
    <x v="1"/>
    <x v="1"/>
    <x v="108"/>
    <x v="242"/>
    <x v="4"/>
    <x v="96"/>
    <x v="55"/>
  </r>
  <r>
    <x v="836"/>
    <x v="14"/>
    <x v="1"/>
    <x v="2"/>
    <x v="1"/>
    <x v="0"/>
    <x v="4"/>
    <x v="1"/>
    <x v="1"/>
    <x v="656"/>
    <x v="169"/>
    <x v="1"/>
    <x v="2"/>
    <x v="118"/>
    <x v="1"/>
    <x v="0"/>
    <x v="2"/>
    <x v="109"/>
    <x v="0"/>
    <x v="2"/>
    <x v="0"/>
    <x v="124"/>
    <x v="335"/>
    <x v="50"/>
    <x v="99"/>
    <x v="169"/>
  </r>
  <r>
    <x v="837"/>
    <x v="26"/>
    <x v="2"/>
    <x v="0"/>
    <x v="0"/>
    <x v="0"/>
    <x v="8"/>
    <x v="0"/>
    <x v="3"/>
    <x v="657"/>
    <x v="471"/>
    <x v="2"/>
    <x v="2"/>
    <x v="21"/>
    <x v="2"/>
    <x v="1"/>
    <x v="3"/>
    <x v="92"/>
    <x v="1"/>
    <x v="3"/>
    <x v="1"/>
    <x v="287"/>
    <x v="43"/>
    <x v="82"/>
    <x v="145"/>
    <x v="99"/>
  </r>
  <r>
    <x v="838"/>
    <x v="19"/>
    <x v="2"/>
    <x v="1"/>
    <x v="4"/>
    <x v="0"/>
    <x v="11"/>
    <x v="3"/>
    <x v="1"/>
    <x v="623"/>
    <x v="678"/>
    <x v="0"/>
    <x v="1"/>
    <x v="62"/>
    <x v="0"/>
    <x v="2"/>
    <x v="1"/>
    <x v="11"/>
    <x v="1"/>
    <x v="2"/>
    <x v="1"/>
    <x v="24"/>
    <x v="298"/>
    <x v="42"/>
    <x v="9"/>
    <x v="123"/>
  </r>
  <r>
    <x v="839"/>
    <x v="34"/>
    <x v="2"/>
    <x v="4"/>
    <x v="1"/>
    <x v="0"/>
    <x v="18"/>
    <x v="0"/>
    <x v="3"/>
    <x v="658"/>
    <x v="273"/>
    <x v="0"/>
    <x v="4"/>
    <x v="151"/>
    <x v="0"/>
    <x v="1"/>
    <x v="3"/>
    <x v="94"/>
    <x v="1"/>
    <x v="0"/>
    <x v="1"/>
    <x v="175"/>
    <x v="230"/>
    <x v="21"/>
    <x v="150"/>
    <x v="131"/>
  </r>
  <r>
    <x v="840"/>
    <x v="37"/>
    <x v="0"/>
    <x v="3"/>
    <x v="1"/>
    <x v="0"/>
    <x v="0"/>
    <x v="0"/>
    <x v="2"/>
    <x v="659"/>
    <x v="18"/>
    <x v="0"/>
    <x v="1"/>
    <x v="32"/>
    <x v="0"/>
    <x v="2"/>
    <x v="1"/>
    <x v="87"/>
    <x v="1"/>
    <x v="0"/>
    <x v="0"/>
    <x v="352"/>
    <x v="146"/>
    <x v="9"/>
    <x v="160"/>
    <x v="69"/>
  </r>
  <r>
    <x v="841"/>
    <x v="26"/>
    <x v="1"/>
    <x v="0"/>
    <x v="4"/>
    <x v="5"/>
    <x v="4"/>
    <x v="1"/>
    <x v="0"/>
    <x v="575"/>
    <x v="679"/>
    <x v="0"/>
    <x v="1"/>
    <x v="8"/>
    <x v="0"/>
    <x v="0"/>
    <x v="3"/>
    <x v="140"/>
    <x v="0"/>
    <x v="1"/>
    <x v="1"/>
    <x v="167"/>
    <x v="193"/>
    <x v="81"/>
    <x v="138"/>
    <x v="129"/>
  </r>
  <r>
    <x v="842"/>
    <x v="26"/>
    <x v="0"/>
    <x v="1"/>
    <x v="4"/>
    <x v="2"/>
    <x v="19"/>
    <x v="0"/>
    <x v="0"/>
    <x v="660"/>
    <x v="127"/>
    <x v="3"/>
    <x v="3"/>
    <x v="76"/>
    <x v="3"/>
    <x v="2"/>
    <x v="0"/>
    <x v="39"/>
    <x v="1"/>
    <x v="0"/>
    <x v="1"/>
    <x v="62"/>
    <x v="323"/>
    <x v="40"/>
    <x v="100"/>
    <x v="142"/>
  </r>
  <r>
    <x v="843"/>
    <x v="13"/>
    <x v="0"/>
    <x v="4"/>
    <x v="3"/>
    <x v="0"/>
    <x v="8"/>
    <x v="1"/>
    <x v="2"/>
    <x v="661"/>
    <x v="680"/>
    <x v="1"/>
    <x v="1"/>
    <x v="140"/>
    <x v="1"/>
    <x v="1"/>
    <x v="3"/>
    <x v="132"/>
    <x v="1"/>
    <x v="3"/>
    <x v="1"/>
    <x v="353"/>
    <x v="40"/>
    <x v="6"/>
    <x v="161"/>
    <x v="48"/>
  </r>
  <r>
    <x v="844"/>
    <x v="56"/>
    <x v="0"/>
    <x v="0"/>
    <x v="1"/>
    <x v="3"/>
    <x v="13"/>
    <x v="2"/>
    <x v="2"/>
    <x v="351"/>
    <x v="681"/>
    <x v="1"/>
    <x v="1"/>
    <x v="105"/>
    <x v="1"/>
    <x v="0"/>
    <x v="2"/>
    <x v="87"/>
    <x v="0"/>
    <x v="1"/>
    <x v="0"/>
    <x v="184"/>
    <x v="267"/>
    <x v="81"/>
    <x v="86"/>
    <x v="116"/>
  </r>
  <r>
    <x v="845"/>
    <x v="32"/>
    <x v="2"/>
    <x v="2"/>
    <x v="3"/>
    <x v="5"/>
    <x v="17"/>
    <x v="3"/>
    <x v="2"/>
    <x v="662"/>
    <x v="551"/>
    <x v="3"/>
    <x v="3"/>
    <x v="192"/>
    <x v="3"/>
    <x v="1"/>
    <x v="0"/>
    <x v="41"/>
    <x v="1"/>
    <x v="3"/>
    <x v="1"/>
    <x v="354"/>
    <x v="63"/>
    <x v="59"/>
    <x v="29"/>
    <x v="67"/>
  </r>
  <r>
    <x v="846"/>
    <x v="18"/>
    <x v="0"/>
    <x v="2"/>
    <x v="2"/>
    <x v="0"/>
    <x v="3"/>
    <x v="2"/>
    <x v="1"/>
    <x v="504"/>
    <x v="682"/>
    <x v="0"/>
    <x v="3"/>
    <x v="60"/>
    <x v="0"/>
    <x v="1"/>
    <x v="4"/>
    <x v="79"/>
    <x v="1"/>
    <x v="3"/>
    <x v="0"/>
    <x v="237"/>
    <x v="172"/>
    <x v="39"/>
    <x v="91"/>
    <x v="24"/>
  </r>
  <r>
    <x v="847"/>
    <x v="4"/>
    <x v="2"/>
    <x v="3"/>
    <x v="1"/>
    <x v="4"/>
    <x v="14"/>
    <x v="2"/>
    <x v="3"/>
    <x v="663"/>
    <x v="120"/>
    <x v="1"/>
    <x v="0"/>
    <x v="150"/>
    <x v="1"/>
    <x v="1"/>
    <x v="4"/>
    <x v="102"/>
    <x v="1"/>
    <x v="4"/>
    <x v="0"/>
    <x v="237"/>
    <x v="224"/>
    <x v="42"/>
    <x v="93"/>
    <x v="38"/>
  </r>
  <r>
    <x v="848"/>
    <x v="34"/>
    <x v="2"/>
    <x v="1"/>
    <x v="4"/>
    <x v="2"/>
    <x v="4"/>
    <x v="2"/>
    <x v="1"/>
    <x v="664"/>
    <x v="683"/>
    <x v="3"/>
    <x v="2"/>
    <x v="38"/>
    <x v="3"/>
    <x v="0"/>
    <x v="3"/>
    <x v="120"/>
    <x v="0"/>
    <x v="0"/>
    <x v="0"/>
    <x v="311"/>
    <x v="241"/>
    <x v="11"/>
    <x v="117"/>
    <x v="101"/>
  </r>
  <r>
    <x v="849"/>
    <x v="34"/>
    <x v="0"/>
    <x v="3"/>
    <x v="3"/>
    <x v="4"/>
    <x v="7"/>
    <x v="2"/>
    <x v="3"/>
    <x v="665"/>
    <x v="684"/>
    <x v="1"/>
    <x v="2"/>
    <x v="190"/>
    <x v="1"/>
    <x v="1"/>
    <x v="4"/>
    <x v="19"/>
    <x v="1"/>
    <x v="0"/>
    <x v="0"/>
    <x v="291"/>
    <x v="347"/>
    <x v="53"/>
    <x v="64"/>
    <x v="43"/>
  </r>
  <r>
    <x v="850"/>
    <x v="33"/>
    <x v="1"/>
    <x v="1"/>
    <x v="1"/>
    <x v="0"/>
    <x v="19"/>
    <x v="3"/>
    <x v="0"/>
    <x v="666"/>
    <x v="476"/>
    <x v="1"/>
    <x v="2"/>
    <x v="75"/>
    <x v="1"/>
    <x v="0"/>
    <x v="1"/>
    <x v="112"/>
    <x v="0"/>
    <x v="1"/>
    <x v="0"/>
    <x v="242"/>
    <x v="143"/>
    <x v="23"/>
    <x v="89"/>
    <x v="137"/>
  </r>
  <r>
    <x v="851"/>
    <x v="62"/>
    <x v="1"/>
    <x v="3"/>
    <x v="0"/>
    <x v="4"/>
    <x v="4"/>
    <x v="2"/>
    <x v="1"/>
    <x v="667"/>
    <x v="685"/>
    <x v="2"/>
    <x v="3"/>
    <x v="90"/>
    <x v="2"/>
    <x v="1"/>
    <x v="1"/>
    <x v="72"/>
    <x v="1"/>
    <x v="2"/>
    <x v="0"/>
    <x v="298"/>
    <x v="202"/>
    <x v="73"/>
    <x v="50"/>
    <x v="84"/>
  </r>
  <r>
    <x v="852"/>
    <x v="50"/>
    <x v="0"/>
    <x v="3"/>
    <x v="3"/>
    <x v="5"/>
    <x v="16"/>
    <x v="3"/>
    <x v="3"/>
    <x v="668"/>
    <x v="686"/>
    <x v="3"/>
    <x v="0"/>
    <x v="107"/>
    <x v="3"/>
    <x v="0"/>
    <x v="2"/>
    <x v="82"/>
    <x v="0"/>
    <x v="1"/>
    <x v="1"/>
    <x v="163"/>
    <x v="32"/>
    <x v="65"/>
    <x v="81"/>
    <x v="89"/>
  </r>
  <r>
    <x v="853"/>
    <x v="32"/>
    <x v="0"/>
    <x v="0"/>
    <x v="0"/>
    <x v="2"/>
    <x v="18"/>
    <x v="1"/>
    <x v="0"/>
    <x v="669"/>
    <x v="80"/>
    <x v="2"/>
    <x v="0"/>
    <x v="4"/>
    <x v="2"/>
    <x v="1"/>
    <x v="3"/>
    <x v="137"/>
    <x v="1"/>
    <x v="2"/>
    <x v="1"/>
    <x v="355"/>
    <x v="229"/>
    <x v="75"/>
    <x v="147"/>
    <x v="11"/>
  </r>
  <r>
    <x v="854"/>
    <x v="4"/>
    <x v="1"/>
    <x v="4"/>
    <x v="1"/>
    <x v="0"/>
    <x v="11"/>
    <x v="2"/>
    <x v="0"/>
    <x v="670"/>
    <x v="687"/>
    <x v="2"/>
    <x v="4"/>
    <x v="34"/>
    <x v="2"/>
    <x v="0"/>
    <x v="4"/>
    <x v="148"/>
    <x v="0"/>
    <x v="4"/>
    <x v="1"/>
    <x v="158"/>
    <x v="203"/>
    <x v="8"/>
    <x v="115"/>
    <x v="52"/>
  </r>
  <r>
    <x v="855"/>
    <x v="53"/>
    <x v="0"/>
    <x v="1"/>
    <x v="0"/>
    <x v="0"/>
    <x v="9"/>
    <x v="3"/>
    <x v="1"/>
    <x v="671"/>
    <x v="688"/>
    <x v="1"/>
    <x v="1"/>
    <x v="156"/>
    <x v="1"/>
    <x v="2"/>
    <x v="0"/>
    <x v="56"/>
    <x v="1"/>
    <x v="0"/>
    <x v="0"/>
    <x v="190"/>
    <x v="315"/>
    <x v="0"/>
    <x v="31"/>
    <x v="101"/>
  </r>
  <r>
    <x v="856"/>
    <x v="1"/>
    <x v="0"/>
    <x v="4"/>
    <x v="2"/>
    <x v="0"/>
    <x v="8"/>
    <x v="0"/>
    <x v="1"/>
    <x v="572"/>
    <x v="689"/>
    <x v="1"/>
    <x v="0"/>
    <x v="66"/>
    <x v="1"/>
    <x v="0"/>
    <x v="3"/>
    <x v="14"/>
    <x v="0"/>
    <x v="4"/>
    <x v="1"/>
    <x v="65"/>
    <x v="348"/>
    <x v="10"/>
    <x v="162"/>
    <x v="69"/>
  </r>
  <r>
    <x v="857"/>
    <x v="8"/>
    <x v="0"/>
    <x v="0"/>
    <x v="2"/>
    <x v="1"/>
    <x v="11"/>
    <x v="0"/>
    <x v="0"/>
    <x v="672"/>
    <x v="626"/>
    <x v="2"/>
    <x v="1"/>
    <x v="130"/>
    <x v="2"/>
    <x v="1"/>
    <x v="4"/>
    <x v="50"/>
    <x v="1"/>
    <x v="1"/>
    <x v="1"/>
    <x v="341"/>
    <x v="248"/>
    <x v="49"/>
    <x v="15"/>
    <x v="108"/>
  </r>
  <r>
    <x v="858"/>
    <x v="12"/>
    <x v="1"/>
    <x v="1"/>
    <x v="0"/>
    <x v="5"/>
    <x v="1"/>
    <x v="2"/>
    <x v="3"/>
    <x v="673"/>
    <x v="690"/>
    <x v="2"/>
    <x v="2"/>
    <x v="77"/>
    <x v="2"/>
    <x v="1"/>
    <x v="2"/>
    <x v="16"/>
    <x v="1"/>
    <x v="2"/>
    <x v="0"/>
    <x v="356"/>
    <x v="349"/>
    <x v="56"/>
    <x v="99"/>
    <x v="135"/>
  </r>
  <r>
    <x v="859"/>
    <x v="1"/>
    <x v="0"/>
    <x v="3"/>
    <x v="0"/>
    <x v="2"/>
    <x v="4"/>
    <x v="3"/>
    <x v="0"/>
    <x v="97"/>
    <x v="691"/>
    <x v="1"/>
    <x v="4"/>
    <x v="60"/>
    <x v="1"/>
    <x v="0"/>
    <x v="1"/>
    <x v="10"/>
    <x v="0"/>
    <x v="2"/>
    <x v="0"/>
    <x v="353"/>
    <x v="299"/>
    <x v="73"/>
    <x v="41"/>
    <x v="13"/>
  </r>
  <r>
    <x v="860"/>
    <x v="17"/>
    <x v="0"/>
    <x v="3"/>
    <x v="4"/>
    <x v="0"/>
    <x v="18"/>
    <x v="1"/>
    <x v="3"/>
    <x v="674"/>
    <x v="692"/>
    <x v="1"/>
    <x v="2"/>
    <x v="174"/>
    <x v="1"/>
    <x v="1"/>
    <x v="4"/>
    <x v="150"/>
    <x v="1"/>
    <x v="3"/>
    <x v="1"/>
    <x v="357"/>
    <x v="237"/>
    <x v="52"/>
    <x v="32"/>
    <x v="42"/>
  </r>
  <r>
    <x v="861"/>
    <x v="64"/>
    <x v="0"/>
    <x v="3"/>
    <x v="1"/>
    <x v="5"/>
    <x v="13"/>
    <x v="1"/>
    <x v="0"/>
    <x v="675"/>
    <x v="693"/>
    <x v="3"/>
    <x v="1"/>
    <x v="164"/>
    <x v="3"/>
    <x v="2"/>
    <x v="0"/>
    <x v="74"/>
    <x v="1"/>
    <x v="2"/>
    <x v="1"/>
    <x v="358"/>
    <x v="261"/>
    <x v="78"/>
    <x v="36"/>
    <x v="137"/>
  </r>
  <r>
    <x v="862"/>
    <x v="48"/>
    <x v="0"/>
    <x v="4"/>
    <x v="2"/>
    <x v="0"/>
    <x v="15"/>
    <x v="2"/>
    <x v="0"/>
    <x v="676"/>
    <x v="694"/>
    <x v="0"/>
    <x v="2"/>
    <x v="185"/>
    <x v="0"/>
    <x v="0"/>
    <x v="1"/>
    <x v="116"/>
    <x v="0"/>
    <x v="2"/>
    <x v="1"/>
    <x v="20"/>
    <x v="73"/>
    <x v="82"/>
    <x v="89"/>
    <x v="6"/>
  </r>
  <r>
    <x v="863"/>
    <x v="1"/>
    <x v="2"/>
    <x v="4"/>
    <x v="1"/>
    <x v="0"/>
    <x v="19"/>
    <x v="3"/>
    <x v="2"/>
    <x v="677"/>
    <x v="695"/>
    <x v="2"/>
    <x v="0"/>
    <x v="42"/>
    <x v="2"/>
    <x v="0"/>
    <x v="3"/>
    <x v="48"/>
    <x v="0"/>
    <x v="3"/>
    <x v="0"/>
    <x v="326"/>
    <x v="1"/>
    <x v="1"/>
    <x v="144"/>
    <x v="153"/>
  </r>
  <r>
    <x v="864"/>
    <x v="25"/>
    <x v="0"/>
    <x v="3"/>
    <x v="0"/>
    <x v="2"/>
    <x v="0"/>
    <x v="1"/>
    <x v="1"/>
    <x v="588"/>
    <x v="696"/>
    <x v="1"/>
    <x v="0"/>
    <x v="57"/>
    <x v="1"/>
    <x v="1"/>
    <x v="0"/>
    <x v="134"/>
    <x v="1"/>
    <x v="3"/>
    <x v="1"/>
    <x v="198"/>
    <x v="297"/>
    <x v="89"/>
    <x v="64"/>
    <x v="117"/>
  </r>
  <r>
    <x v="865"/>
    <x v="22"/>
    <x v="2"/>
    <x v="0"/>
    <x v="1"/>
    <x v="0"/>
    <x v="7"/>
    <x v="2"/>
    <x v="0"/>
    <x v="460"/>
    <x v="479"/>
    <x v="0"/>
    <x v="2"/>
    <x v="143"/>
    <x v="0"/>
    <x v="0"/>
    <x v="1"/>
    <x v="80"/>
    <x v="0"/>
    <x v="2"/>
    <x v="1"/>
    <x v="244"/>
    <x v="155"/>
    <x v="28"/>
    <x v="159"/>
    <x v="148"/>
  </r>
  <r>
    <x v="866"/>
    <x v="21"/>
    <x v="2"/>
    <x v="4"/>
    <x v="0"/>
    <x v="0"/>
    <x v="8"/>
    <x v="1"/>
    <x v="2"/>
    <x v="678"/>
    <x v="697"/>
    <x v="1"/>
    <x v="0"/>
    <x v="2"/>
    <x v="1"/>
    <x v="1"/>
    <x v="1"/>
    <x v="1"/>
    <x v="1"/>
    <x v="0"/>
    <x v="0"/>
    <x v="122"/>
    <x v="260"/>
    <x v="45"/>
    <x v="37"/>
    <x v="117"/>
  </r>
  <r>
    <x v="867"/>
    <x v="53"/>
    <x v="2"/>
    <x v="3"/>
    <x v="1"/>
    <x v="0"/>
    <x v="5"/>
    <x v="2"/>
    <x v="1"/>
    <x v="125"/>
    <x v="133"/>
    <x v="1"/>
    <x v="0"/>
    <x v="37"/>
    <x v="1"/>
    <x v="1"/>
    <x v="0"/>
    <x v="112"/>
    <x v="1"/>
    <x v="2"/>
    <x v="1"/>
    <x v="29"/>
    <x v="3"/>
    <x v="68"/>
    <x v="25"/>
    <x v="165"/>
  </r>
  <r>
    <x v="868"/>
    <x v="0"/>
    <x v="1"/>
    <x v="3"/>
    <x v="4"/>
    <x v="0"/>
    <x v="14"/>
    <x v="3"/>
    <x v="1"/>
    <x v="630"/>
    <x v="698"/>
    <x v="0"/>
    <x v="3"/>
    <x v="195"/>
    <x v="0"/>
    <x v="0"/>
    <x v="0"/>
    <x v="118"/>
    <x v="0"/>
    <x v="3"/>
    <x v="0"/>
    <x v="8"/>
    <x v="349"/>
    <x v="74"/>
    <x v="129"/>
    <x v="120"/>
  </r>
  <r>
    <x v="869"/>
    <x v="19"/>
    <x v="0"/>
    <x v="4"/>
    <x v="3"/>
    <x v="3"/>
    <x v="2"/>
    <x v="2"/>
    <x v="1"/>
    <x v="17"/>
    <x v="399"/>
    <x v="0"/>
    <x v="1"/>
    <x v="22"/>
    <x v="0"/>
    <x v="0"/>
    <x v="4"/>
    <x v="67"/>
    <x v="0"/>
    <x v="4"/>
    <x v="0"/>
    <x v="287"/>
    <x v="283"/>
    <x v="43"/>
    <x v="67"/>
    <x v="20"/>
  </r>
  <r>
    <x v="870"/>
    <x v="42"/>
    <x v="0"/>
    <x v="4"/>
    <x v="1"/>
    <x v="4"/>
    <x v="17"/>
    <x v="1"/>
    <x v="1"/>
    <x v="177"/>
    <x v="444"/>
    <x v="2"/>
    <x v="3"/>
    <x v="34"/>
    <x v="2"/>
    <x v="2"/>
    <x v="1"/>
    <x v="61"/>
    <x v="1"/>
    <x v="4"/>
    <x v="1"/>
    <x v="34"/>
    <x v="338"/>
    <x v="73"/>
    <x v="18"/>
    <x v="55"/>
  </r>
  <r>
    <x v="871"/>
    <x v="33"/>
    <x v="1"/>
    <x v="4"/>
    <x v="0"/>
    <x v="0"/>
    <x v="0"/>
    <x v="2"/>
    <x v="3"/>
    <x v="679"/>
    <x v="699"/>
    <x v="0"/>
    <x v="2"/>
    <x v="9"/>
    <x v="0"/>
    <x v="0"/>
    <x v="2"/>
    <x v="4"/>
    <x v="0"/>
    <x v="4"/>
    <x v="1"/>
    <x v="174"/>
    <x v="350"/>
    <x v="2"/>
    <x v="74"/>
    <x v="82"/>
  </r>
  <r>
    <x v="872"/>
    <x v="19"/>
    <x v="1"/>
    <x v="2"/>
    <x v="1"/>
    <x v="2"/>
    <x v="2"/>
    <x v="0"/>
    <x v="1"/>
    <x v="680"/>
    <x v="700"/>
    <x v="3"/>
    <x v="4"/>
    <x v="163"/>
    <x v="3"/>
    <x v="1"/>
    <x v="3"/>
    <x v="63"/>
    <x v="1"/>
    <x v="4"/>
    <x v="1"/>
    <x v="121"/>
    <x v="158"/>
    <x v="32"/>
    <x v="46"/>
    <x v="156"/>
  </r>
  <r>
    <x v="873"/>
    <x v="7"/>
    <x v="2"/>
    <x v="3"/>
    <x v="2"/>
    <x v="2"/>
    <x v="15"/>
    <x v="3"/>
    <x v="1"/>
    <x v="197"/>
    <x v="701"/>
    <x v="3"/>
    <x v="2"/>
    <x v="155"/>
    <x v="3"/>
    <x v="0"/>
    <x v="0"/>
    <x v="139"/>
    <x v="0"/>
    <x v="3"/>
    <x v="0"/>
    <x v="236"/>
    <x v="309"/>
    <x v="43"/>
    <x v="160"/>
    <x v="127"/>
  </r>
  <r>
    <x v="874"/>
    <x v="1"/>
    <x v="1"/>
    <x v="3"/>
    <x v="2"/>
    <x v="5"/>
    <x v="4"/>
    <x v="3"/>
    <x v="2"/>
    <x v="681"/>
    <x v="702"/>
    <x v="0"/>
    <x v="0"/>
    <x v="22"/>
    <x v="0"/>
    <x v="0"/>
    <x v="1"/>
    <x v="125"/>
    <x v="0"/>
    <x v="4"/>
    <x v="0"/>
    <x v="84"/>
    <x v="135"/>
    <x v="81"/>
    <x v="31"/>
    <x v="135"/>
  </r>
  <r>
    <x v="875"/>
    <x v="60"/>
    <x v="0"/>
    <x v="2"/>
    <x v="4"/>
    <x v="0"/>
    <x v="3"/>
    <x v="1"/>
    <x v="2"/>
    <x v="245"/>
    <x v="687"/>
    <x v="1"/>
    <x v="0"/>
    <x v="27"/>
    <x v="1"/>
    <x v="1"/>
    <x v="2"/>
    <x v="98"/>
    <x v="1"/>
    <x v="1"/>
    <x v="1"/>
    <x v="133"/>
    <x v="337"/>
    <x v="70"/>
    <x v="121"/>
    <x v="42"/>
  </r>
  <r>
    <x v="876"/>
    <x v="0"/>
    <x v="2"/>
    <x v="1"/>
    <x v="3"/>
    <x v="4"/>
    <x v="1"/>
    <x v="3"/>
    <x v="0"/>
    <x v="682"/>
    <x v="703"/>
    <x v="1"/>
    <x v="4"/>
    <x v="196"/>
    <x v="1"/>
    <x v="1"/>
    <x v="3"/>
    <x v="121"/>
    <x v="1"/>
    <x v="4"/>
    <x v="1"/>
    <x v="74"/>
    <x v="275"/>
    <x v="33"/>
    <x v="55"/>
    <x v="50"/>
  </r>
  <r>
    <x v="877"/>
    <x v="36"/>
    <x v="1"/>
    <x v="4"/>
    <x v="1"/>
    <x v="0"/>
    <x v="4"/>
    <x v="0"/>
    <x v="2"/>
    <x v="683"/>
    <x v="704"/>
    <x v="0"/>
    <x v="1"/>
    <x v="117"/>
    <x v="0"/>
    <x v="2"/>
    <x v="2"/>
    <x v="111"/>
    <x v="1"/>
    <x v="0"/>
    <x v="0"/>
    <x v="359"/>
    <x v="121"/>
    <x v="86"/>
    <x v="61"/>
    <x v="17"/>
  </r>
  <r>
    <x v="878"/>
    <x v="38"/>
    <x v="0"/>
    <x v="2"/>
    <x v="1"/>
    <x v="5"/>
    <x v="16"/>
    <x v="1"/>
    <x v="3"/>
    <x v="684"/>
    <x v="35"/>
    <x v="0"/>
    <x v="4"/>
    <x v="33"/>
    <x v="0"/>
    <x v="0"/>
    <x v="3"/>
    <x v="64"/>
    <x v="0"/>
    <x v="1"/>
    <x v="1"/>
    <x v="146"/>
    <x v="267"/>
    <x v="25"/>
    <x v="31"/>
    <x v="149"/>
  </r>
  <r>
    <x v="879"/>
    <x v="12"/>
    <x v="1"/>
    <x v="0"/>
    <x v="0"/>
    <x v="0"/>
    <x v="1"/>
    <x v="3"/>
    <x v="0"/>
    <x v="685"/>
    <x v="705"/>
    <x v="0"/>
    <x v="2"/>
    <x v="56"/>
    <x v="0"/>
    <x v="1"/>
    <x v="4"/>
    <x v="33"/>
    <x v="1"/>
    <x v="3"/>
    <x v="1"/>
    <x v="132"/>
    <x v="15"/>
    <x v="54"/>
    <x v="20"/>
    <x v="143"/>
  </r>
  <r>
    <x v="880"/>
    <x v="2"/>
    <x v="0"/>
    <x v="2"/>
    <x v="3"/>
    <x v="2"/>
    <x v="2"/>
    <x v="3"/>
    <x v="2"/>
    <x v="686"/>
    <x v="340"/>
    <x v="2"/>
    <x v="4"/>
    <x v="53"/>
    <x v="2"/>
    <x v="0"/>
    <x v="3"/>
    <x v="50"/>
    <x v="0"/>
    <x v="4"/>
    <x v="0"/>
    <x v="360"/>
    <x v="223"/>
    <x v="38"/>
    <x v="156"/>
    <x v="48"/>
  </r>
  <r>
    <x v="881"/>
    <x v="43"/>
    <x v="0"/>
    <x v="0"/>
    <x v="1"/>
    <x v="2"/>
    <x v="4"/>
    <x v="3"/>
    <x v="1"/>
    <x v="427"/>
    <x v="201"/>
    <x v="1"/>
    <x v="0"/>
    <x v="136"/>
    <x v="1"/>
    <x v="0"/>
    <x v="0"/>
    <x v="109"/>
    <x v="0"/>
    <x v="0"/>
    <x v="0"/>
    <x v="1"/>
    <x v="228"/>
    <x v="22"/>
    <x v="42"/>
    <x v="117"/>
  </r>
  <r>
    <x v="882"/>
    <x v="48"/>
    <x v="2"/>
    <x v="0"/>
    <x v="0"/>
    <x v="0"/>
    <x v="14"/>
    <x v="0"/>
    <x v="0"/>
    <x v="474"/>
    <x v="315"/>
    <x v="0"/>
    <x v="1"/>
    <x v="0"/>
    <x v="0"/>
    <x v="1"/>
    <x v="4"/>
    <x v="8"/>
    <x v="1"/>
    <x v="4"/>
    <x v="1"/>
    <x v="323"/>
    <x v="82"/>
    <x v="36"/>
    <x v="19"/>
    <x v="35"/>
  </r>
  <r>
    <x v="883"/>
    <x v="67"/>
    <x v="1"/>
    <x v="1"/>
    <x v="4"/>
    <x v="3"/>
    <x v="4"/>
    <x v="2"/>
    <x v="2"/>
    <x v="687"/>
    <x v="261"/>
    <x v="2"/>
    <x v="3"/>
    <x v="175"/>
    <x v="2"/>
    <x v="1"/>
    <x v="4"/>
    <x v="125"/>
    <x v="1"/>
    <x v="2"/>
    <x v="0"/>
    <x v="223"/>
    <x v="322"/>
    <x v="18"/>
    <x v="67"/>
    <x v="147"/>
  </r>
  <r>
    <x v="884"/>
    <x v="42"/>
    <x v="0"/>
    <x v="2"/>
    <x v="0"/>
    <x v="1"/>
    <x v="6"/>
    <x v="3"/>
    <x v="2"/>
    <x v="688"/>
    <x v="706"/>
    <x v="2"/>
    <x v="0"/>
    <x v="195"/>
    <x v="2"/>
    <x v="0"/>
    <x v="3"/>
    <x v="87"/>
    <x v="0"/>
    <x v="1"/>
    <x v="0"/>
    <x v="164"/>
    <x v="157"/>
    <x v="80"/>
    <x v="130"/>
    <x v="2"/>
  </r>
  <r>
    <x v="885"/>
    <x v="33"/>
    <x v="2"/>
    <x v="4"/>
    <x v="4"/>
    <x v="0"/>
    <x v="9"/>
    <x v="3"/>
    <x v="3"/>
    <x v="429"/>
    <x v="707"/>
    <x v="2"/>
    <x v="4"/>
    <x v="101"/>
    <x v="2"/>
    <x v="2"/>
    <x v="1"/>
    <x v="132"/>
    <x v="1"/>
    <x v="3"/>
    <x v="0"/>
    <x v="138"/>
    <x v="351"/>
    <x v="66"/>
    <x v="29"/>
    <x v="130"/>
  </r>
  <r>
    <x v="886"/>
    <x v="37"/>
    <x v="0"/>
    <x v="0"/>
    <x v="2"/>
    <x v="0"/>
    <x v="18"/>
    <x v="3"/>
    <x v="1"/>
    <x v="689"/>
    <x v="646"/>
    <x v="3"/>
    <x v="0"/>
    <x v="76"/>
    <x v="3"/>
    <x v="1"/>
    <x v="3"/>
    <x v="2"/>
    <x v="1"/>
    <x v="3"/>
    <x v="0"/>
    <x v="117"/>
    <x v="121"/>
    <x v="4"/>
    <x v="124"/>
    <x v="77"/>
  </r>
  <r>
    <x v="887"/>
    <x v="65"/>
    <x v="1"/>
    <x v="3"/>
    <x v="2"/>
    <x v="0"/>
    <x v="12"/>
    <x v="3"/>
    <x v="2"/>
    <x v="690"/>
    <x v="708"/>
    <x v="0"/>
    <x v="3"/>
    <x v="135"/>
    <x v="0"/>
    <x v="0"/>
    <x v="2"/>
    <x v="94"/>
    <x v="0"/>
    <x v="3"/>
    <x v="1"/>
    <x v="166"/>
    <x v="1"/>
    <x v="41"/>
    <x v="67"/>
    <x v="127"/>
  </r>
  <r>
    <x v="888"/>
    <x v="32"/>
    <x v="2"/>
    <x v="0"/>
    <x v="1"/>
    <x v="2"/>
    <x v="11"/>
    <x v="3"/>
    <x v="2"/>
    <x v="485"/>
    <x v="709"/>
    <x v="2"/>
    <x v="0"/>
    <x v="74"/>
    <x v="2"/>
    <x v="0"/>
    <x v="1"/>
    <x v="20"/>
    <x v="0"/>
    <x v="0"/>
    <x v="0"/>
    <x v="316"/>
    <x v="182"/>
    <x v="59"/>
    <x v="121"/>
    <x v="133"/>
  </r>
  <r>
    <x v="889"/>
    <x v="0"/>
    <x v="0"/>
    <x v="4"/>
    <x v="2"/>
    <x v="4"/>
    <x v="15"/>
    <x v="3"/>
    <x v="2"/>
    <x v="410"/>
    <x v="687"/>
    <x v="0"/>
    <x v="3"/>
    <x v="125"/>
    <x v="0"/>
    <x v="2"/>
    <x v="0"/>
    <x v="78"/>
    <x v="1"/>
    <x v="3"/>
    <x v="0"/>
    <x v="208"/>
    <x v="307"/>
    <x v="20"/>
    <x v="23"/>
    <x v="138"/>
  </r>
  <r>
    <x v="890"/>
    <x v="48"/>
    <x v="2"/>
    <x v="4"/>
    <x v="0"/>
    <x v="0"/>
    <x v="11"/>
    <x v="1"/>
    <x v="2"/>
    <x v="510"/>
    <x v="555"/>
    <x v="0"/>
    <x v="2"/>
    <x v="85"/>
    <x v="0"/>
    <x v="0"/>
    <x v="3"/>
    <x v="137"/>
    <x v="0"/>
    <x v="0"/>
    <x v="1"/>
    <x v="152"/>
    <x v="39"/>
    <x v="14"/>
    <x v="8"/>
    <x v="54"/>
  </r>
  <r>
    <x v="891"/>
    <x v="33"/>
    <x v="0"/>
    <x v="4"/>
    <x v="0"/>
    <x v="0"/>
    <x v="16"/>
    <x v="1"/>
    <x v="2"/>
    <x v="691"/>
    <x v="710"/>
    <x v="0"/>
    <x v="1"/>
    <x v="109"/>
    <x v="0"/>
    <x v="1"/>
    <x v="1"/>
    <x v="47"/>
    <x v="1"/>
    <x v="0"/>
    <x v="0"/>
    <x v="235"/>
    <x v="298"/>
    <x v="19"/>
    <x v="32"/>
    <x v="18"/>
  </r>
  <r>
    <x v="892"/>
    <x v="18"/>
    <x v="0"/>
    <x v="1"/>
    <x v="1"/>
    <x v="5"/>
    <x v="6"/>
    <x v="0"/>
    <x v="0"/>
    <x v="692"/>
    <x v="80"/>
    <x v="3"/>
    <x v="2"/>
    <x v="167"/>
    <x v="3"/>
    <x v="0"/>
    <x v="4"/>
    <x v="20"/>
    <x v="0"/>
    <x v="1"/>
    <x v="1"/>
    <x v="358"/>
    <x v="352"/>
    <x v="90"/>
    <x v="100"/>
    <x v="31"/>
  </r>
  <r>
    <x v="893"/>
    <x v="57"/>
    <x v="2"/>
    <x v="2"/>
    <x v="3"/>
    <x v="0"/>
    <x v="16"/>
    <x v="1"/>
    <x v="0"/>
    <x v="693"/>
    <x v="132"/>
    <x v="2"/>
    <x v="0"/>
    <x v="163"/>
    <x v="2"/>
    <x v="1"/>
    <x v="4"/>
    <x v="110"/>
    <x v="1"/>
    <x v="3"/>
    <x v="0"/>
    <x v="312"/>
    <x v="257"/>
    <x v="79"/>
    <x v="134"/>
    <x v="24"/>
  </r>
  <r>
    <x v="894"/>
    <x v="15"/>
    <x v="0"/>
    <x v="1"/>
    <x v="0"/>
    <x v="0"/>
    <x v="3"/>
    <x v="2"/>
    <x v="2"/>
    <x v="694"/>
    <x v="711"/>
    <x v="1"/>
    <x v="0"/>
    <x v="153"/>
    <x v="1"/>
    <x v="1"/>
    <x v="0"/>
    <x v="12"/>
    <x v="1"/>
    <x v="2"/>
    <x v="0"/>
    <x v="19"/>
    <x v="34"/>
    <x v="44"/>
    <x v="147"/>
    <x v="19"/>
  </r>
  <r>
    <x v="895"/>
    <x v="39"/>
    <x v="1"/>
    <x v="4"/>
    <x v="1"/>
    <x v="0"/>
    <x v="6"/>
    <x v="0"/>
    <x v="1"/>
    <x v="695"/>
    <x v="712"/>
    <x v="0"/>
    <x v="3"/>
    <x v="164"/>
    <x v="0"/>
    <x v="0"/>
    <x v="0"/>
    <x v="18"/>
    <x v="0"/>
    <x v="4"/>
    <x v="1"/>
    <x v="26"/>
    <x v="185"/>
    <x v="22"/>
    <x v="176"/>
    <x v="15"/>
  </r>
  <r>
    <x v="896"/>
    <x v="64"/>
    <x v="0"/>
    <x v="1"/>
    <x v="0"/>
    <x v="0"/>
    <x v="8"/>
    <x v="0"/>
    <x v="1"/>
    <x v="250"/>
    <x v="184"/>
    <x v="1"/>
    <x v="4"/>
    <x v="101"/>
    <x v="1"/>
    <x v="2"/>
    <x v="1"/>
    <x v="127"/>
    <x v="1"/>
    <x v="2"/>
    <x v="0"/>
    <x v="222"/>
    <x v="133"/>
    <x v="9"/>
    <x v="131"/>
    <x v="66"/>
  </r>
  <r>
    <x v="897"/>
    <x v="24"/>
    <x v="0"/>
    <x v="0"/>
    <x v="0"/>
    <x v="3"/>
    <x v="0"/>
    <x v="3"/>
    <x v="0"/>
    <x v="300"/>
    <x v="713"/>
    <x v="1"/>
    <x v="4"/>
    <x v="180"/>
    <x v="1"/>
    <x v="2"/>
    <x v="1"/>
    <x v="26"/>
    <x v="1"/>
    <x v="2"/>
    <x v="0"/>
    <x v="32"/>
    <x v="217"/>
    <x v="80"/>
    <x v="80"/>
    <x v="6"/>
  </r>
  <r>
    <x v="898"/>
    <x v="24"/>
    <x v="0"/>
    <x v="4"/>
    <x v="4"/>
    <x v="5"/>
    <x v="7"/>
    <x v="3"/>
    <x v="1"/>
    <x v="696"/>
    <x v="714"/>
    <x v="0"/>
    <x v="3"/>
    <x v="97"/>
    <x v="0"/>
    <x v="1"/>
    <x v="3"/>
    <x v="102"/>
    <x v="1"/>
    <x v="4"/>
    <x v="0"/>
    <x v="330"/>
    <x v="36"/>
    <x v="42"/>
    <x v="153"/>
    <x v="119"/>
  </r>
  <r>
    <x v="899"/>
    <x v="26"/>
    <x v="2"/>
    <x v="4"/>
    <x v="2"/>
    <x v="3"/>
    <x v="12"/>
    <x v="0"/>
    <x v="3"/>
    <x v="61"/>
    <x v="715"/>
    <x v="3"/>
    <x v="2"/>
    <x v="163"/>
    <x v="3"/>
    <x v="0"/>
    <x v="0"/>
    <x v="17"/>
    <x v="0"/>
    <x v="4"/>
    <x v="0"/>
    <x v="274"/>
    <x v="159"/>
    <x v="30"/>
    <x v="115"/>
    <x v="68"/>
  </r>
  <r>
    <x v="900"/>
    <x v="26"/>
    <x v="2"/>
    <x v="3"/>
    <x v="1"/>
    <x v="2"/>
    <x v="18"/>
    <x v="2"/>
    <x v="2"/>
    <x v="697"/>
    <x v="716"/>
    <x v="2"/>
    <x v="1"/>
    <x v="83"/>
    <x v="2"/>
    <x v="2"/>
    <x v="3"/>
    <x v="78"/>
    <x v="1"/>
    <x v="0"/>
    <x v="0"/>
    <x v="287"/>
    <x v="342"/>
    <x v="77"/>
    <x v="114"/>
    <x v="51"/>
  </r>
  <r>
    <x v="901"/>
    <x v="51"/>
    <x v="1"/>
    <x v="0"/>
    <x v="3"/>
    <x v="0"/>
    <x v="13"/>
    <x v="0"/>
    <x v="0"/>
    <x v="698"/>
    <x v="8"/>
    <x v="3"/>
    <x v="4"/>
    <x v="194"/>
    <x v="3"/>
    <x v="0"/>
    <x v="4"/>
    <x v="80"/>
    <x v="0"/>
    <x v="2"/>
    <x v="1"/>
    <x v="29"/>
    <x v="129"/>
    <x v="59"/>
    <x v="128"/>
    <x v="24"/>
  </r>
  <r>
    <x v="902"/>
    <x v="67"/>
    <x v="2"/>
    <x v="0"/>
    <x v="1"/>
    <x v="0"/>
    <x v="19"/>
    <x v="3"/>
    <x v="3"/>
    <x v="699"/>
    <x v="717"/>
    <x v="0"/>
    <x v="0"/>
    <x v="125"/>
    <x v="0"/>
    <x v="1"/>
    <x v="0"/>
    <x v="44"/>
    <x v="1"/>
    <x v="4"/>
    <x v="0"/>
    <x v="45"/>
    <x v="263"/>
    <x v="36"/>
    <x v="69"/>
    <x v="112"/>
  </r>
  <r>
    <x v="903"/>
    <x v="27"/>
    <x v="1"/>
    <x v="3"/>
    <x v="2"/>
    <x v="0"/>
    <x v="8"/>
    <x v="0"/>
    <x v="2"/>
    <x v="700"/>
    <x v="718"/>
    <x v="2"/>
    <x v="2"/>
    <x v="29"/>
    <x v="2"/>
    <x v="0"/>
    <x v="4"/>
    <x v="87"/>
    <x v="0"/>
    <x v="0"/>
    <x v="0"/>
    <x v="165"/>
    <x v="197"/>
    <x v="60"/>
    <x v="10"/>
    <x v="137"/>
  </r>
  <r>
    <x v="904"/>
    <x v="45"/>
    <x v="0"/>
    <x v="2"/>
    <x v="2"/>
    <x v="0"/>
    <x v="1"/>
    <x v="2"/>
    <x v="1"/>
    <x v="61"/>
    <x v="719"/>
    <x v="0"/>
    <x v="4"/>
    <x v="129"/>
    <x v="0"/>
    <x v="1"/>
    <x v="1"/>
    <x v="20"/>
    <x v="1"/>
    <x v="0"/>
    <x v="1"/>
    <x v="155"/>
    <x v="353"/>
    <x v="78"/>
    <x v="169"/>
    <x v="29"/>
  </r>
  <r>
    <x v="905"/>
    <x v="24"/>
    <x v="0"/>
    <x v="3"/>
    <x v="3"/>
    <x v="2"/>
    <x v="12"/>
    <x v="1"/>
    <x v="3"/>
    <x v="628"/>
    <x v="720"/>
    <x v="3"/>
    <x v="3"/>
    <x v="11"/>
    <x v="3"/>
    <x v="0"/>
    <x v="3"/>
    <x v="15"/>
    <x v="0"/>
    <x v="2"/>
    <x v="0"/>
    <x v="361"/>
    <x v="215"/>
    <x v="56"/>
    <x v="119"/>
    <x v="16"/>
  </r>
  <r>
    <x v="906"/>
    <x v="44"/>
    <x v="0"/>
    <x v="2"/>
    <x v="1"/>
    <x v="0"/>
    <x v="7"/>
    <x v="2"/>
    <x v="1"/>
    <x v="517"/>
    <x v="104"/>
    <x v="3"/>
    <x v="1"/>
    <x v="193"/>
    <x v="3"/>
    <x v="1"/>
    <x v="2"/>
    <x v="68"/>
    <x v="1"/>
    <x v="1"/>
    <x v="1"/>
    <x v="248"/>
    <x v="27"/>
    <x v="41"/>
    <x v="110"/>
    <x v="35"/>
  </r>
  <r>
    <x v="907"/>
    <x v="37"/>
    <x v="0"/>
    <x v="1"/>
    <x v="4"/>
    <x v="0"/>
    <x v="15"/>
    <x v="1"/>
    <x v="0"/>
    <x v="701"/>
    <x v="721"/>
    <x v="3"/>
    <x v="4"/>
    <x v="93"/>
    <x v="3"/>
    <x v="2"/>
    <x v="2"/>
    <x v="68"/>
    <x v="1"/>
    <x v="1"/>
    <x v="1"/>
    <x v="182"/>
    <x v="154"/>
    <x v="4"/>
    <x v="119"/>
    <x v="48"/>
  </r>
  <r>
    <x v="908"/>
    <x v="40"/>
    <x v="1"/>
    <x v="1"/>
    <x v="2"/>
    <x v="0"/>
    <x v="11"/>
    <x v="3"/>
    <x v="3"/>
    <x v="702"/>
    <x v="624"/>
    <x v="3"/>
    <x v="4"/>
    <x v="74"/>
    <x v="3"/>
    <x v="2"/>
    <x v="1"/>
    <x v="69"/>
    <x v="1"/>
    <x v="2"/>
    <x v="0"/>
    <x v="362"/>
    <x v="29"/>
    <x v="63"/>
    <x v="34"/>
    <x v="38"/>
  </r>
  <r>
    <x v="909"/>
    <x v="60"/>
    <x v="0"/>
    <x v="4"/>
    <x v="4"/>
    <x v="5"/>
    <x v="18"/>
    <x v="1"/>
    <x v="1"/>
    <x v="703"/>
    <x v="121"/>
    <x v="1"/>
    <x v="1"/>
    <x v="168"/>
    <x v="1"/>
    <x v="1"/>
    <x v="2"/>
    <x v="98"/>
    <x v="1"/>
    <x v="3"/>
    <x v="0"/>
    <x v="245"/>
    <x v="354"/>
    <x v="36"/>
    <x v="46"/>
    <x v="125"/>
  </r>
  <r>
    <x v="910"/>
    <x v="62"/>
    <x v="2"/>
    <x v="3"/>
    <x v="1"/>
    <x v="0"/>
    <x v="1"/>
    <x v="0"/>
    <x v="1"/>
    <x v="704"/>
    <x v="406"/>
    <x v="3"/>
    <x v="3"/>
    <x v="167"/>
    <x v="3"/>
    <x v="1"/>
    <x v="0"/>
    <x v="20"/>
    <x v="1"/>
    <x v="3"/>
    <x v="0"/>
    <x v="212"/>
    <x v="167"/>
    <x v="63"/>
    <x v="22"/>
    <x v="109"/>
  </r>
  <r>
    <x v="911"/>
    <x v="30"/>
    <x v="0"/>
    <x v="2"/>
    <x v="2"/>
    <x v="0"/>
    <x v="8"/>
    <x v="0"/>
    <x v="2"/>
    <x v="705"/>
    <x v="722"/>
    <x v="3"/>
    <x v="2"/>
    <x v="93"/>
    <x v="3"/>
    <x v="1"/>
    <x v="1"/>
    <x v="141"/>
    <x v="1"/>
    <x v="0"/>
    <x v="0"/>
    <x v="197"/>
    <x v="355"/>
    <x v="5"/>
    <x v="6"/>
    <x v="11"/>
  </r>
  <r>
    <x v="912"/>
    <x v="25"/>
    <x v="2"/>
    <x v="4"/>
    <x v="3"/>
    <x v="0"/>
    <x v="12"/>
    <x v="2"/>
    <x v="1"/>
    <x v="706"/>
    <x v="723"/>
    <x v="0"/>
    <x v="4"/>
    <x v="17"/>
    <x v="0"/>
    <x v="1"/>
    <x v="1"/>
    <x v="131"/>
    <x v="1"/>
    <x v="0"/>
    <x v="0"/>
    <x v="206"/>
    <x v="180"/>
    <x v="69"/>
    <x v="16"/>
    <x v="70"/>
  </r>
  <r>
    <x v="913"/>
    <x v="47"/>
    <x v="2"/>
    <x v="3"/>
    <x v="1"/>
    <x v="1"/>
    <x v="1"/>
    <x v="1"/>
    <x v="3"/>
    <x v="66"/>
    <x v="724"/>
    <x v="0"/>
    <x v="4"/>
    <x v="142"/>
    <x v="0"/>
    <x v="0"/>
    <x v="1"/>
    <x v="100"/>
    <x v="0"/>
    <x v="2"/>
    <x v="1"/>
    <x v="95"/>
    <x v="273"/>
    <x v="30"/>
    <x v="54"/>
    <x v="94"/>
  </r>
  <r>
    <x v="914"/>
    <x v="49"/>
    <x v="0"/>
    <x v="2"/>
    <x v="1"/>
    <x v="3"/>
    <x v="8"/>
    <x v="2"/>
    <x v="2"/>
    <x v="707"/>
    <x v="725"/>
    <x v="1"/>
    <x v="0"/>
    <x v="76"/>
    <x v="1"/>
    <x v="2"/>
    <x v="3"/>
    <x v="141"/>
    <x v="1"/>
    <x v="1"/>
    <x v="1"/>
    <x v="247"/>
    <x v="260"/>
    <x v="16"/>
    <x v="22"/>
    <x v="164"/>
  </r>
  <r>
    <x v="915"/>
    <x v="63"/>
    <x v="1"/>
    <x v="3"/>
    <x v="3"/>
    <x v="5"/>
    <x v="1"/>
    <x v="0"/>
    <x v="2"/>
    <x v="66"/>
    <x v="726"/>
    <x v="3"/>
    <x v="1"/>
    <x v="122"/>
    <x v="3"/>
    <x v="0"/>
    <x v="0"/>
    <x v="67"/>
    <x v="0"/>
    <x v="1"/>
    <x v="0"/>
    <x v="127"/>
    <x v="204"/>
    <x v="8"/>
    <x v="24"/>
    <x v="24"/>
  </r>
  <r>
    <x v="916"/>
    <x v="3"/>
    <x v="2"/>
    <x v="2"/>
    <x v="2"/>
    <x v="0"/>
    <x v="1"/>
    <x v="2"/>
    <x v="3"/>
    <x v="292"/>
    <x v="727"/>
    <x v="3"/>
    <x v="0"/>
    <x v="155"/>
    <x v="3"/>
    <x v="2"/>
    <x v="0"/>
    <x v="29"/>
    <x v="1"/>
    <x v="1"/>
    <x v="0"/>
    <x v="110"/>
    <x v="227"/>
    <x v="48"/>
    <x v="31"/>
    <x v="112"/>
  </r>
  <r>
    <x v="917"/>
    <x v="25"/>
    <x v="2"/>
    <x v="2"/>
    <x v="1"/>
    <x v="4"/>
    <x v="18"/>
    <x v="2"/>
    <x v="3"/>
    <x v="119"/>
    <x v="334"/>
    <x v="0"/>
    <x v="2"/>
    <x v="6"/>
    <x v="0"/>
    <x v="0"/>
    <x v="2"/>
    <x v="129"/>
    <x v="0"/>
    <x v="1"/>
    <x v="1"/>
    <x v="288"/>
    <x v="101"/>
    <x v="32"/>
    <x v="172"/>
    <x v="22"/>
  </r>
  <r>
    <x v="918"/>
    <x v="62"/>
    <x v="0"/>
    <x v="1"/>
    <x v="3"/>
    <x v="2"/>
    <x v="10"/>
    <x v="3"/>
    <x v="0"/>
    <x v="305"/>
    <x v="607"/>
    <x v="0"/>
    <x v="4"/>
    <x v="89"/>
    <x v="0"/>
    <x v="1"/>
    <x v="2"/>
    <x v="87"/>
    <x v="1"/>
    <x v="4"/>
    <x v="1"/>
    <x v="95"/>
    <x v="39"/>
    <x v="48"/>
    <x v="71"/>
    <x v="2"/>
  </r>
  <r>
    <x v="919"/>
    <x v="9"/>
    <x v="0"/>
    <x v="1"/>
    <x v="1"/>
    <x v="0"/>
    <x v="17"/>
    <x v="0"/>
    <x v="1"/>
    <x v="708"/>
    <x v="728"/>
    <x v="0"/>
    <x v="1"/>
    <x v="168"/>
    <x v="0"/>
    <x v="2"/>
    <x v="2"/>
    <x v="29"/>
    <x v="1"/>
    <x v="3"/>
    <x v="1"/>
    <x v="296"/>
    <x v="148"/>
    <x v="58"/>
    <x v="158"/>
    <x v="15"/>
  </r>
  <r>
    <x v="920"/>
    <x v="51"/>
    <x v="2"/>
    <x v="1"/>
    <x v="4"/>
    <x v="2"/>
    <x v="13"/>
    <x v="2"/>
    <x v="0"/>
    <x v="709"/>
    <x v="729"/>
    <x v="3"/>
    <x v="4"/>
    <x v="13"/>
    <x v="3"/>
    <x v="1"/>
    <x v="3"/>
    <x v="19"/>
    <x v="1"/>
    <x v="1"/>
    <x v="1"/>
    <x v="302"/>
    <x v="141"/>
    <x v="41"/>
    <x v="46"/>
    <x v="81"/>
  </r>
  <r>
    <x v="921"/>
    <x v="33"/>
    <x v="0"/>
    <x v="1"/>
    <x v="1"/>
    <x v="2"/>
    <x v="16"/>
    <x v="1"/>
    <x v="2"/>
    <x v="15"/>
    <x v="730"/>
    <x v="1"/>
    <x v="2"/>
    <x v="169"/>
    <x v="1"/>
    <x v="2"/>
    <x v="2"/>
    <x v="142"/>
    <x v="1"/>
    <x v="0"/>
    <x v="1"/>
    <x v="356"/>
    <x v="270"/>
    <x v="75"/>
    <x v="171"/>
    <x v="114"/>
  </r>
  <r>
    <x v="922"/>
    <x v="46"/>
    <x v="2"/>
    <x v="2"/>
    <x v="0"/>
    <x v="4"/>
    <x v="13"/>
    <x v="2"/>
    <x v="0"/>
    <x v="710"/>
    <x v="165"/>
    <x v="1"/>
    <x v="1"/>
    <x v="14"/>
    <x v="1"/>
    <x v="1"/>
    <x v="0"/>
    <x v="34"/>
    <x v="1"/>
    <x v="2"/>
    <x v="1"/>
    <x v="150"/>
    <x v="128"/>
    <x v="80"/>
    <x v="157"/>
    <x v="27"/>
  </r>
  <r>
    <x v="923"/>
    <x v="31"/>
    <x v="0"/>
    <x v="0"/>
    <x v="3"/>
    <x v="3"/>
    <x v="15"/>
    <x v="2"/>
    <x v="0"/>
    <x v="156"/>
    <x v="731"/>
    <x v="0"/>
    <x v="3"/>
    <x v="84"/>
    <x v="0"/>
    <x v="1"/>
    <x v="3"/>
    <x v="76"/>
    <x v="1"/>
    <x v="2"/>
    <x v="1"/>
    <x v="259"/>
    <x v="250"/>
    <x v="72"/>
    <x v="11"/>
    <x v="27"/>
  </r>
  <r>
    <x v="924"/>
    <x v="44"/>
    <x v="1"/>
    <x v="2"/>
    <x v="4"/>
    <x v="4"/>
    <x v="1"/>
    <x v="0"/>
    <x v="1"/>
    <x v="694"/>
    <x v="56"/>
    <x v="2"/>
    <x v="0"/>
    <x v="172"/>
    <x v="2"/>
    <x v="1"/>
    <x v="4"/>
    <x v="53"/>
    <x v="1"/>
    <x v="1"/>
    <x v="1"/>
    <x v="217"/>
    <x v="356"/>
    <x v="56"/>
    <x v="24"/>
    <x v="143"/>
  </r>
  <r>
    <x v="925"/>
    <x v="6"/>
    <x v="0"/>
    <x v="0"/>
    <x v="4"/>
    <x v="4"/>
    <x v="7"/>
    <x v="0"/>
    <x v="3"/>
    <x v="495"/>
    <x v="732"/>
    <x v="1"/>
    <x v="4"/>
    <x v="57"/>
    <x v="1"/>
    <x v="0"/>
    <x v="3"/>
    <x v="89"/>
    <x v="0"/>
    <x v="4"/>
    <x v="0"/>
    <x v="38"/>
    <x v="340"/>
    <x v="7"/>
    <x v="18"/>
    <x v="144"/>
  </r>
  <r>
    <x v="926"/>
    <x v="14"/>
    <x v="2"/>
    <x v="0"/>
    <x v="3"/>
    <x v="0"/>
    <x v="15"/>
    <x v="3"/>
    <x v="3"/>
    <x v="711"/>
    <x v="733"/>
    <x v="2"/>
    <x v="1"/>
    <x v="71"/>
    <x v="2"/>
    <x v="2"/>
    <x v="0"/>
    <x v="43"/>
    <x v="1"/>
    <x v="0"/>
    <x v="0"/>
    <x v="68"/>
    <x v="151"/>
    <x v="75"/>
    <x v="12"/>
    <x v="114"/>
  </r>
  <r>
    <x v="927"/>
    <x v="7"/>
    <x v="2"/>
    <x v="4"/>
    <x v="2"/>
    <x v="5"/>
    <x v="6"/>
    <x v="0"/>
    <x v="3"/>
    <x v="712"/>
    <x v="734"/>
    <x v="3"/>
    <x v="0"/>
    <x v="172"/>
    <x v="3"/>
    <x v="0"/>
    <x v="1"/>
    <x v="74"/>
    <x v="0"/>
    <x v="3"/>
    <x v="1"/>
    <x v="341"/>
    <x v="86"/>
    <x v="27"/>
    <x v="177"/>
    <x v="106"/>
  </r>
  <r>
    <x v="928"/>
    <x v="10"/>
    <x v="2"/>
    <x v="4"/>
    <x v="3"/>
    <x v="1"/>
    <x v="15"/>
    <x v="2"/>
    <x v="3"/>
    <x v="713"/>
    <x v="615"/>
    <x v="2"/>
    <x v="1"/>
    <x v="63"/>
    <x v="2"/>
    <x v="2"/>
    <x v="4"/>
    <x v="146"/>
    <x v="1"/>
    <x v="4"/>
    <x v="0"/>
    <x v="329"/>
    <x v="272"/>
    <x v="29"/>
    <x v="171"/>
    <x v="152"/>
  </r>
  <r>
    <x v="929"/>
    <x v="48"/>
    <x v="0"/>
    <x v="3"/>
    <x v="4"/>
    <x v="0"/>
    <x v="0"/>
    <x v="3"/>
    <x v="3"/>
    <x v="714"/>
    <x v="203"/>
    <x v="3"/>
    <x v="2"/>
    <x v="21"/>
    <x v="3"/>
    <x v="1"/>
    <x v="2"/>
    <x v="74"/>
    <x v="1"/>
    <x v="4"/>
    <x v="1"/>
    <x v="175"/>
    <x v="164"/>
    <x v="49"/>
    <x v="14"/>
    <x v="7"/>
  </r>
  <r>
    <x v="930"/>
    <x v="3"/>
    <x v="1"/>
    <x v="0"/>
    <x v="3"/>
    <x v="2"/>
    <x v="5"/>
    <x v="0"/>
    <x v="2"/>
    <x v="205"/>
    <x v="209"/>
    <x v="2"/>
    <x v="4"/>
    <x v="94"/>
    <x v="2"/>
    <x v="1"/>
    <x v="2"/>
    <x v="109"/>
    <x v="1"/>
    <x v="2"/>
    <x v="1"/>
    <x v="363"/>
    <x v="225"/>
    <x v="52"/>
    <x v="67"/>
    <x v="134"/>
  </r>
  <r>
    <x v="931"/>
    <x v="50"/>
    <x v="1"/>
    <x v="0"/>
    <x v="0"/>
    <x v="2"/>
    <x v="2"/>
    <x v="3"/>
    <x v="1"/>
    <x v="585"/>
    <x v="735"/>
    <x v="1"/>
    <x v="2"/>
    <x v="66"/>
    <x v="1"/>
    <x v="0"/>
    <x v="1"/>
    <x v="45"/>
    <x v="0"/>
    <x v="2"/>
    <x v="0"/>
    <x v="273"/>
    <x v="214"/>
    <x v="65"/>
    <x v="178"/>
    <x v="61"/>
  </r>
  <r>
    <x v="932"/>
    <x v="29"/>
    <x v="0"/>
    <x v="1"/>
    <x v="3"/>
    <x v="0"/>
    <x v="8"/>
    <x v="1"/>
    <x v="3"/>
    <x v="715"/>
    <x v="736"/>
    <x v="1"/>
    <x v="1"/>
    <x v="72"/>
    <x v="1"/>
    <x v="1"/>
    <x v="1"/>
    <x v="70"/>
    <x v="1"/>
    <x v="3"/>
    <x v="1"/>
    <x v="113"/>
    <x v="149"/>
    <x v="60"/>
    <x v="167"/>
    <x v="56"/>
  </r>
  <r>
    <x v="933"/>
    <x v="24"/>
    <x v="0"/>
    <x v="3"/>
    <x v="2"/>
    <x v="4"/>
    <x v="0"/>
    <x v="2"/>
    <x v="0"/>
    <x v="160"/>
    <x v="366"/>
    <x v="3"/>
    <x v="4"/>
    <x v="10"/>
    <x v="3"/>
    <x v="1"/>
    <x v="4"/>
    <x v="49"/>
    <x v="1"/>
    <x v="1"/>
    <x v="0"/>
    <x v="59"/>
    <x v="24"/>
    <x v="12"/>
    <x v="146"/>
    <x v="6"/>
  </r>
  <r>
    <x v="934"/>
    <x v="52"/>
    <x v="1"/>
    <x v="3"/>
    <x v="1"/>
    <x v="0"/>
    <x v="11"/>
    <x v="1"/>
    <x v="3"/>
    <x v="577"/>
    <x v="503"/>
    <x v="1"/>
    <x v="3"/>
    <x v="49"/>
    <x v="1"/>
    <x v="1"/>
    <x v="4"/>
    <x v="53"/>
    <x v="1"/>
    <x v="3"/>
    <x v="0"/>
    <x v="117"/>
    <x v="221"/>
    <x v="47"/>
    <x v="107"/>
    <x v="75"/>
  </r>
  <r>
    <x v="935"/>
    <x v="0"/>
    <x v="0"/>
    <x v="2"/>
    <x v="0"/>
    <x v="0"/>
    <x v="0"/>
    <x v="3"/>
    <x v="2"/>
    <x v="382"/>
    <x v="67"/>
    <x v="2"/>
    <x v="2"/>
    <x v="111"/>
    <x v="2"/>
    <x v="0"/>
    <x v="2"/>
    <x v="20"/>
    <x v="0"/>
    <x v="2"/>
    <x v="1"/>
    <x v="35"/>
    <x v="206"/>
    <x v="87"/>
    <x v="92"/>
    <x v="143"/>
  </r>
  <r>
    <x v="936"/>
    <x v="45"/>
    <x v="0"/>
    <x v="0"/>
    <x v="3"/>
    <x v="3"/>
    <x v="17"/>
    <x v="0"/>
    <x v="0"/>
    <x v="681"/>
    <x v="493"/>
    <x v="2"/>
    <x v="1"/>
    <x v="17"/>
    <x v="2"/>
    <x v="2"/>
    <x v="1"/>
    <x v="147"/>
    <x v="1"/>
    <x v="3"/>
    <x v="0"/>
    <x v="279"/>
    <x v="41"/>
    <x v="12"/>
    <x v="98"/>
    <x v="136"/>
  </r>
  <r>
    <x v="937"/>
    <x v="15"/>
    <x v="0"/>
    <x v="2"/>
    <x v="3"/>
    <x v="0"/>
    <x v="19"/>
    <x v="1"/>
    <x v="2"/>
    <x v="716"/>
    <x v="737"/>
    <x v="0"/>
    <x v="4"/>
    <x v="20"/>
    <x v="0"/>
    <x v="1"/>
    <x v="2"/>
    <x v="141"/>
    <x v="1"/>
    <x v="4"/>
    <x v="1"/>
    <x v="103"/>
    <x v="251"/>
    <x v="18"/>
    <x v="173"/>
    <x v="165"/>
  </r>
  <r>
    <x v="938"/>
    <x v="2"/>
    <x v="0"/>
    <x v="0"/>
    <x v="1"/>
    <x v="4"/>
    <x v="17"/>
    <x v="3"/>
    <x v="1"/>
    <x v="717"/>
    <x v="738"/>
    <x v="3"/>
    <x v="3"/>
    <x v="84"/>
    <x v="3"/>
    <x v="1"/>
    <x v="0"/>
    <x v="105"/>
    <x v="1"/>
    <x v="3"/>
    <x v="0"/>
    <x v="290"/>
    <x v="357"/>
    <x v="61"/>
    <x v="91"/>
    <x v="58"/>
  </r>
  <r>
    <x v="939"/>
    <x v="40"/>
    <x v="2"/>
    <x v="3"/>
    <x v="0"/>
    <x v="2"/>
    <x v="4"/>
    <x v="1"/>
    <x v="1"/>
    <x v="156"/>
    <x v="228"/>
    <x v="1"/>
    <x v="4"/>
    <x v="42"/>
    <x v="1"/>
    <x v="2"/>
    <x v="3"/>
    <x v="10"/>
    <x v="1"/>
    <x v="4"/>
    <x v="0"/>
    <x v="122"/>
    <x v="157"/>
    <x v="32"/>
    <x v="76"/>
    <x v="27"/>
  </r>
  <r>
    <x v="940"/>
    <x v="29"/>
    <x v="1"/>
    <x v="1"/>
    <x v="1"/>
    <x v="2"/>
    <x v="10"/>
    <x v="0"/>
    <x v="1"/>
    <x v="718"/>
    <x v="372"/>
    <x v="2"/>
    <x v="0"/>
    <x v="136"/>
    <x v="2"/>
    <x v="1"/>
    <x v="3"/>
    <x v="133"/>
    <x v="1"/>
    <x v="3"/>
    <x v="0"/>
    <x v="183"/>
    <x v="358"/>
    <x v="45"/>
    <x v="169"/>
    <x v="99"/>
  </r>
  <r>
    <x v="941"/>
    <x v="16"/>
    <x v="0"/>
    <x v="4"/>
    <x v="0"/>
    <x v="3"/>
    <x v="3"/>
    <x v="0"/>
    <x v="2"/>
    <x v="719"/>
    <x v="739"/>
    <x v="0"/>
    <x v="3"/>
    <x v="32"/>
    <x v="0"/>
    <x v="2"/>
    <x v="2"/>
    <x v="43"/>
    <x v="1"/>
    <x v="2"/>
    <x v="0"/>
    <x v="341"/>
    <x v="216"/>
    <x v="13"/>
    <x v="73"/>
    <x v="45"/>
  </r>
  <r>
    <x v="942"/>
    <x v="47"/>
    <x v="2"/>
    <x v="2"/>
    <x v="4"/>
    <x v="5"/>
    <x v="6"/>
    <x v="0"/>
    <x v="2"/>
    <x v="272"/>
    <x v="626"/>
    <x v="2"/>
    <x v="3"/>
    <x v="70"/>
    <x v="2"/>
    <x v="1"/>
    <x v="1"/>
    <x v="32"/>
    <x v="1"/>
    <x v="3"/>
    <x v="0"/>
    <x v="327"/>
    <x v="107"/>
    <x v="60"/>
    <x v="11"/>
    <x v="124"/>
  </r>
  <r>
    <x v="943"/>
    <x v="21"/>
    <x v="2"/>
    <x v="1"/>
    <x v="3"/>
    <x v="0"/>
    <x v="5"/>
    <x v="0"/>
    <x v="2"/>
    <x v="720"/>
    <x v="740"/>
    <x v="2"/>
    <x v="1"/>
    <x v="104"/>
    <x v="2"/>
    <x v="2"/>
    <x v="4"/>
    <x v="26"/>
    <x v="1"/>
    <x v="0"/>
    <x v="0"/>
    <x v="303"/>
    <x v="143"/>
    <x v="20"/>
    <x v="152"/>
    <x v="98"/>
  </r>
  <r>
    <x v="944"/>
    <x v="2"/>
    <x v="1"/>
    <x v="3"/>
    <x v="1"/>
    <x v="0"/>
    <x v="4"/>
    <x v="2"/>
    <x v="3"/>
    <x v="721"/>
    <x v="570"/>
    <x v="2"/>
    <x v="4"/>
    <x v="46"/>
    <x v="2"/>
    <x v="2"/>
    <x v="3"/>
    <x v="2"/>
    <x v="1"/>
    <x v="2"/>
    <x v="0"/>
    <x v="273"/>
    <x v="273"/>
    <x v="28"/>
    <x v="87"/>
    <x v="59"/>
  </r>
  <r>
    <x v="945"/>
    <x v="62"/>
    <x v="1"/>
    <x v="4"/>
    <x v="3"/>
    <x v="4"/>
    <x v="14"/>
    <x v="3"/>
    <x v="0"/>
    <x v="722"/>
    <x v="741"/>
    <x v="2"/>
    <x v="3"/>
    <x v="99"/>
    <x v="2"/>
    <x v="1"/>
    <x v="4"/>
    <x v="0"/>
    <x v="1"/>
    <x v="3"/>
    <x v="1"/>
    <x v="104"/>
    <x v="54"/>
    <x v="64"/>
    <x v="123"/>
    <x v="68"/>
  </r>
  <r>
    <x v="946"/>
    <x v="67"/>
    <x v="0"/>
    <x v="2"/>
    <x v="0"/>
    <x v="0"/>
    <x v="19"/>
    <x v="0"/>
    <x v="2"/>
    <x v="723"/>
    <x v="407"/>
    <x v="2"/>
    <x v="1"/>
    <x v="25"/>
    <x v="2"/>
    <x v="0"/>
    <x v="3"/>
    <x v="54"/>
    <x v="0"/>
    <x v="2"/>
    <x v="0"/>
    <x v="336"/>
    <x v="359"/>
    <x v="70"/>
    <x v="40"/>
    <x v="148"/>
  </r>
  <r>
    <x v="947"/>
    <x v="58"/>
    <x v="1"/>
    <x v="4"/>
    <x v="4"/>
    <x v="1"/>
    <x v="1"/>
    <x v="2"/>
    <x v="0"/>
    <x v="541"/>
    <x v="742"/>
    <x v="2"/>
    <x v="1"/>
    <x v="69"/>
    <x v="2"/>
    <x v="2"/>
    <x v="2"/>
    <x v="131"/>
    <x v="1"/>
    <x v="2"/>
    <x v="1"/>
    <x v="158"/>
    <x v="93"/>
    <x v="9"/>
    <x v="25"/>
    <x v="160"/>
  </r>
  <r>
    <x v="948"/>
    <x v="14"/>
    <x v="0"/>
    <x v="1"/>
    <x v="3"/>
    <x v="0"/>
    <x v="9"/>
    <x v="3"/>
    <x v="0"/>
    <x v="296"/>
    <x v="324"/>
    <x v="3"/>
    <x v="0"/>
    <x v="24"/>
    <x v="3"/>
    <x v="1"/>
    <x v="2"/>
    <x v="63"/>
    <x v="1"/>
    <x v="1"/>
    <x v="1"/>
    <x v="196"/>
    <x v="359"/>
    <x v="69"/>
    <x v="154"/>
    <x v="118"/>
  </r>
  <r>
    <x v="949"/>
    <x v="48"/>
    <x v="1"/>
    <x v="2"/>
    <x v="1"/>
    <x v="0"/>
    <x v="0"/>
    <x v="3"/>
    <x v="2"/>
    <x v="724"/>
    <x v="27"/>
    <x v="1"/>
    <x v="4"/>
    <x v="18"/>
    <x v="1"/>
    <x v="2"/>
    <x v="3"/>
    <x v="21"/>
    <x v="1"/>
    <x v="1"/>
    <x v="1"/>
    <x v="240"/>
    <x v="115"/>
    <x v="67"/>
    <x v="109"/>
    <x v="72"/>
  </r>
  <r>
    <x v="950"/>
    <x v="0"/>
    <x v="0"/>
    <x v="0"/>
    <x v="1"/>
    <x v="0"/>
    <x v="17"/>
    <x v="1"/>
    <x v="0"/>
    <x v="725"/>
    <x v="743"/>
    <x v="2"/>
    <x v="0"/>
    <x v="27"/>
    <x v="2"/>
    <x v="1"/>
    <x v="0"/>
    <x v="26"/>
    <x v="1"/>
    <x v="3"/>
    <x v="1"/>
    <x v="234"/>
    <x v="257"/>
    <x v="70"/>
    <x v="22"/>
    <x v="5"/>
  </r>
  <r>
    <x v="951"/>
    <x v="54"/>
    <x v="0"/>
    <x v="2"/>
    <x v="0"/>
    <x v="5"/>
    <x v="16"/>
    <x v="2"/>
    <x v="0"/>
    <x v="726"/>
    <x v="744"/>
    <x v="0"/>
    <x v="1"/>
    <x v="85"/>
    <x v="0"/>
    <x v="0"/>
    <x v="3"/>
    <x v="56"/>
    <x v="0"/>
    <x v="3"/>
    <x v="0"/>
    <x v="286"/>
    <x v="237"/>
    <x v="34"/>
    <x v="86"/>
    <x v="9"/>
  </r>
  <r>
    <x v="952"/>
    <x v="7"/>
    <x v="0"/>
    <x v="1"/>
    <x v="4"/>
    <x v="0"/>
    <x v="16"/>
    <x v="3"/>
    <x v="0"/>
    <x v="134"/>
    <x v="138"/>
    <x v="2"/>
    <x v="2"/>
    <x v="40"/>
    <x v="2"/>
    <x v="2"/>
    <x v="0"/>
    <x v="15"/>
    <x v="1"/>
    <x v="3"/>
    <x v="0"/>
    <x v="74"/>
    <x v="256"/>
    <x v="10"/>
    <x v="5"/>
    <x v="164"/>
  </r>
  <r>
    <x v="953"/>
    <x v="44"/>
    <x v="1"/>
    <x v="0"/>
    <x v="1"/>
    <x v="0"/>
    <x v="10"/>
    <x v="1"/>
    <x v="0"/>
    <x v="379"/>
    <x v="548"/>
    <x v="1"/>
    <x v="1"/>
    <x v="193"/>
    <x v="1"/>
    <x v="1"/>
    <x v="3"/>
    <x v="22"/>
    <x v="1"/>
    <x v="2"/>
    <x v="1"/>
    <x v="364"/>
    <x v="297"/>
    <x v="31"/>
    <x v="155"/>
    <x v="162"/>
  </r>
  <r>
    <x v="954"/>
    <x v="53"/>
    <x v="2"/>
    <x v="3"/>
    <x v="2"/>
    <x v="0"/>
    <x v="4"/>
    <x v="3"/>
    <x v="2"/>
    <x v="195"/>
    <x v="745"/>
    <x v="0"/>
    <x v="0"/>
    <x v="23"/>
    <x v="0"/>
    <x v="0"/>
    <x v="4"/>
    <x v="150"/>
    <x v="0"/>
    <x v="0"/>
    <x v="1"/>
    <x v="174"/>
    <x v="118"/>
    <x v="54"/>
    <x v="90"/>
    <x v="141"/>
  </r>
  <r>
    <x v="955"/>
    <x v="54"/>
    <x v="0"/>
    <x v="1"/>
    <x v="0"/>
    <x v="4"/>
    <x v="18"/>
    <x v="3"/>
    <x v="0"/>
    <x v="727"/>
    <x v="746"/>
    <x v="3"/>
    <x v="2"/>
    <x v="193"/>
    <x v="3"/>
    <x v="1"/>
    <x v="0"/>
    <x v="146"/>
    <x v="1"/>
    <x v="3"/>
    <x v="0"/>
    <x v="249"/>
    <x v="299"/>
    <x v="30"/>
    <x v="173"/>
    <x v="147"/>
  </r>
  <r>
    <x v="956"/>
    <x v="0"/>
    <x v="0"/>
    <x v="1"/>
    <x v="2"/>
    <x v="0"/>
    <x v="2"/>
    <x v="3"/>
    <x v="0"/>
    <x v="728"/>
    <x v="536"/>
    <x v="1"/>
    <x v="3"/>
    <x v="100"/>
    <x v="1"/>
    <x v="1"/>
    <x v="0"/>
    <x v="62"/>
    <x v="1"/>
    <x v="2"/>
    <x v="1"/>
    <x v="333"/>
    <x v="223"/>
    <x v="17"/>
    <x v="144"/>
    <x v="158"/>
  </r>
  <r>
    <x v="957"/>
    <x v="22"/>
    <x v="0"/>
    <x v="2"/>
    <x v="3"/>
    <x v="2"/>
    <x v="4"/>
    <x v="1"/>
    <x v="1"/>
    <x v="729"/>
    <x v="747"/>
    <x v="3"/>
    <x v="2"/>
    <x v="12"/>
    <x v="3"/>
    <x v="1"/>
    <x v="1"/>
    <x v="144"/>
    <x v="1"/>
    <x v="3"/>
    <x v="0"/>
    <x v="162"/>
    <x v="358"/>
    <x v="56"/>
    <x v="135"/>
    <x v="118"/>
  </r>
  <r>
    <x v="958"/>
    <x v="31"/>
    <x v="2"/>
    <x v="3"/>
    <x v="0"/>
    <x v="3"/>
    <x v="3"/>
    <x v="1"/>
    <x v="0"/>
    <x v="68"/>
    <x v="748"/>
    <x v="3"/>
    <x v="1"/>
    <x v="114"/>
    <x v="3"/>
    <x v="1"/>
    <x v="3"/>
    <x v="18"/>
    <x v="1"/>
    <x v="3"/>
    <x v="0"/>
    <x v="365"/>
    <x v="214"/>
    <x v="53"/>
    <x v="143"/>
    <x v="169"/>
  </r>
  <r>
    <x v="959"/>
    <x v="57"/>
    <x v="1"/>
    <x v="2"/>
    <x v="3"/>
    <x v="4"/>
    <x v="1"/>
    <x v="1"/>
    <x v="2"/>
    <x v="730"/>
    <x v="123"/>
    <x v="1"/>
    <x v="1"/>
    <x v="7"/>
    <x v="1"/>
    <x v="0"/>
    <x v="0"/>
    <x v="119"/>
    <x v="0"/>
    <x v="0"/>
    <x v="1"/>
    <x v="366"/>
    <x v="324"/>
    <x v="25"/>
    <x v="132"/>
    <x v="73"/>
  </r>
  <r>
    <x v="960"/>
    <x v="24"/>
    <x v="0"/>
    <x v="1"/>
    <x v="2"/>
    <x v="0"/>
    <x v="6"/>
    <x v="1"/>
    <x v="3"/>
    <x v="731"/>
    <x v="749"/>
    <x v="0"/>
    <x v="4"/>
    <x v="2"/>
    <x v="0"/>
    <x v="0"/>
    <x v="1"/>
    <x v="5"/>
    <x v="0"/>
    <x v="1"/>
    <x v="1"/>
    <x v="278"/>
    <x v="202"/>
    <x v="61"/>
    <x v="47"/>
    <x v="109"/>
  </r>
  <r>
    <x v="961"/>
    <x v="48"/>
    <x v="0"/>
    <x v="4"/>
    <x v="1"/>
    <x v="5"/>
    <x v="19"/>
    <x v="0"/>
    <x v="1"/>
    <x v="732"/>
    <x v="750"/>
    <x v="2"/>
    <x v="3"/>
    <x v="70"/>
    <x v="2"/>
    <x v="0"/>
    <x v="1"/>
    <x v="21"/>
    <x v="0"/>
    <x v="3"/>
    <x v="0"/>
    <x v="191"/>
    <x v="336"/>
    <x v="88"/>
    <x v="144"/>
    <x v="14"/>
  </r>
  <r>
    <x v="962"/>
    <x v="48"/>
    <x v="2"/>
    <x v="1"/>
    <x v="4"/>
    <x v="1"/>
    <x v="14"/>
    <x v="3"/>
    <x v="3"/>
    <x v="733"/>
    <x v="34"/>
    <x v="0"/>
    <x v="4"/>
    <x v="48"/>
    <x v="0"/>
    <x v="1"/>
    <x v="0"/>
    <x v="51"/>
    <x v="1"/>
    <x v="3"/>
    <x v="1"/>
    <x v="88"/>
    <x v="204"/>
    <x v="15"/>
    <x v="57"/>
    <x v="142"/>
  </r>
  <r>
    <x v="963"/>
    <x v="5"/>
    <x v="1"/>
    <x v="0"/>
    <x v="4"/>
    <x v="0"/>
    <x v="2"/>
    <x v="3"/>
    <x v="1"/>
    <x v="734"/>
    <x v="751"/>
    <x v="0"/>
    <x v="3"/>
    <x v="99"/>
    <x v="0"/>
    <x v="1"/>
    <x v="4"/>
    <x v="149"/>
    <x v="1"/>
    <x v="3"/>
    <x v="1"/>
    <x v="308"/>
    <x v="20"/>
    <x v="78"/>
    <x v="111"/>
    <x v="93"/>
  </r>
  <r>
    <x v="964"/>
    <x v="23"/>
    <x v="0"/>
    <x v="3"/>
    <x v="0"/>
    <x v="0"/>
    <x v="6"/>
    <x v="2"/>
    <x v="3"/>
    <x v="586"/>
    <x v="459"/>
    <x v="0"/>
    <x v="4"/>
    <x v="115"/>
    <x v="0"/>
    <x v="0"/>
    <x v="3"/>
    <x v="42"/>
    <x v="0"/>
    <x v="2"/>
    <x v="1"/>
    <x v="365"/>
    <x v="238"/>
    <x v="14"/>
    <x v="179"/>
    <x v="139"/>
  </r>
  <r>
    <x v="965"/>
    <x v="48"/>
    <x v="1"/>
    <x v="3"/>
    <x v="1"/>
    <x v="5"/>
    <x v="8"/>
    <x v="1"/>
    <x v="2"/>
    <x v="91"/>
    <x v="483"/>
    <x v="1"/>
    <x v="1"/>
    <x v="0"/>
    <x v="1"/>
    <x v="0"/>
    <x v="1"/>
    <x v="94"/>
    <x v="0"/>
    <x v="3"/>
    <x v="0"/>
    <x v="173"/>
    <x v="125"/>
    <x v="26"/>
    <x v="44"/>
    <x v="142"/>
  </r>
  <r>
    <x v="966"/>
    <x v="63"/>
    <x v="0"/>
    <x v="1"/>
    <x v="0"/>
    <x v="2"/>
    <x v="11"/>
    <x v="3"/>
    <x v="2"/>
    <x v="735"/>
    <x v="752"/>
    <x v="3"/>
    <x v="3"/>
    <x v="128"/>
    <x v="3"/>
    <x v="0"/>
    <x v="0"/>
    <x v="75"/>
    <x v="0"/>
    <x v="3"/>
    <x v="0"/>
    <x v="211"/>
    <x v="360"/>
    <x v="87"/>
    <x v="156"/>
    <x v="114"/>
  </r>
  <r>
    <x v="967"/>
    <x v="59"/>
    <x v="2"/>
    <x v="4"/>
    <x v="1"/>
    <x v="1"/>
    <x v="5"/>
    <x v="3"/>
    <x v="0"/>
    <x v="736"/>
    <x v="753"/>
    <x v="2"/>
    <x v="3"/>
    <x v="189"/>
    <x v="2"/>
    <x v="1"/>
    <x v="0"/>
    <x v="40"/>
    <x v="1"/>
    <x v="1"/>
    <x v="0"/>
    <x v="7"/>
    <x v="210"/>
    <x v="41"/>
    <x v="154"/>
    <x v="146"/>
  </r>
  <r>
    <x v="968"/>
    <x v="13"/>
    <x v="0"/>
    <x v="2"/>
    <x v="0"/>
    <x v="0"/>
    <x v="4"/>
    <x v="0"/>
    <x v="2"/>
    <x v="737"/>
    <x v="754"/>
    <x v="1"/>
    <x v="2"/>
    <x v="158"/>
    <x v="1"/>
    <x v="0"/>
    <x v="4"/>
    <x v="74"/>
    <x v="0"/>
    <x v="2"/>
    <x v="1"/>
    <x v="367"/>
    <x v="283"/>
    <x v="87"/>
    <x v="168"/>
    <x v="150"/>
  </r>
  <r>
    <x v="969"/>
    <x v="46"/>
    <x v="1"/>
    <x v="1"/>
    <x v="1"/>
    <x v="0"/>
    <x v="18"/>
    <x v="2"/>
    <x v="1"/>
    <x v="738"/>
    <x v="755"/>
    <x v="3"/>
    <x v="1"/>
    <x v="162"/>
    <x v="3"/>
    <x v="1"/>
    <x v="1"/>
    <x v="48"/>
    <x v="1"/>
    <x v="1"/>
    <x v="1"/>
    <x v="368"/>
    <x v="291"/>
    <x v="40"/>
    <x v="7"/>
    <x v="90"/>
  </r>
  <r>
    <x v="970"/>
    <x v="22"/>
    <x v="1"/>
    <x v="0"/>
    <x v="3"/>
    <x v="0"/>
    <x v="12"/>
    <x v="0"/>
    <x v="3"/>
    <x v="739"/>
    <x v="756"/>
    <x v="0"/>
    <x v="0"/>
    <x v="26"/>
    <x v="0"/>
    <x v="0"/>
    <x v="2"/>
    <x v="64"/>
    <x v="0"/>
    <x v="4"/>
    <x v="0"/>
    <x v="203"/>
    <x v="173"/>
    <x v="90"/>
    <x v="92"/>
    <x v="53"/>
  </r>
  <r>
    <x v="971"/>
    <x v="58"/>
    <x v="2"/>
    <x v="1"/>
    <x v="4"/>
    <x v="0"/>
    <x v="6"/>
    <x v="2"/>
    <x v="2"/>
    <x v="740"/>
    <x v="757"/>
    <x v="2"/>
    <x v="0"/>
    <x v="172"/>
    <x v="2"/>
    <x v="0"/>
    <x v="3"/>
    <x v="141"/>
    <x v="0"/>
    <x v="4"/>
    <x v="0"/>
    <x v="257"/>
    <x v="361"/>
    <x v="84"/>
    <x v="155"/>
    <x v="23"/>
  </r>
  <r>
    <x v="972"/>
    <x v="41"/>
    <x v="1"/>
    <x v="0"/>
    <x v="1"/>
    <x v="2"/>
    <x v="5"/>
    <x v="3"/>
    <x v="3"/>
    <x v="741"/>
    <x v="450"/>
    <x v="3"/>
    <x v="1"/>
    <x v="150"/>
    <x v="3"/>
    <x v="0"/>
    <x v="2"/>
    <x v="113"/>
    <x v="0"/>
    <x v="2"/>
    <x v="0"/>
    <x v="245"/>
    <x v="280"/>
    <x v="34"/>
    <x v="52"/>
    <x v="125"/>
  </r>
  <r>
    <x v="973"/>
    <x v="2"/>
    <x v="0"/>
    <x v="1"/>
    <x v="4"/>
    <x v="0"/>
    <x v="10"/>
    <x v="2"/>
    <x v="3"/>
    <x v="742"/>
    <x v="758"/>
    <x v="0"/>
    <x v="2"/>
    <x v="32"/>
    <x v="0"/>
    <x v="1"/>
    <x v="2"/>
    <x v="46"/>
    <x v="1"/>
    <x v="0"/>
    <x v="0"/>
    <x v="40"/>
    <x v="105"/>
    <x v="18"/>
    <x v="35"/>
    <x v="67"/>
  </r>
  <r>
    <x v="974"/>
    <x v="46"/>
    <x v="1"/>
    <x v="3"/>
    <x v="4"/>
    <x v="4"/>
    <x v="14"/>
    <x v="2"/>
    <x v="2"/>
    <x v="242"/>
    <x v="117"/>
    <x v="1"/>
    <x v="0"/>
    <x v="123"/>
    <x v="1"/>
    <x v="2"/>
    <x v="0"/>
    <x v="12"/>
    <x v="1"/>
    <x v="4"/>
    <x v="0"/>
    <x v="234"/>
    <x v="61"/>
    <x v="13"/>
    <x v="136"/>
    <x v="31"/>
  </r>
  <r>
    <x v="975"/>
    <x v="34"/>
    <x v="0"/>
    <x v="0"/>
    <x v="0"/>
    <x v="0"/>
    <x v="13"/>
    <x v="3"/>
    <x v="0"/>
    <x v="88"/>
    <x v="759"/>
    <x v="2"/>
    <x v="4"/>
    <x v="169"/>
    <x v="2"/>
    <x v="2"/>
    <x v="1"/>
    <x v="138"/>
    <x v="1"/>
    <x v="1"/>
    <x v="1"/>
    <x v="50"/>
    <x v="141"/>
    <x v="42"/>
    <x v="0"/>
    <x v="62"/>
  </r>
  <r>
    <x v="976"/>
    <x v="26"/>
    <x v="2"/>
    <x v="0"/>
    <x v="3"/>
    <x v="0"/>
    <x v="13"/>
    <x v="1"/>
    <x v="1"/>
    <x v="115"/>
    <x v="635"/>
    <x v="0"/>
    <x v="0"/>
    <x v="8"/>
    <x v="0"/>
    <x v="1"/>
    <x v="1"/>
    <x v="103"/>
    <x v="1"/>
    <x v="2"/>
    <x v="1"/>
    <x v="61"/>
    <x v="230"/>
    <x v="40"/>
    <x v="65"/>
    <x v="129"/>
  </r>
  <r>
    <x v="977"/>
    <x v="16"/>
    <x v="1"/>
    <x v="3"/>
    <x v="0"/>
    <x v="2"/>
    <x v="7"/>
    <x v="2"/>
    <x v="0"/>
    <x v="602"/>
    <x v="286"/>
    <x v="0"/>
    <x v="4"/>
    <x v="15"/>
    <x v="0"/>
    <x v="1"/>
    <x v="1"/>
    <x v="37"/>
    <x v="1"/>
    <x v="4"/>
    <x v="0"/>
    <x v="260"/>
    <x v="143"/>
    <x v="4"/>
    <x v="125"/>
    <x v="5"/>
  </r>
  <r>
    <x v="978"/>
    <x v="66"/>
    <x v="1"/>
    <x v="1"/>
    <x v="3"/>
    <x v="0"/>
    <x v="15"/>
    <x v="0"/>
    <x v="0"/>
    <x v="526"/>
    <x v="545"/>
    <x v="3"/>
    <x v="0"/>
    <x v="41"/>
    <x v="3"/>
    <x v="1"/>
    <x v="3"/>
    <x v="63"/>
    <x v="1"/>
    <x v="4"/>
    <x v="1"/>
    <x v="18"/>
    <x v="313"/>
    <x v="67"/>
    <x v="56"/>
    <x v="118"/>
  </r>
  <r>
    <x v="979"/>
    <x v="20"/>
    <x v="0"/>
    <x v="4"/>
    <x v="1"/>
    <x v="2"/>
    <x v="5"/>
    <x v="0"/>
    <x v="1"/>
    <x v="743"/>
    <x v="269"/>
    <x v="0"/>
    <x v="0"/>
    <x v="150"/>
    <x v="0"/>
    <x v="1"/>
    <x v="0"/>
    <x v="86"/>
    <x v="1"/>
    <x v="2"/>
    <x v="1"/>
    <x v="69"/>
    <x v="111"/>
    <x v="83"/>
    <x v="64"/>
    <x v="5"/>
  </r>
  <r>
    <x v="980"/>
    <x v="44"/>
    <x v="1"/>
    <x v="0"/>
    <x v="0"/>
    <x v="0"/>
    <x v="13"/>
    <x v="3"/>
    <x v="3"/>
    <x v="402"/>
    <x v="760"/>
    <x v="3"/>
    <x v="3"/>
    <x v="173"/>
    <x v="3"/>
    <x v="0"/>
    <x v="2"/>
    <x v="83"/>
    <x v="0"/>
    <x v="3"/>
    <x v="0"/>
    <x v="369"/>
    <x v="257"/>
    <x v="78"/>
    <x v="81"/>
    <x v="11"/>
  </r>
  <r>
    <x v="981"/>
    <x v="65"/>
    <x v="0"/>
    <x v="2"/>
    <x v="3"/>
    <x v="4"/>
    <x v="0"/>
    <x v="0"/>
    <x v="2"/>
    <x v="744"/>
    <x v="427"/>
    <x v="0"/>
    <x v="2"/>
    <x v="54"/>
    <x v="0"/>
    <x v="0"/>
    <x v="4"/>
    <x v="93"/>
    <x v="0"/>
    <x v="3"/>
    <x v="0"/>
    <x v="119"/>
    <x v="257"/>
    <x v="71"/>
    <x v="101"/>
    <x v="113"/>
  </r>
  <r>
    <x v="982"/>
    <x v="24"/>
    <x v="0"/>
    <x v="4"/>
    <x v="2"/>
    <x v="2"/>
    <x v="10"/>
    <x v="2"/>
    <x v="2"/>
    <x v="745"/>
    <x v="761"/>
    <x v="3"/>
    <x v="3"/>
    <x v="1"/>
    <x v="3"/>
    <x v="0"/>
    <x v="0"/>
    <x v="138"/>
    <x v="0"/>
    <x v="3"/>
    <x v="1"/>
    <x v="220"/>
    <x v="266"/>
    <x v="55"/>
    <x v="151"/>
    <x v="2"/>
  </r>
  <r>
    <x v="983"/>
    <x v="11"/>
    <x v="0"/>
    <x v="4"/>
    <x v="1"/>
    <x v="4"/>
    <x v="7"/>
    <x v="3"/>
    <x v="1"/>
    <x v="746"/>
    <x v="170"/>
    <x v="3"/>
    <x v="0"/>
    <x v="6"/>
    <x v="3"/>
    <x v="1"/>
    <x v="3"/>
    <x v="25"/>
    <x v="1"/>
    <x v="3"/>
    <x v="1"/>
    <x v="279"/>
    <x v="362"/>
    <x v="0"/>
    <x v="141"/>
    <x v="96"/>
  </r>
  <r>
    <x v="984"/>
    <x v="54"/>
    <x v="2"/>
    <x v="3"/>
    <x v="0"/>
    <x v="5"/>
    <x v="11"/>
    <x v="2"/>
    <x v="3"/>
    <x v="747"/>
    <x v="181"/>
    <x v="2"/>
    <x v="3"/>
    <x v="9"/>
    <x v="2"/>
    <x v="1"/>
    <x v="0"/>
    <x v="135"/>
    <x v="1"/>
    <x v="4"/>
    <x v="1"/>
    <x v="174"/>
    <x v="363"/>
    <x v="84"/>
    <x v="40"/>
    <x v="75"/>
  </r>
  <r>
    <x v="985"/>
    <x v="37"/>
    <x v="2"/>
    <x v="2"/>
    <x v="4"/>
    <x v="1"/>
    <x v="0"/>
    <x v="2"/>
    <x v="3"/>
    <x v="748"/>
    <x v="762"/>
    <x v="3"/>
    <x v="0"/>
    <x v="158"/>
    <x v="3"/>
    <x v="2"/>
    <x v="3"/>
    <x v="124"/>
    <x v="1"/>
    <x v="0"/>
    <x v="1"/>
    <x v="173"/>
    <x v="358"/>
    <x v="7"/>
    <x v="177"/>
    <x v="118"/>
  </r>
  <r>
    <x v="986"/>
    <x v="33"/>
    <x v="2"/>
    <x v="4"/>
    <x v="3"/>
    <x v="1"/>
    <x v="7"/>
    <x v="3"/>
    <x v="1"/>
    <x v="749"/>
    <x v="242"/>
    <x v="0"/>
    <x v="0"/>
    <x v="56"/>
    <x v="0"/>
    <x v="2"/>
    <x v="2"/>
    <x v="22"/>
    <x v="1"/>
    <x v="1"/>
    <x v="1"/>
    <x v="303"/>
    <x v="113"/>
    <x v="23"/>
    <x v="83"/>
    <x v="57"/>
  </r>
  <r>
    <x v="987"/>
    <x v="52"/>
    <x v="1"/>
    <x v="2"/>
    <x v="0"/>
    <x v="2"/>
    <x v="2"/>
    <x v="1"/>
    <x v="0"/>
    <x v="750"/>
    <x v="763"/>
    <x v="3"/>
    <x v="1"/>
    <x v="189"/>
    <x v="3"/>
    <x v="0"/>
    <x v="2"/>
    <x v="136"/>
    <x v="0"/>
    <x v="4"/>
    <x v="1"/>
    <x v="370"/>
    <x v="24"/>
    <x v="59"/>
    <x v="61"/>
    <x v="4"/>
  </r>
  <r>
    <x v="988"/>
    <x v="47"/>
    <x v="0"/>
    <x v="2"/>
    <x v="1"/>
    <x v="0"/>
    <x v="18"/>
    <x v="2"/>
    <x v="2"/>
    <x v="751"/>
    <x v="764"/>
    <x v="3"/>
    <x v="3"/>
    <x v="182"/>
    <x v="3"/>
    <x v="2"/>
    <x v="0"/>
    <x v="142"/>
    <x v="1"/>
    <x v="4"/>
    <x v="1"/>
    <x v="16"/>
    <x v="333"/>
    <x v="12"/>
    <x v="134"/>
    <x v="119"/>
  </r>
  <r>
    <x v="989"/>
    <x v="46"/>
    <x v="1"/>
    <x v="3"/>
    <x v="4"/>
    <x v="1"/>
    <x v="16"/>
    <x v="1"/>
    <x v="0"/>
    <x v="405"/>
    <x v="548"/>
    <x v="2"/>
    <x v="0"/>
    <x v="40"/>
    <x v="2"/>
    <x v="2"/>
    <x v="3"/>
    <x v="20"/>
    <x v="1"/>
    <x v="4"/>
    <x v="0"/>
    <x v="129"/>
    <x v="61"/>
    <x v="35"/>
    <x v="145"/>
    <x v="16"/>
  </r>
  <r>
    <x v="990"/>
    <x v="59"/>
    <x v="0"/>
    <x v="2"/>
    <x v="3"/>
    <x v="0"/>
    <x v="5"/>
    <x v="2"/>
    <x v="3"/>
    <x v="83"/>
    <x v="765"/>
    <x v="2"/>
    <x v="1"/>
    <x v="48"/>
    <x v="2"/>
    <x v="2"/>
    <x v="3"/>
    <x v="105"/>
    <x v="1"/>
    <x v="0"/>
    <x v="0"/>
    <x v="280"/>
    <x v="103"/>
    <x v="22"/>
    <x v="40"/>
    <x v="78"/>
  </r>
  <r>
    <x v="991"/>
    <x v="45"/>
    <x v="2"/>
    <x v="0"/>
    <x v="0"/>
    <x v="5"/>
    <x v="13"/>
    <x v="0"/>
    <x v="1"/>
    <x v="187"/>
    <x v="20"/>
    <x v="3"/>
    <x v="1"/>
    <x v="37"/>
    <x v="3"/>
    <x v="0"/>
    <x v="1"/>
    <x v="93"/>
    <x v="0"/>
    <x v="4"/>
    <x v="0"/>
    <x v="314"/>
    <x v="270"/>
    <x v="88"/>
    <x v="170"/>
    <x v="145"/>
  </r>
  <r>
    <x v="992"/>
    <x v="43"/>
    <x v="1"/>
    <x v="0"/>
    <x v="0"/>
    <x v="0"/>
    <x v="18"/>
    <x v="3"/>
    <x v="2"/>
    <x v="752"/>
    <x v="766"/>
    <x v="2"/>
    <x v="1"/>
    <x v="189"/>
    <x v="2"/>
    <x v="0"/>
    <x v="3"/>
    <x v="75"/>
    <x v="0"/>
    <x v="4"/>
    <x v="0"/>
    <x v="90"/>
    <x v="133"/>
    <x v="32"/>
    <x v="82"/>
    <x v="87"/>
  </r>
  <r>
    <x v="993"/>
    <x v="38"/>
    <x v="1"/>
    <x v="3"/>
    <x v="3"/>
    <x v="4"/>
    <x v="3"/>
    <x v="3"/>
    <x v="1"/>
    <x v="274"/>
    <x v="113"/>
    <x v="2"/>
    <x v="2"/>
    <x v="193"/>
    <x v="2"/>
    <x v="0"/>
    <x v="0"/>
    <x v="18"/>
    <x v="0"/>
    <x v="4"/>
    <x v="0"/>
    <x v="288"/>
    <x v="129"/>
    <x v="77"/>
    <x v="4"/>
    <x v="36"/>
  </r>
  <r>
    <x v="994"/>
    <x v="58"/>
    <x v="0"/>
    <x v="1"/>
    <x v="2"/>
    <x v="0"/>
    <x v="3"/>
    <x v="1"/>
    <x v="3"/>
    <x v="133"/>
    <x v="670"/>
    <x v="3"/>
    <x v="3"/>
    <x v="37"/>
    <x v="3"/>
    <x v="2"/>
    <x v="0"/>
    <x v="125"/>
    <x v="1"/>
    <x v="0"/>
    <x v="1"/>
    <x v="220"/>
    <x v="49"/>
    <x v="56"/>
    <x v="157"/>
    <x v="94"/>
  </r>
  <r>
    <x v="995"/>
    <x v="51"/>
    <x v="1"/>
    <x v="0"/>
    <x v="2"/>
    <x v="1"/>
    <x v="19"/>
    <x v="2"/>
    <x v="1"/>
    <x v="753"/>
    <x v="767"/>
    <x v="3"/>
    <x v="0"/>
    <x v="84"/>
    <x v="3"/>
    <x v="1"/>
    <x v="3"/>
    <x v="115"/>
    <x v="1"/>
    <x v="1"/>
    <x v="1"/>
    <x v="210"/>
    <x v="330"/>
    <x v="86"/>
    <x v="171"/>
    <x v="162"/>
  </r>
  <r>
    <x v="996"/>
    <x v="52"/>
    <x v="2"/>
    <x v="4"/>
    <x v="3"/>
    <x v="0"/>
    <x v="9"/>
    <x v="2"/>
    <x v="1"/>
    <x v="413"/>
    <x v="768"/>
    <x v="3"/>
    <x v="4"/>
    <x v="74"/>
    <x v="3"/>
    <x v="0"/>
    <x v="4"/>
    <x v="106"/>
    <x v="0"/>
    <x v="4"/>
    <x v="1"/>
    <x v="6"/>
    <x v="78"/>
    <x v="71"/>
    <x v="119"/>
    <x v="90"/>
  </r>
  <r>
    <x v="997"/>
    <x v="24"/>
    <x v="1"/>
    <x v="2"/>
    <x v="1"/>
    <x v="0"/>
    <x v="0"/>
    <x v="0"/>
    <x v="0"/>
    <x v="671"/>
    <x v="769"/>
    <x v="1"/>
    <x v="3"/>
    <x v="109"/>
    <x v="1"/>
    <x v="1"/>
    <x v="0"/>
    <x v="86"/>
    <x v="1"/>
    <x v="0"/>
    <x v="0"/>
    <x v="333"/>
    <x v="110"/>
    <x v="9"/>
    <x v="51"/>
    <x v="130"/>
  </r>
  <r>
    <x v="998"/>
    <x v="27"/>
    <x v="2"/>
    <x v="3"/>
    <x v="1"/>
    <x v="5"/>
    <x v="5"/>
    <x v="0"/>
    <x v="2"/>
    <x v="754"/>
    <x v="770"/>
    <x v="1"/>
    <x v="3"/>
    <x v="31"/>
    <x v="1"/>
    <x v="2"/>
    <x v="0"/>
    <x v="3"/>
    <x v="1"/>
    <x v="1"/>
    <x v="0"/>
    <x v="371"/>
    <x v="364"/>
    <x v="41"/>
    <x v="102"/>
    <x v="72"/>
  </r>
  <r>
    <x v="999"/>
    <x v="64"/>
    <x v="2"/>
    <x v="2"/>
    <x v="2"/>
    <x v="0"/>
    <x v="17"/>
    <x v="3"/>
    <x v="2"/>
    <x v="755"/>
    <x v="541"/>
    <x v="2"/>
    <x v="1"/>
    <x v="1"/>
    <x v="2"/>
    <x v="1"/>
    <x v="3"/>
    <x v="135"/>
    <x v="1"/>
    <x v="2"/>
    <x v="0"/>
    <x v="88"/>
    <x v="162"/>
    <x v="64"/>
    <x v="59"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26">
    <pivotField dataField="1"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sortType="descending" multipleItemSelectionAllowed="1" showAll="0">
      <items count="9">
        <item h="1" x="0"/>
        <item x="1"/>
        <item x="2"/>
        <item x="3"/>
        <item x="4"/>
        <item x="5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 v="1"/>
    </i>
    <i>
      <x v="4"/>
    </i>
    <i>
      <x v="2"/>
    </i>
    <i>
      <x v="5"/>
    </i>
    <i>
      <x v="3"/>
    </i>
    <i>
      <x v="6"/>
    </i>
    <i t="grand">
      <x/>
    </i>
  </rowItems>
  <colItems count="1">
    <i/>
  </colItems>
  <dataFields count="1">
    <dataField name="Count of Patient_ID" fld="0" subtotal="count" baseField="0" baseItem="0"/>
  </dataFields>
  <formats count="8">
    <format dxfId="0">
      <pivotArea field="1" type="button" dataOnly="0" labelOnly="1" outline="0" fieldPosition="0"/>
    </format>
    <format dxfId="1">
      <pivotArea dataOnly="0" labelOnly="1" grandRow="1" fieldPosition="0"/>
    </format>
    <format dxfId="2">
      <pivotArea grandRow="1" collapsedLevelsAreSubtotals="1" fieldPosition="0"/>
    </format>
    <format dxfId="3">
      <pivotArea collapsedLevelsAreSubtotals="1" fieldPosition="0">
        <references count="1">
          <reference field="1" count="1" selected="0">
            <x v="4"/>
          </reference>
        </references>
      </pivotArea>
    </format>
    <format dxfId="4">
      <pivotArea collapsedLevelsAreSubtotals="1" fieldPosition="0">
        <references count="1">
          <reference field="1" count="1" selected="0">
            <x v="2"/>
          </reference>
        </references>
      </pivotArea>
    </format>
    <format dxfId="5">
      <pivotArea collapsedLevelsAreSubtotals="1" fieldPosition="0">
        <references count="1">
          <reference field="1" count="1" selected="0">
            <x v="5"/>
          </reference>
        </references>
      </pivotArea>
    </format>
    <format dxfId="6">
      <pivotArea collapsedLevelsAreSubtotals="1" fieldPosition="0">
        <references count="1">
          <reference field="1" count="1" selected="0">
            <x v="3"/>
          </reference>
        </references>
      </pivotArea>
    </format>
    <format dxfId="7">
      <pivotArea collapsedLevelsAreSubtotals="1" fieldPosition="0">
        <references count="1">
          <reference field="1" count="1" selected="0">
            <x v="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1"/>
        <item x="2"/>
        <item x="0"/>
        <item x="3"/>
        <item x="4"/>
        <item t="default"/>
      </items>
    </pivotField>
    <pivotField axis="axisRow" compact="0" multipleItemSelectionAllowed="1" showAll="0">
      <items count="6">
        <item x="1"/>
        <item x="2"/>
        <item x="3"/>
        <item x="0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rug_Name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F9" firstHeaderRow="1" firstDataRow="2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dataField="1" compact="0" multipleItemSelectionAllowed="1" showAll="0">
      <items count="7">
        <item x="2"/>
        <item x="1"/>
        <item x="0"/>
        <item x="3"/>
        <item h="1"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ide_Effects" fld="16" subtotal="count" baseField="0" baseItem="0"/>
  </dataFields>
  <formats count="12">
    <format dxfId="8">
      <pivotArea dataOnly="0" labelOnly="1" fieldPosition="0">
        <references count="1">
          <reference field="7" count="1">
            <x v="2"/>
          </reference>
        </references>
      </pivotArea>
    </format>
    <format dxfId="9">
      <pivotArea collapsedLevelsAreSubtotals="1" fieldPosition="0">
        <references count="1">
          <reference field="7" count="1" selected="0">
            <x v="2"/>
          </reference>
        </references>
      </pivotArea>
    </format>
    <format dxfId="10">
      <pivotArea dataOnly="0" labelOnly="1" fieldPosition="0">
        <references count="1">
          <reference field="7" count="1">
            <x v="1"/>
          </reference>
        </references>
      </pivotArea>
    </format>
    <format dxfId="11">
      <pivotArea collapsedLevelsAreSubtotals="1" fieldPosition="0">
        <references count="1">
          <reference field="7" count="1" selected="0">
            <x v="1"/>
          </reference>
        </references>
      </pivotArea>
    </format>
    <format dxfId="12">
      <pivotArea dataOnly="0" labelOnly="1" fieldPosition="0">
        <references count="1">
          <reference field="7" count="1">
            <x v="1"/>
          </reference>
        </references>
      </pivotArea>
    </format>
    <format dxfId="13">
      <pivotArea collapsedLevelsAreSubtotals="1" fieldPosition="0">
        <references count="1">
          <reference field="7" count="1" selected="0">
            <x v="1"/>
          </reference>
        </references>
      </pivotArea>
    </format>
    <format dxfId="14">
      <pivotArea dataOnly="0" labelOnly="1" fieldPosition="0">
        <references count="1">
          <reference field="7" count="1">
            <x v="1"/>
          </reference>
        </references>
      </pivotArea>
    </format>
    <format dxfId="15">
      <pivotArea collapsedLevelsAreSubtotals="1" fieldPosition="0">
        <references count="1">
          <reference field="7" count="1" selected="0">
            <x v="1"/>
          </reference>
        </references>
      </pivotArea>
    </format>
    <format dxfId="16">
      <pivotArea dataOnly="0" labelOnly="1" fieldPosition="0">
        <references count="1">
          <reference field="7" count="1">
            <x v="1"/>
          </reference>
        </references>
      </pivotArea>
    </format>
    <format dxfId="17">
      <pivotArea collapsedLevelsAreSubtotals="1" fieldPosition="0">
        <references count="1">
          <reference field="7" count="1" selected="0">
            <x v="1"/>
          </reference>
        </references>
      </pivotArea>
    </format>
    <format dxfId="18">
      <pivotArea dataOnly="0" labelOnly="1" fieldPosition="0">
        <references count="1">
          <reference field="7" count="1">
            <x v="2"/>
          </reference>
        </references>
      </pivotArea>
    </format>
    <format dxfId="19">
      <pivotArea collapsedLevelsAreSubtotals="1" fieldPosition="0">
        <references count="1">
          <reference field="7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26">
    <pivotField dataField="1"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axis="axisRow" compact="0" multipleItemSelectionAllowed="1" showAll="0">
      <items count="7">
        <item x="0"/>
        <item x="4"/>
        <item x="2"/>
        <item x="3"/>
        <item x="1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formats count="10">
    <format dxfId="20">
      <pivotArea dataOnly="0" labelOnly="1" fieldPosition="0">
        <references count="1">
          <reference field="3" count="1">
            <x v="0"/>
          </reference>
        </references>
      </pivotArea>
    </format>
    <format dxfId="21">
      <pivotArea collapsedLevelsAreSubtotals="1" fieldPosition="0">
        <references count="1">
          <reference field="3" count="1" selected="0">
            <x v="0"/>
          </reference>
        </references>
      </pivotArea>
    </format>
    <format dxfId="22">
      <pivotArea dataOnly="0" labelOnly="1" fieldPosition="0">
        <references count="1">
          <reference field="3" count="1">
            <x v="0"/>
          </reference>
        </references>
      </pivotArea>
    </format>
    <format dxfId="23">
      <pivotArea collapsedLevelsAreSubtotals="1" fieldPosition="0">
        <references count="1">
          <reference field="3" count="1" selected="0">
            <x v="0"/>
          </reference>
        </references>
      </pivotArea>
    </format>
    <format dxfId="24">
      <pivotArea dataOnly="0" labelOnly="1" fieldPosition="0">
        <references count="1">
          <reference field="3" count="1">
            <x v="4"/>
          </reference>
        </references>
      </pivotArea>
    </format>
    <format dxfId="25">
      <pivotArea collapsedLevelsAreSubtotals="1" fieldPosition="0">
        <references count="1">
          <reference field="3" count="1" selected="0">
            <x v="4"/>
          </reference>
        </references>
      </pivotArea>
    </format>
    <format dxfId="26">
      <pivotArea dataOnly="0" labelOnly="1" fieldPosition="0">
        <references count="1">
          <reference field="3" count="1">
            <x v="4"/>
          </reference>
        </references>
      </pivotArea>
    </format>
    <format dxfId="27">
      <pivotArea collapsedLevelsAreSubtotals="1" fieldPosition="0">
        <references count="1">
          <reference field="3" count="1" selected="0">
            <x v="4"/>
          </reference>
        </references>
      </pivotArea>
    </format>
    <format dxfId="28">
      <pivotArea dataOnly="0" labelOnly="1" fieldPosition="0">
        <references count="1">
          <reference field="3" count="1">
            <x v="4"/>
          </reference>
        </references>
      </pivotArea>
    </format>
    <format dxfId="29">
      <pivotArea collapsedLevelsAreSubtotals="1" fieldPosition="0">
        <references count="1">
          <reference field="3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1"/>
        <item x="2"/>
        <item x="0"/>
        <item x="3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3"/>
        <item x="1"/>
        <item x="2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Average of Dose_Ad" fld="14" subtotal="average" baseField="0" baseItem="0"/>
  </dataFields>
  <formats count="6">
    <format dxfId="30">
      <pivotArea dataOnly="0" labelOnly="1" fieldPosition="0">
        <references count="1">
          <reference field="7" count="1">
            <x v="2"/>
          </reference>
        </references>
      </pivotArea>
    </format>
    <format dxfId="31">
      <pivotArea collapsedLevelsAreSubtotals="1" fieldPosition="0">
        <references count="1">
          <reference field="7" count="1" selected="0">
            <x v="2"/>
          </reference>
        </references>
      </pivotArea>
    </format>
    <format dxfId="32">
      <pivotArea dataOnly="0" labelOnly="1" fieldPosition="0">
        <references count="1">
          <reference field="7" count="1">
            <x v="1"/>
          </reference>
        </references>
      </pivotArea>
    </format>
    <format dxfId="33">
      <pivotArea collapsedLevelsAreSubtotals="1" fieldPosition="0">
        <references count="1">
          <reference field="7" count="1" selected="0">
            <x v="1"/>
          </reference>
        </references>
      </pivotArea>
    </format>
    <format dxfId="34">
      <pivotArea dataOnly="0" labelOnly="1" fieldPosition="0">
        <references count="1">
          <reference field="7" count="1">
            <x v="1"/>
          </reference>
        </references>
      </pivotArea>
    </format>
    <format dxfId="35">
      <pivotArea collapsedLevelsAreSubtotals="1" fieldPosition="0">
        <references count="1">
          <reference field="7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0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sortType="ascending" multipleItemSelectionAllowed="1" showAll="0">
      <items count="9">
        <item x="0"/>
        <item sd="0" x="1"/>
        <item sd="0" x="2"/>
        <item sd="0" x="3"/>
        <item sd="0" x="4"/>
        <item sd="0" x="5"/>
        <item sd="0"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/>
    <pivotField compact="0" showAll="0"/>
  </pivotFields>
  <rowFields count="2">
    <field x="1"/>
    <field x="7"/>
  </rowFields>
  <rowItems count="7">
    <i>
      <x v="5"/>
    </i>
    <i>
      <x v="6"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Average of Efficacy_Score" fld="2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1"/>
        <item x="0"/>
        <item h="1"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Progression_Free_Survival" fld="2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9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2"/>
        <item x="0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82">
        <item x="176"/>
        <item x="97"/>
        <item x="65"/>
        <item x="12"/>
        <item x="143"/>
        <item x="61"/>
        <item x="107"/>
        <item x="25"/>
        <item x="129"/>
        <item x="151"/>
        <item x="5"/>
        <item x="175"/>
        <item x="83"/>
        <item x="118"/>
        <item x="78"/>
        <item x="22"/>
        <item x="20"/>
        <item x="135"/>
        <item x="63"/>
        <item x="62"/>
        <item x="140"/>
        <item x="71"/>
        <item x="41"/>
        <item x="17"/>
        <item x="38"/>
        <item x="150"/>
        <item x="111"/>
        <item x="123"/>
        <item x="37"/>
        <item x="168"/>
        <item x="75"/>
        <item x="137"/>
        <item x="55"/>
        <item x="128"/>
        <item x="32"/>
        <item x="19"/>
        <item x="43"/>
        <item x="146"/>
        <item x="166"/>
        <item x="77"/>
        <item x="94"/>
        <item x="152"/>
        <item x="133"/>
        <item x="31"/>
        <item x="36"/>
        <item x="81"/>
        <item x="39"/>
        <item x="66"/>
        <item x="27"/>
        <item x="102"/>
        <item x="120"/>
        <item x="165"/>
        <item x="162"/>
        <item x="142"/>
        <item x="99"/>
        <item x="156"/>
        <item x="159"/>
        <item x="82"/>
        <item x="101"/>
        <item x="16"/>
        <item x="46"/>
        <item x="114"/>
        <item x="18"/>
        <item x="164"/>
        <item x="87"/>
        <item x="121"/>
        <item x="139"/>
        <item x="93"/>
        <item x="127"/>
        <item x="148"/>
        <item x="76"/>
        <item x="64"/>
        <item x="48"/>
        <item x="126"/>
        <item x="40"/>
        <item x="86"/>
        <item x="158"/>
        <item x="132"/>
        <item x="161"/>
        <item x="44"/>
        <item x="124"/>
        <item x="7"/>
        <item x="109"/>
        <item x="50"/>
        <item x="167"/>
        <item x="178"/>
        <item x="85"/>
        <item x="24"/>
        <item x="141"/>
        <item x="15"/>
        <item x="45"/>
        <item x="21"/>
        <item x="89"/>
        <item x="149"/>
        <item x="9"/>
        <item x="70"/>
        <item x="26"/>
        <item x="92"/>
        <item x="145"/>
        <item x="6"/>
        <item x="10"/>
        <item x="59"/>
        <item x="125"/>
        <item x="172"/>
        <item x="56"/>
        <item x="79"/>
        <item x="160"/>
        <item x="110"/>
        <item x="53"/>
        <item x="51"/>
        <item x="122"/>
        <item x="14"/>
        <item x="84"/>
        <item x="69"/>
        <item x="113"/>
        <item x="30"/>
        <item x="153"/>
        <item x="104"/>
        <item x="116"/>
        <item x="34"/>
        <item x="8"/>
        <item x="96"/>
        <item x="177"/>
        <item x="112"/>
        <item x="52"/>
        <item x="157"/>
        <item x="147"/>
        <item x="174"/>
        <item x="169"/>
        <item x="49"/>
        <item x="119"/>
        <item x="80"/>
        <item x="42"/>
        <item x="29"/>
        <item x="100"/>
        <item x="11"/>
        <item x="67"/>
        <item x="171"/>
        <item x="35"/>
        <item x="90"/>
        <item x="136"/>
        <item x="28"/>
        <item x="103"/>
        <item x="68"/>
        <item x="23"/>
        <item x="0"/>
        <item x="115"/>
        <item x="138"/>
        <item x="72"/>
        <item x="163"/>
        <item x="131"/>
        <item x="4"/>
        <item x="95"/>
        <item x="155"/>
        <item x="60"/>
        <item x="2"/>
        <item x="73"/>
        <item x="88"/>
        <item x="130"/>
        <item x="144"/>
        <item x="47"/>
        <item x="58"/>
        <item x="13"/>
        <item x="154"/>
        <item x="74"/>
        <item x="54"/>
        <item x="91"/>
        <item x="98"/>
        <item x="173"/>
        <item x="105"/>
        <item x="1"/>
        <item x="134"/>
        <item x="57"/>
        <item x="108"/>
        <item x="33"/>
        <item x="170"/>
        <item x="106"/>
        <item x="3"/>
        <item x="117"/>
        <item x="179"/>
        <item x="180"/>
        <item t="default"/>
      </items>
    </pivotField>
    <pivotField compact="0" showAll="0"/>
  </pivotFields>
  <rowFields count="2">
    <field x="2"/>
    <field x="7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urvival_Rate" fld="2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0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sortType="ascending" multipleItemSelectionAllowed="1" showAll="0">
      <items count="9">
        <item h="1" x="0"/>
        <item sd="0" x="1"/>
        <item sd="0" x="2"/>
        <item sd="0" x="3"/>
        <item sd="0" x="4"/>
        <item sd="0" x="5"/>
        <item sd="0"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dataField="1" compact="0" showAll="0">
      <items count="7">
        <item x="2"/>
        <item x="1"/>
        <item x="0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"/>
    <field x="15"/>
  </rowFields>
  <rowItems count="7">
    <i>
      <x v="6"/>
    </i>
    <i>
      <x v="3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name="Count of Side_Effects" fld="1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7">
        <item x="3"/>
        <item x="0"/>
        <item x="2"/>
        <item x="1"/>
        <item x="4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/>
    <pivotField compact="0" showAll="0"/>
  </pivotFields>
  <rowFields count="1">
    <field x="19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Average of Efficacy_Score" fld="23" subtotal="average" baseField="0" baseItem="0"/>
  </dataFields>
  <formats count="6">
    <format dxfId="36">
      <pivotArea dataOnly="0" labelOnly="1" fieldPosition="0">
        <references count="1">
          <reference field="19" count="1">
            <x v="0"/>
          </reference>
        </references>
      </pivotArea>
    </format>
    <format dxfId="37">
      <pivotArea collapsedLevelsAreSubtotals="1" fieldPosition="0">
        <references count="1">
          <reference field="19" count="1" selected="0">
            <x v="0"/>
          </reference>
        </references>
      </pivotArea>
    </format>
    <format dxfId="38">
      <pivotArea dataOnly="0" labelOnly="1" fieldPosition="0">
        <references count="1">
          <reference field="19" count="1">
            <x v="1"/>
          </reference>
        </references>
      </pivotArea>
    </format>
    <format dxfId="39">
      <pivotArea collapsedLevelsAreSubtotals="1" fieldPosition="0">
        <references count="1">
          <reference field="19" count="1" selected="0">
            <x v="1"/>
          </reference>
        </references>
      </pivotArea>
    </format>
    <format dxfId="40">
      <pivotArea dataOnly="0" labelOnly="1" fieldPosition="0">
        <references count="1">
          <reference field="19" count="1">
            <x v="0"/>
          </reference>
        </references>
      </pivotArea>
    </format>
    <format dxfId="41">
      <pivotArea collapsedLevelsAreSubtotals="1" fieldPosition="0">
        <references count="1">
          <reference field="19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3"/>
        <item x="1"/>
        <item x="2"/>
        <item x="0"/>
        <item h="1" x="4"/>
        <item t="default"/>
      </items>
    </pivotField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ccess_Indicator" fld="1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176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7">
        <item x="3"/>
        <item x="0"/>
        <item x="2"/>
        <item x="1"/>
        <item x="4"/>
        <item h="1" x="5"/>
        <item t="default"/>
      </items>
    </pivotField>
    <pivotField compact="0" showAll="0"/>
    <pivotField axis="axisRow" compact="0" showAll="0">
      <items count="374">
        <item x="354"/>
        <item x="360"/>
        <item x="158"/>
        <item x="82"/>
        <item x="63"/>
        <item x="334"/>
        <item x="328"/>
        <item x="27"/>
        <item x="79"/>
        <item x="207"/>
        <item x="3"/>
        <item x="149"/>
        <item x="130"/>
        <item x="180"/>
        <item x="95"/>
        <item x="21"/>
        <item x="238"/>
        <item x="153"/>
        <item x="283"/>
        <item x="350"/>
        <item x="291"/>
        <item x="104"/>
        <item x="159"/>
        <item x="188"/>
        <item x="65"/>
        <item x="307"/>
        <item x="125"/>
        <item x="110"/>
        <item x="313"/>
        <item x="132"/>
        <item x="85"/>
        <item x="192"/>
        <item x="29"/>
        <item x="91"/>
        <item x="169"/>
        <item x="344"/>
        <item x="202"/>
        <item x="262"/>
        <item x="126"/>
        <item x="356"/>
        <item x="52"/>
        <item x="342"/>
        <item x="49"/>
        <item x="237"/>
        <item x="161"/>
        <item x="357"/>
        <item x="30"/>
        <item x="318"/>
        <item x="140"/>
        <item x="366"/>
        <item x="171"/>
        <item x="18"/>
        <item x="187"/>
        <item x="281"/>
        <item x="53"/>
        <item x="32"/>
        <item x="70"/>
        <item x="371"/>
        <item x="244"/>
        <item x="1"/>
        <item x="45"/>
        <item x="145"/>
        <item x="20"/>
        <item x="33"/>
        <item x="105"/>
        <item x="72"/>
        <item x="297"/>
        <item x="321"/>
        <item x="23"/>
        <item x="338"/>
        <item x="66"/>
        <item x="174"/>
        <item x="294"/>
        <item x="212"/>
        <item x="129"/>
        <item x="204"/>
        <item x="74"/>
        <item x="75"/>
        <item x="265"/>
        <item x="165"/>
        <item x="312"/>
        <item x="314"/>
        <item x="93"/>
        <item x="61"/>
        <item x="249"/>
        <item x="71"/>
        <item x="170"/>
        <item x="143"/>
        <item x="156"/>
        <item x="17"/>
        <item x="284"/>
        <item x="369"/>
        <item x="134"/>
        <item x="352"/>
        <item x="199"/>
        <item x="231"/>
        <item x="138"/>
        <item x="211"/>
        <item x="87"/>
        <item x="293"/>
        <item x="270"/>
        <item x="124"/>
        <item x="80"/>
        <item x="81"/>
        <item x="232"/>
        <item x="252"/>
        <item x="365"/>
        <item x="198"/>
        <item x="269"/>
        <item x="280"/>
        <item x="337"/>
        <item x="256"/>
        <item x="100"/>
        <item x="273"/>
        <item x="248"/>
        <item x="183"/>
        <item x="189"/>
        <item x="363"/>
        <item x="160"/>
        <item x="146"/>
        <item x="217"/>
        <item x="353"/>
        <item x="37"/>
        <item x="142"/>
        <item x="320"/>
        <item x="290"/>
        <item x="88"/>
        <item x="135"/>
        <item x="242"/>
        <item x="316"/>
        <item x="184"/>
        <item x="99"/>
        <item x="166"/>
        <item x="31"/>
        <item x="9"/>
        <item x="264"/>
        <item x="351"/>
        <item x="277"/>
        <item x="120"/>
        <item x="24"/>
        <item x="69"/>
        <item x="241"/>
        <item x="341"/>
        <item x="182"/>
        <item x="84"/>
        <item x="234"/>
        <item x="279"/>
        <item x="246"/>
        <item x="287"/>
        <item x="152"/>
        <item x="128"/>
        <item x="157"/>
        <item x="11"/>
        <item x="257"/>
        <item x="345"/>
        <item x="210"/>
        <item x="332"/>
        <item x="64"/>
        <item x="266"/>
        <item x="62"/>
        <item x="167"/>
        <item x="117"/>
        <item x="101"/>
        <item x="123"/>
        <item x="282"/>
        <item x="77"/>
        <item x="296"/>
        <item x="331"/>
        <item x="304"/>
        <item x="26"/>
        <item x="302"/>
        <item x="308"/>
        <item x="148"/>
        <item x="214"/>
        <item x="16"/>
        <item x="47"/>
        <item x="177"/>
        <item x="5"/>
        <item x="225"/>
        <item x="267"/>
        <item x="19"/>
        <item x="289"/>
        <item x="286"/>
        <item x="163"/>
        <item x="322"/>
        <item x="255"/>
        <item x="305"/>
        <item x="250"/>
        <item x="89"/>
        <item x="151"/>
        <item x="347"/>
        <item x="325"/>
        <item x="288"/>
        <item x="233"/>
        <item x="260"/>
        <item x="364"/>
        <item x="14"/>
        <item x="127"/>
        <item x="10"/>
        <item x="228"/>
        <item x="361"/>
        <item x="195"/>
        <item x="39"/>
        <item x="191"/>
        <item x="368"/>
        <item x="96"/>
        <item x="201"/>
        <item x="358"/>
        <item x="309"/>
        <item x="109"/>
        <item x="247"/>
        <item x="136"/>
        <item x="36"/>
        <item x="68"/>
        <item x="315"/>
        <item x="154"/>
        <item x="51"/>
        <item x="229"/>
        <item x="329"/>
        <item x="173"/>
        <item x="107"/>
        <item x="240"/>
        <item x="168"/>
        <item x="13"/>
        <item x="227"/>
        <item x="4"/>
        <item x="83"/>
        <item x="245"/>
        <item x="243"/>
        <item x="303"/>
        <item x="38"/>
        <item x="2"/>
        <item x="97"/>
        <item x="113"/>
        <item x="310"/>
        <item x="317"/>
        <item x="121"/>
        <item x="259"/>
        <item x="230"/>
        <item x="236"/>
        <item x="118"/>
        <item x="258"/>
        <item x="133"/>
        <item x="268"/>
        <item x="137"/>
        <item x="239"/>
        <item x="306"/>
        <item x="197"/>
        <item x="92"/>
        <item x="86"/>
        <item x="336"/>
        <item x="155"/>
        <item x="176"/>
        <item x="299"/>
        <item x="340"/>
        <item x="253"/>
        <item x="301"/>
        <item x="349"/>
        <item x="343"/>
        <item x="220"/>
        <item x="178"/>
        <item x="172"/>
        <item x="54"/>
        <item x="0"/>
        <item x="295"/>
        <item x="224"/>
        <item x="12"/>
        <item x="57"/>
        <item x="162"/>
        <item x="25"/>
        <item x="311"/>
        <item x="346"/>
        <item x="73"/>
        <item x="319"/>
        <item x="339"/>
        <item x="203"/>
        <item x="335"/>
        <item x="58"/>
        <item x="370"/>
        <item x="226"/>
        <item x="275"/>
        <item x="235"/>
        <item x="112"/>
        <item x="179"/>
        <item x="115"/>
        <item x="41"/>
        <item x="362"/>
        <item x="209"/>
        <item x="116"/>
        <item x="272"/>
        <item x="67"/>
        <item x="200"/>
        <item x="278"/>
        <item x="276"/>
        <item x="102"/>
        <item x="263"/>
        <item x="215"/>
        <item x="50"/>
        <item x="122"/>
        <item x="90"/>
        <item x="60"/>
        <item x="205"/>
        <item x="271"/>
        <item x="367"/>
        <item x="6"/>
        <item x="106"/>
        <item x="35"/>
        <item x="218"/>
        <item x="219"/>
        <item x="111"/>
        <item x="190"/>
        <item x="144"/>
        <item x="300"/>
        <item x="254"/>
        <item x="221"/>
        <item x="261"/>
        <item x="44"/>
        <item x="285"/>
        <item x="213"/>
        <item x="181"/>
        <item x="348"/>
        <item x="185"/>
        <item x="298"/>
        <item x="78"/>
        <item x="131"/>
        <item x="56"/>
        <item x="98"/>
        <item x="46"/>
        <item x="175"/>
        <item x="359"/>
        <item x="323"/>
        <item x="108"/>
        <item x="28"/>
        <item x="76"/>
        <item x="119"/>
        <item x="274"/>
        <item x="48"/>
        <item x="292"/>
        <item x="324"/>
        <item x="55"/>
        <item x="139"/>
        <item x="216"/>
        <item x="223"/>
        <item x="22"/>
        <item x="94"/>
        <item x="251"/>
        <item x="42"/>
        <item x="206"/>
        <item x="326"/>
        <item x="43"/>
        <item x="208"/>
        <item x="103"/>
        <item x="7"/>
        <item x="327"/>
        <item x="15"/>
        <item x="164"/>
        <item x="8"/>
        <item x="193"/>
        <item x="114"/>
        <item x="147"/>
        <item x="194"/>
        <item x="150"/>
        <item x="141"/>
        <item x="330"/>
        <item x="222"/>
        <item x="196"/>
        <item x="34"/>
        <item x="59"/>
        <item x="333"/>
        <item x="40"/>
        <item x="355"/>
        <item x="186"/>
        <item x="372"/>
        <item t="default"/>
      </items>
    </pivotField>
    <pivotField compact="0" showAll="0"/>
    <pivotField compact="0" showAll="0"/>
    <pivotField dataField="1" compact="0" showAll="0">
      <items count="182">
        <item x="176"/>
        <item x="97"/>
        <item x="65"/>
        <item x="12"/>
        <item x="143"/>
        <item x="61"/>
        <item x="107"/>
        <item x="25"/>
        <item x="129"/>
        <item x="151"/>
        <item x="5"/>
        <item x="175"/>
        <item x="83"/>
        <item x="118"/>
        <item x="78"/>
        <item x="22"/>
        <item x="20"/>
        <item x="135"/>
        <item x="63"/>
        <item x="62"/>
        <item x="140"/>
        <item x="71"/>
        <item x="41"/>
        <item x="17"/>
        <item x="38"/>
        <item x="150"/>
        <item x="111"/>
        <item x="123"/>
        <item x="37"/>
        <item x="168"/>
        <item x="75"/>
        <item x="137"/>
        <item x="55"/>
        <item x="128"/>
        <item x="32"/>
        <item x="19"/>
        <item x="43"/>
        <item x="146"/>
        <item x="166"/>
        <item x="77"/>
        <item x="94"/>
        <item x="152"/>
        <item x="133"/>
        <item x="31"/>
        <item x="36"/>
        <item x="81"/>
        <item x="39"/>
        <item x="66"/>
        <item x="27"/>
        <item x="102"/>
        <item x="120"/>
        <item x="165"/>
        <item x="162"/>
        <item x="142"/>
        <item x="99"/>
        <item x="156"/>
        <item x="159"/>
        <item x="82"/>
        <item x="101"/>
        <item x="16"/>
        <item x="46"/>
        <item x="114"/>
        <item x="18"/>
        <item x="164"/>
        <item x="87"/>
        <item x="121"/>
        <item x="139"/>
        <item x="93"/>
        <item x="127"/>
        <item x="148"/>
        <item x="76"/>
        <item x="64"/>
        <item x="48"/>
        <item x="126"/>
        <item x="40"/>
        <item x="86"/>
        <item x="158"/>
        <item x="132"/>
        <item x="161"/>
        <item x="44"/>
        <item x="124"/>
        <item x="7"/>
        <item x="109"/>
        <item x="50"/>
        <item x="167"/>
        <item x="178"/>
        <item x="85"/>
        <item x="24"/>
        <item x="141"/>
        <item x="15"/>
        <item x="45"/>
        <item x="21"/>
        <item x="89"/>
        <item x="149"/>
        <item x="9"/>
        <item x="70"/>
        <item x="26"/>
        <item x="92"/>
        <item x="145"/>
        <item x="6"/>
        <item x="10"/>
        <item x="59"/>
        <item x="125"/>
        <item x="172"/>
        <item x="56"/>
        <item x="79"/>
        <item x="160"/>
        <item x="110"/>
        <item x="53"/>
        <item x="51"/>
        <item x="122"/>
        <item x="14"/>
        <item x="84"/>
        <item x="69"/>
        <item x="113"/>
        <item x="30"/>
        <item x="153"/>
        <item x="104"/>
        <item x="116"/>
        <item x="34"/>
        <item x="8"/>
        <item x="96"/>
        <item x="177"/>
        <item x="112"/>
        <item x="52"/>
        <item x="157"/>
        <item x="147"/>
        <item x="174"/>
        <item x="169"/>
        <item x="49"/>
        <item x="119"/>
        <item x="80"/>
        <item x="42"/>
        <item x="29"/>
        <item x="100"/>
        <item x="11"/>
        <item x="67"/>
        <item x="171"/>
        <item x="35"/>
        <item x="90"/>
        <item x="136"/>
        <item x="28"/>
        <item x="103"/>
        <item x="68"/>
        <item x="23"/>
        <item x="0"/>
        <item x="115"/>
        <item x="138"/>
        <item x="72"/>
        <item x="163"/>
        <item x="131"/>
        <item x="4"/>
        <item x="95"/>
        <item x="155"/>
        <item x="60"/>
        <item x="2"/>
        <item x="73"/>
        <item x="88"/>
        <item x="130"/>
        <item x="144"/>
        <item x="47"/>
        <item x="58"/>
        <item x="13"/>
        <item x="154"/>
        <item x="74"/>
        <item x="54"/>
        <item x="91"/>
        <item x="98"/>
        <item x="173"/>
        <item x="105"/>
        <item x="1"/>
        <item x="134"/>
        <item x="57"/>
        <item x="108"/>
        <item x="33"/>
        <item x="170"/>
        <item x="106"/>
        <item x="3"/>
        <item x="117"/>
        <item x="179"/>
        <item x="180"/>
        <item t="default"/>
      </items>
    </pivotField>
    <pivotField compact="0" showAll="0"/>
  </pivotFields>
  <rowFields count="2">
    <field x="21"/>
    <field x="19"/>
  </rowFields>
  <rowItems count="1173">
    <i>
      <x/>
    </i>
    <i r="1">
      <x/>
    </i>
    <i>
      <x v="1"/>
    </i>
    <i r="1">
      <x v="4"/>
    </i>
    <i>
      <x v="2"/>
    </i>
    <i r="1">
      <x v="1"/>
    </i>
    <i r="1">
      <x v="2"/>
    </i>
    <i r="1">
      <x v="4"/>
    </i>
    <i>
      <x v="3"/>
    </i>
    <i r="1">
      <x v="1"/>
    </i>
    <i r="1">
      <x v="2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>
      <x v="7"/>
    </i>
    <i r="1">
      <x/>
    </i>
    <i r="1">
      <x v="3"/>
    </i>
    <i>
      <x v="8"/>
    </i>
    <i r="1">
      <x v="1"/>
    </i>
    <i r="1">
      <x v="2"/>
    </i>
    <i>
      <x v="9"/>
    </i>
    <i r="1">
      <x/>
    </i>
    <i r="1">
      <x v="2"/>
    </i>
    <i>
      <x v="10"/>
    </i>
    <i r="1">
      <x v="1"/>
    </i>
    <i>
      <x v="11"/>
    </i>
    <i r="1">
      <x v="3"/>
    </i>
    <i r="1">
      <x v="4"/>
    </i>
    <i>
      <x v="12"/>
    </i>
    <i r="1">
      <x/>
    </i>
    <i r="1">
      <x v="4"/>
    </i>
    <i>
      <x v="13"/>
    </i>
    <i r="1">
      <x v="2"/>
    </i>
    <i r="1">
      <x v="4"/>
    </i>
    <i>
      <x v="14"/>
    </i>
    <i r="1">
      <x/>
    </i>
    <i r="1">
      <x v="1"/>
    </i>
    <i r="1">
      <x v="2"/>
    </i>
    <i r="1">
      <x v="4"/>
    </i>
    <i>
      <x v="15"/>
    </i>
    <i r="1">
      <x v="2"/>
    </i>
    <i>
      <x v="16"/>
    </i>
    <i r="1">
      <x v="4"/>
    </i>
    <i>
      <x v="17"/>
    </i>
    <i r="1">
      <x v="2"/>
    </i>
    <i>
      <x v="18"/>
    </i>
    <i r="1">
      <x/>
    </i>
    <i>
      <x v="19"/>
    </i>
    <i r="1">
      <x v="1"/>
    </i>
    <i>
      <x v="20"/>
    </i>
    <i r="1">
      <x v="1"/>
    </i>
    <i r="1">
      <x v="3"/>
    </i>
    <i>
      <x v="21"/>
    </i>
    <i r="1">
      <x/>
    </i>
    <i r="1">
      <x v="2"/>
    </i>
    <i r="1">
      <x v="4"/>
    </i>
    <i>
      <x v="22"/>
    </i>
    <i r="1">
      <x/>
    </i>
    <i r="1">
      <x v="1"/>
    </i>
    <i r="1">
      <x v="2"/>
    </i>
    <i>
      <x v="23"/>
    </i>
    <i r="1">
      <x v="1"/>
    </i>
    <i r="1">
      <x v="3"/>
    </i>
    <i r="1">
      <x v="4"/>
    </i>
    <i>
      <x v="24"/>
    </i>
    <i r="1">
      <x/>
    </i>
    <i r="1">
      <x v="1"/>
    </i>
    <i r="1">
      <x v="2"/>
    </i>
    <i r="1">
      <x v="4"/>
    </i>
    <i>
      <x v="25"/>
    </i>
    <i r="1">
      <x v="4"/>
    </i>
    <i>
      <x v="26"/>
    </i>
    <i r="1">
      <x v="3"/>
    </i>
    <i>
      <x v="27"/>
    </i>
    <i r="1">
      <x v="1"/>
    </i>
    <i r="1">
      <x v="2"/>
    </i>
    <i r="1">
      <x v="3"/>
    </i>
    <i>
      <x v="28"/>
    </i>
    <i r="1">
      <x/>
    </i>
    <i r="1">
      <x v="2"/>
    </i>
    <i r="1">
      <x v="4"/>
    </i>
    <i>
      <x v="29"/>
    </i>
    <i r="1">
      <x/>
    </i>
    <i r="1">
      <x v="1"/>
    </i>
    <i r="1">
      <x v="2"/>
    </i>
    <i r="1">
      <x v="3"/>
    </i>
    <i>
      <x v="30"/>
    </i>
    <i r="1">
      <x/>
    </i>
    <i r="1">
      <x v="4"/>
    </i>
    <i>
      <x v="31"/>
    </i>
    <i r="1">
      <x v="3"/>
    </i>
    <i r="1">
      <x v="4"/>
    </i>
    <i>
      <x v="32"/>
    </i>
    <i r="1">
      <x/>
    </i>
    <i r="1">
      <x v="2"/>
    </i>
    <i r="1">
      <x v="3"/>
    </i>
    <i r="1">
      <x v="4"/>
    </i>
    <i>
      <x v="33"/>
    </i>
    <i r="1">
      <x/>
    </i>
    <i r="1">
      <x v="1"/>
    </i>
    <i r="1">
      <x v="2"/>
    </i>
    <i>
      <x v="34"/>
    </i>
    <i r="1">
      <x v="1"/>
    </i>
    <i>
      <x v="35"/>
    </i>
    <i r="1">
      <x v="3"/>
    </i>
    <i>
      <x v="36"/>
    </i>
    <i r="1">
      <x v="3"/>
    </i>
    <i>
      <x v="37"/>
    </i>
    <i r="1">
      <x/>
    </i>
    <i r="1">
      <x v="1"/>
    </i>
    <i r="1">
      <x v="3"/>
    </i>
    <i>
      <x v="38"/>
    </i>
    <i r="1">
      <x/>
    </i>
    <i r="1">
      <x v="2"/>
    </i>
    <i r="1">
      <x v="3"/>
    </i>
    <i r="1">
      <x v="4"/>
    </i>
    <i>
      <x v="39"/>
    </i>
    <i r="1">
      <x v="1"/>
    </i>
    <i r="1">
      <x v="2"/>
    </i>
    <i>
      <x v="40"/>
    </i>
    <i r="1">
      <x v="1"/>
    </i>
    <i r="1">
      <x v="2"/>
    </i>
    <i r="1">
      <x v="3"/>
    </i>
    <i>
      <x v="41"/>
    </i>
    <i r="1">
      <x v="2"/>
    </i>
    <i>
      <x v="42"/>
    </i>
    <i r="1">
      <x v="2"/>
    </i>
    <i r="1">
      <x v="3"/>
    </i>
    <i>
      <x v="43"/>
    </i>
    <i r="1">
      <x/>
    </i>
    <i r="1">
      <x v="1"/>
    </i>
    <i r="1">
      <x v="4"/>
    </i>
    <i>
      <x v="44"/>
    </i>
    <i r="1">
      <x/>
    </i>
    <i r="1">
      <x v="3"/>
    </i>
    <i>
      <x v="45"/>
    </i>
    <i r="1">
      <x/>
    </i>
    <i>
      <x v="46"/>
    </i>
    <i r="1">
      <x v="2"/>
    </i>
    <i r="1">
      <x v="3"/>
    </i>
    <i>
      <x v="47"/>
    </i>
    <i r="1">
      <x v="1"/>
    </i>
    <i>
      <x v="48"/>
    </i>
    <i r="1">
      <x v="2"/>
    </i>
    <i r="1">
      <x v="3"/>
    </i>
    <i>
      <x v="49"/>
    </i>
    <i r="1">
      <x v="1"/>
    </i>
    <i>
      <x v="50"/>
    </i>
    <i r="1">
      <x/>
    </i>
    <i>
      <x v="51"/>
    </i>
    <i r="1">
      <x/>
    </i>
    <i r="1">
      <x v="2"/>
    </i>
    <i r="1">
      <x v="3"/>
    </i>
    <i r="1">
      <x v="4"/>
    </i>
    <i>
      <x v="52"/>
    </i>
    <i r="1">
      <x v="2"/>
    </i>
    <i r="1">
      <x v="4"/>
    </i>
    <i>
      <x v="53"/>
    </i>
    <i r="1">
      <x/>
    </i>
    <i r="1">
      <x v="4"/>
    </i>
    <i>
      <x v="54"/>
    </i>
    <i r="1">
      <x v="2"/>
    </i>
    <i r="1">
      <x v="3"/>
    </i>
    <i>
      <x v="55"/>
    </i>
    <i r="1">
      <x/>
    </i>
    <i r="1">
      <x v="1"/>
    </i>
    <i r="1">
      <x v="2"/>
    </i>
    <i r="1">
      <x v="3"/>
    </i>
    <i r="1">
      <x v="4"/>
    </i>
    <i>
      <x v="56"/>
    </i>
    <i r="1">
      <x/>
    </i>
    <i r="1">
      <x v="1"/>
    </i>
    <i r="1">
      <x v="4"/>
    </i>
    <i>
      <x v="57"/>
    </i>
    <i r="1">
      <x v="3"/>
    </i>
    <i>
      <x v="58"/>
    </i>
    <i r="1">
      <x/>
    </i>
    <i r="1">
      <x v="2"/>
    </i>
    <i r="1">
      <x v="4"/>
    </i>
    <i>
      <x v="59"/>
    </i>
    <i r="1">
      <x/>
    </i>
    <i r="1">
      <x v="1"/>
    </i>
    <i r="1">
      <x v="2"/>
    </i>
    <i r="1">
      <x v="3"/>
    </i>
    <i>
      <x v="60"/>
    </i>
    <i r="1">
      <x v="4"/>
    </i>
    <i>
      <x v="61"/>
    </i>
    <i r="1">
      <x v="1"/>
    </i>
    <i r="1">
      <x v="2"/>
    </i>
    <i r="1">
      <x v="3"/>
    </i>
    <i>
      <x v="62"/>
    </i>
    <i r="1">
      <x v="2"/>
    </i>
    <i r="1">
      <x v="3"/>
    </i>
    <i>
      <x v="63"/>
    </i>
    <i r="1">
      <x v="1"/>
    </i>
    <i r="1">
      <x v="3"/>
    </i>
    <i r="1">
      <x v="4"/>
    </i>
    <i>
      <x v="64"/>
    </i>
    <i r="1">
      <x v="1"/>
    </i>
    <i r="1">
      <x v="2"/>
    </i>
    <i r="1">
      <x v="4"/>
    </i>
    <i>
      <x v="65"/>
    </i>
    <i r="1">
      <x/>
    </i>
    <i r="1">
      <x v="1"/>
    </i>
    <i r="1">
      <x v="2"/>
    </i>
    <i r="1">
      <x v="3"/>
    </i>
    <i>
      <x v="66"/>
    </i>
    <i r="1">
      <x v="3"/>
    </i>
    <i r="1">
      <x v="4"/>
    </i>
    <i>
      <x v="67"/>
    </i>
    <i r="1">
      <x v="4"/>
    </i>
    <i>
      <x v="68"/>
    </i>
    <i r="1">
      <x/>
    </i>
    <i r="1">
      <x v="3"/>
    </i>
    <i r="1">
      <x v="4"/>
    </i>
    <i>
      <x v="69"/>
    </i>
    <i r="1">
      <x/>
    </i>
    <i>
      <x v="70"/>
    </i>
    <i r="1">
      <x v="3"/>
    </i>
    <i r="1">
      <x v="4"/>
    </i>
    <i>
      <x v="71"/>
    </i>
    <i r="1">
      <x v="1"/>
    </i>
    <i r="1">
      <x v="4"/>
    </i>
    <i>
      <x v="72"/>
    </i>
    <i r="1">
      <x v="4"/>
    </i>
    <i>
      <x v="73"/>
    </i>
    <i r="1">
      <x/>
    </i>
    <i r="1">
      <x v="2"/>
    </i>
    <i r="1">
      <x v="3"/>
    </i>
    <i>
      <x v="74"/>
    </i>
    <i r="1">
      <x v="1"/>
    </i>
    <i r="1">
      <x v="4"/>
    </i>
    <i>
      <x v="75"/>
    </i>
    <i r="1">
      <x/>
    </i>
    <i r="1">
      <x v="4"/>
    </i>
    <i>
      <x v="76"/>
    </i>
    <i r="1">
      <x/>
    </i>
    <i r="1">
      <x v="2"/>
    </i>
    <i r="1">
      <x v="3"/>
    </i>
    <i r="1">
      <x v="4"/>
    </i>
    <i>
      <x v="77"/>
    </i>
    <i r="1">
      <x v="3"/>
    </i>
    <i>
      <x v="78"/>
    </i>
    <i r="1">
      <x/>
    </i>
    <i r="1">
      <x v="2"/>
    </i>
    <i r="1">
      <x v="4"/>
    </i>
    <i>
      <x v="79"/>
    </i>
    <i r="1">
      <x v="1"/>
    </i>
    <i r="1">
      <x v="2"/>
    </i>
    <i r="1">
      <x v="3"/>
    </i>
    <i>
      <x v="80"/>
    </i>
    <i r="1">
      <x/>
    </i>
    <i r="1">
      <x v="3"/>
    </i>
    <i>
      <x v="81"/>
    </i>
    <i r="1">
      <x/>
    </i>
    <i r="1">
      <x v="4"/>
    </i>
    <i>
      <x v="82"/>
    </i>
    <i r="1">
      <x v="2"/>
    </i>
    <i>
      <x v="83"/>
    </i>
    <i r="1">
      <x v="2"/>
    </i>
    <i r="1">
      <x v="3"/>
    </i>
    <i>
      <x v="84"/>
    </i>
    <i r="1">
      <x/>
    </i>
    <i r="1">
      <x v="1"/>
    </i>
    <i>
      <x v="85"/>
    </i>
    <i r="1">
      <x/>
    </i>
    <i r="1">
      <x v="1"/>
    </i>
    <i>
      <x v="86"/>
    </i>
    <i r="1">
      <x v="2"/>
    </i>
    <i>
      <x v="87"/>
    </i>
    <i r="1">
      <x v="4"/>
    </i>
    <i>
      <x v="88"/>
    </i>
    <i r="1">
      <x v="1"/>
    </i>
    <i>
      <x v="89"/>
    </i>
    <i r="1">
      <x/>
    </i>
    <i r="1">
      <x v="2"/>
    </i>
    <i r="1">
      <x v="3"/>
    </i>
    <i>
      <x v="90"/>
    </i>
    <i r="1">
      <x v="2"/>
    </i>
    <i>
      <x v="91"/>
    </i>
    <i r="1">
      <x/>
    </i>
    <i>
      <x v="92"/>
    </i>
    <i r="1">
      <x v="4"/>
    </i>
    <i>
      <x v="93"/>
    </i>
    <i r="1">
      <x v="1"/>
    </i>
    <i>
      <x v="94"/>
    </i>
    <i r="1">
      <x/>
    </i>
    <i r="1">
      <x v="3"/>
    </i>
    <i>
      <x v="95"/>
    </i>
    <i r="1">
      <x v="2"/>
    </i>
    <i>
      <x v="96"/>
    </i>
    <i r="1">
      <x/>
    </i>
    <i r="1">
      <x v="1"/>
    </i>
    <i r="1">
      <x v="4"/>
    </i>
    <i>
      <x v="97"/>
    </i>
    <i r="1">
      <x/>
    </i>
    <i r="1">
      <x v="1"/>
    </i>
    <i r="1">
      <x v="2"/>
    </i>
    <i>
      <x v="98"/>
    </i>
    <i r="1">
      <x v="1"/>
    </i>
    <i r="1">
      <x v="2"/>
    </i>
    <i r="1">
      <x v="3"/>
    </i>
    <i>
      <x v="99"/>
    </i>
    <i r="1">
      <x v="1"/>
    </i>
    <i>
      <x v="100"/>
    </i>
    <i r="1">
      <x/>
    </i>
    <i r="1">
      <x v="3"/>
    </i>
    <i r="1">
      <x v="4"/>
    </i>
    <i>
      <x v="101"/>
    </i>
    <i r="1">
      <x/>
    </i>
    <i r="1">
      <x v="1"/>
    </i>
    <i r="1">
      <x v="2"/>
    </i>
    <i r="1">
      <x v="3"/>
    </i>
    <i>
      <x v="102"/>
    </i>
    <i r="1">
      <x v="3"/>
    </i>
    <i r="1">
      <x v="4"/>
    </i>
    <i>
      <x v="103"/>
    </i>
    <i r="1">
      <x/>
    </i>
    <i r="1">
      <x v="1"/>
    </i>
    <i r="1">
      <x v="2"/>
    </i>
    <i>
      <x v="104"/>
    </i>
    <i r="1">
      <x v="1"/>
    </i>
    <i r="1">
      <x v="2"/>
    </i>
    <i r="1">
      <x v="4"/>
    </i>
    <i>
      <x v="105"/>
    </i>
    <i r="1">
      <x/>
    </i>
    <i r="1">
      <x v="2"/>
    </i>
    <i r="1">
      <x v="3"/>
    </i>
    <i r="1">
      <x v="4"/>
    </i>
    <i>
      <x v="106"/>
    </i>
    <i r="1">
      <x/>
    </i>
    <i r="1">
      <x v="2"/>
    </i>
    <i>
      <x v="107"/>
    </i>
    <i r="1">
      <x/>
    </i>
    <i r="1">
      <x v="1"/>
    </i>
    <i r="1">
      <x v="3"/>
    </i>
    <i>
      <x v="108"/>
    </i>
    <i r="1">
      <x v="3"/>
    </i>
    <i r="1">
      <x v="4"/>
    </i>
    <i>
      <x v="109"/>
    </i>
    <i r="1">
      <x v="1"/>
    </i>
    <i r="1">
      <x v="2"/>
    </i>
    <i>
      <x v="110"/>
    </i>
    <i r="1">
      <x v="4"/>
    </i>
    <i>
      <x v="111"/>
    </i>
    <i r="1">
      <x/>
    </i>
    <i r="1">
      <x v="1"/>
    </i>
    <i r="1">
      <x v="2"/>
    </i>
    <i>
      <x v="112"/>
    </i>
    <i r="1">
      <x/>
    </i>
    <i r="1">
      <x v="1"/>
    </i>
    <i r="1">
      <x v="2"/>
    </i>
    <i r="1">
      <x v="3"/>
    </i>
    <i>
      <x v="113"/>
    </i>
    <i r="1">
      <x v="2"/>
    </i>
    <i r="1">
      <x v="4"/>
    </i>
    <i>
      <x v="114"/>
    </i>
    <i r="1">
      <x/>
    </i>
    <i r="1">
      <x v="3"/>
    </i>
    <i r="1">
      <x v="4"/>
    </i>
    <i>
      <x v="115"/>
    </i>
    <i r="1">
      <x/>
    </i>
    <i r="1">
      <x v="2"/>
    </i>
    <i r="1">
      <x v="3"/>
    </i>
    <i r="1">
      <x v="4"/>
    </i>
    <i>
      <x v="116"/>
    </i>
    <i r="1">
      <x v="2"/>
    </i>
    <i r="1">
      <x v="3"/>
    </i>
    <i r="1">
      <x v="4"/>
    </i>
    <i>
      <x v="117"/>
    </i>
    <i r="1">
      <x v="2"/>
    </i>
    <i>
      <x v="118"/>
    </i>
    <i r="1">
      <x v="2"/>
    </i>
    <i r="1">
      <x v="4"/>
    </i>
    <i>
      <x v="119"/>
    </i>
    <i r="1">
      <x/>
    </i>
    <i r="1">
      <x v="2"/>
    </i>
    <i r="1">
      <x v="3"/>
    </i>
    <i r="1">
      <x v="4"/>
    </i>
    <i>
      <x v="120"/>
    </i>
    <i r="1">
      <x v="1"/>
    </i>
    <i r="1">
      <x v="2"/>
    </i>
    <i r="1">
      <x v="3"/>
    </i>
    <i>
      <x v="121"/>
    </i>
    <i r="1">
      <x/>
    </i>
    <i r="1">
      <x v="2"/>
    </i>
    <i>
      <x v="122"/>
    </i>
    <i r="1">
      <x/>
    </i>
    <i r="1">
      <x v="4"/>
    </i>
    <i>
      <x v="123"/>
    </i>
    <i r="1">
      <x/>
    </i>
    <i r="1">
      <x v="1"/>
    </i>
    <i>
      <x v="124"/>
    </i>
    <i r="1">
      <x v="2"/>
    </i>
    <i>
      <x v="125"/>
    </i>
    <i r="1">
      <x/>
    </i>
    <i r="1">
      <x v="4"/>
    </i>
    <i>
      <x v="126"/>
    </i>
    <i r="1">
      <x/>
    </i>
    <i r="1">
      <x v="2"/>
    </i>
    <i r="1">
      <x v="3"/>
    </i>
    <i>
      <x v="127"/>
    </i>
    <i r="1">
      <x v="3"/>
    </i>
    <i>
      <x v="128"/>
    </i>
    <i r="1">
      <x v="1"/>
    </i>
    <i r="1">
      <x v="2"/>
    </i>
    <i r="1">
      <x v="3"/>
    </i>
    <i r="1">
      <x v="4"/>
    </i>
    <i>
      <x v="129"/>
    </i>
    <i r="1">
      <x v="1"/>
    </i>
    <i r="1">
      <x v="3"/>
    </i>
    <i r="1">
      <x v="4"/>
    </i>
    <i>
      <x v="130"/>
    </i>
    <i r="1">
      <x v="2"/>
    </i>
    <i r="1">
      <x v="3"/>
    </i>
    <i>
      <x v="131"/>
    </i>
    <i r="1">
      <x v="1"/>
    </i>
    <i r="1">
      <x v="2"/>
    </i>
    <i r="1">
      <x v="3"/>
    </i>
    <i r="1">
      <x v="4"/>
    </i>
    <i>
      <x v="132"/>
    </i>
    <i r="1">
      <x/>
    </i>
    <i r="1">
      <x v="1"/>
    </i>
    <i r="1">
      <x v="3"/>
    </i>
    <i>
      <x v="133"/>
    </i>
    <i r="1">
      <x/>
    </i>
    <i r="1">
      <x v="2"/>
    </i>
    <i r="1">
      <x v="3"/>
    </i>
    <i>
      <x v="134"/>
    </i>
    <i r="1">
      <x v="2"/>
    </i>
    <i r="1">
      <x v="3"/>
    </i>
    <i>
      <x v="135"/>
    </i>
    <i r="1">
      <x/>
    </i>
    <i>
      <x v="136"/>
    </i>
    <i r="1">
      <x/>
    </i>
    <i>
      <x v="137"/>
    </i>
    <i r="1">
      <x v="3"/>
    </i>
    <i>
      <x v="138"/>
    </i>
    <i r="1">
      <x v="3"/>
    </i>
    <i r="1">
      <x v="4"/>
    </i>
    <i>
      <x v="139"/>
    </i>
    <i r="1">
      <x v="1"/>
    </i>
    <i r="1">
      <x v="2"/>
    </i>
    <i>
      <x v="140"/>
    </i>
    <i r="1">
      <x v="1"/>
    </i>
    <i r="1">
      <x v="2"/>
    </i>
    <i r="1">
      <x v="4"/>
    </i>
    <i>
      <x v="141"/>
    </i>
    <i r="1">
      <x/>
    </i>
    <i r="1">
      <x v="4"/>
    </i>
    <i>
      <x v="142"/>
    </i>
    <i r="1">
      <x/>
    </i>
    <i r="1">
      <x v="2"/>
    </i>
    <i r="1">
      <x v="3"/>
    </i>
    <i r="1">
      <x v="4"/>
    </i>
    <i>
      <x v="143"/>
    </i>
    <i r="1">
      <x/>
    </i>
    <i r="1">
      <x v="1"/>
    </i>
    <i r="1">
      <x v="3"/>
    </i>
    <i>
      <x v="144"/>
    </i>
    <i r="1">
      <x v="2"/>
    </i>
    <i r="1">
      <x v="4"/>
    </i>
    <i>
      <x v="145"/>
    </i>
    <i r="1">
      <x/>
    </i>
    <i r="1">
      <x v="3"/>
    </i>
    <i r="1">
      <x v="4"/>
    </i>
    <i>
      <x v="146"/>
    </i>
    <i r="1">
      <x/>
    </i>
    <i r="1">
      <x v="4"/>
    </i>
    <i>
      <x v="147"/>
    </i>
    <i r="1">
      <x v="1"/>
    </i>
    <i r="1">
      <x v="3"/>
    </i>
    <i>
      <x v="148"/>
    </i>
    <i r="1">
      <x/>
    </i>
    <i r="1">
      <x v="1"/>
    </i>
    <i r="1">
      <x v="2"/>
    </i>
    <i r="1">
      <x v="4"/>
    </i>
    <i>
      <x v="149"/>
    </i>
    <i r="1">
      <x v="1"/>
    </i>
    <i r="1">
      <x v="2"/>
    </i>
    <i r="1">
      <x v="3"/>
    </i>
    <i r="1">
      <x v="4"/>
    </i>
    <i>
      <x v="150"/>
    </i>
    <i r="1">
      <x/>
    </i>
    <i r="1">
      <x v="1"/>
    </i>
    <i>
      <x v="151"/>
    </i>
    <i r="1">
      <x v="3"/>
    </i>
    <i r="1">
      <x v="4"/>
    </i>
    <i>
      <x v="152"/>
    </i>
    <i r="1">
      <x/>
    </i>
    <i r="1">
      <x v="1"/>
    </i>
    <i r="1">
      <x v="4"/>
    </i>
    <i>
      <x v="153"/>
    </i>
    <i r="1">
      <x v="4"/>
    </i>
    <i>
      <x v="154"/>
    </i>
    <i r="1">
      <x v="2"/>
    </i>
    <i>
      <x v="155"/>
    </i>
    <i r="1">
      <x/>
    </i>
    <i r="1">
      <x v="3"/>
    </i>
    <i>
      <x v="156"/>
    </i>
    <i r="1">
      <x v="3"/>
    </i>
    <i>
      <x v="157"/>
    </i>
    <i r="1">
      <x/>
    </i>
    <i r="1">
      <x v="2"/>
    </i>
    <i>
      <x v="158"/>
    </i>
    <i r="1">
      <x v="1"/>
    </i>
    <i>
      <x v="159"/>
    </i>
    <i r="1">
      <x/>
    </i>
    <i r="1">
      <x v="1"/>
    </i>
    <i r="1">
      <x v="3"/>
    </i>
    <i r="1">
      <x v="4"/>
    </i>
    <i>
      <x v="160"/>
    </i>
    <i r="1">
      <x v="2"/>
    </i>
    <i r="1">
      <x v="3"/>
    </i>
    <i>
      <x v="161"/>
    </i>
    <i r="1">
      <x/>
    </i>
    <i r="1">
      <x v="3"/>
    </i>
    <i>
      <x v="162"/>
    </i>
    <i r="1">
      <x v="1"/>
    </i>
    <i r="1">
      <x v="2"/>
    </i>
    <i>
      <x v="163"/>
    </i>
    <i r="1">
      <x v="1"/>
    </i>
    <i r="1">
      <x v="4"/>
    </i>
    <i>
      <x v="164"/>
    </i>
    <i r="1">
      <x/>
    </i>
    <i r="1">
      <x v="2"/>
    </i>
    <i>
      <x v="165"/>
    </i>
    <i r="1">
      <x v="3"/>
    </i>
    <i>
      <x v="166"/>
    </i>
    <i r="1">
      <x/>
    </i>
    <i r="1">
      <x v="2"/>
    </i>
    <i r="1">
      <x v="4"/>
    </i>
    <i>
      <x v="167"/>
    </i>
    <i r="1">
      <x v="2"/>
    </i>
    <i r="1">
      <x v="3"/>
    </i>
    <i r="1">
      <x v="4"/>
    </i>
    <i>
      <x v="168"/>
    </i>
    <i r="1">
      <x v="4"/>
    </i>
    <i>
      <x v="169"/>
    </i>
    <i r="1">
      <x/>
    </i>
    <i r="1">
      <x v="1"/>
    </i>
    <i r="1">
      <x v="4"/>
    </i>
    <i>
      <x v="170"/>
    </i>
    <i r="1">
      <x v="3"/>
    </i>
    <i r="1">
      <x v="4"/>
    </i>
    <i>
      <x v="171"/>
    </i>
    <i r="1">
      <x/>
    </i>
    <i r="1">
      <x v="2"/>
    </i>
    <i>
      <x v="172"/>
    </i>
    <i r="1">
      <x/>
    </i>
    <i r="1">
      <x v="1"/>
    </i>
    <i r="1">
      <x v="3"/>
    </i>
    <i>
      <x v="173"/>
    </i>
    <i r="1">
      <x v="2"/>
    </i>
    <i>
      <x v="174"/>
    </i>
    <i r="1">
      <x/>
    </i>
    <i r="1">
      <x v="1"/>
    </i>
    <i r="1">
      <x v="4"/>
    </i>
    <i>
      <x v="175"/>
    </i>
    <i r="1">
      <x/>
    </i>
    <i r="1">
      <x v="3"/>
    </i>
    <i>
      <x v="176"/>
    </i>
    <i r="1">
      <x v="1"/>
    </i>
    <i>
      <x v="177"/>
    </i>
    <i r="1">
      <x v="1"/>
    </i>
    <i r="1">
      <x v="2"/>
    </i>
    <i>
      <x v="178"/>
    </i>
    <i r="1">
      <x v="1"/>
    </i>
    <i r="1">
      <x v="3"/>
    </i>
    <i>
      <x v="179"/>
    </i>
    <i r="1">
      <x v="1"/>
    </i>
    <i>
      <x v="180"/>
    </i>
    <i r="1">
      <x v="1"/>
    </i>
    <i r="1">
      <x v="2"/>
    </i>
    <i r="1">
      <x v="3"/>
    </i>
    <i>
      <x v="181"/>
    </i>
    <i r="1">
      <x v="1"/>
    </i>
    <i r="1">
      <x v="2"/>
    </i>
    <i>
      <x v="182"/>
    </i>
    <i r="1">
      <x/>
    </i>
    <i r="1">
      <x v="2"/>
    </i>
    <i>
      <x v="183"/>
    </i>
    <i r="1">
      <x/>
    </i>
    <i r="1">
      <x v="1"/>
    </i>
    <i r="1">
      <x v="2"/>
    </i>
    <i r="1">
      <x v="3"/>
    </i>
    <i>
      <x v="184"/>
    </i>
    <i r="1">
      <x/>
    </i>
    <i r="1">
      <x v="3"/>
    </i>
    <i r="1">
      <x v="4"/>
    </i>
    <i>
      <x v="185"/>
    </i>
    <i r="1">
      <x/>
    </i>
    <i>
      <x v="186"/>
    </i>
    <i r="1">
      <x v="1"/>
    </i>
    <i r="1">
      <x v="3"/>
    </i>
    <i>
      <x v="187"/>
    </i>
    <i r="1">
      <x v="2"/>
    </i>
    <i>
      <x v="188"/>
    </i>
    <i r="1">
      <x/>
    </i>
    <i>
      <x v="189"/>
    </i>
    <i r="1">
      <x v="1"/>
    </i>
    <i r="1">
      <x v="3"/>
    </i>
    <i>
      <x v="190"/>
    </i>
    <i r="1">
      <x v="4"/>
    </i>
    <i>
      <x v="191"/>
    </i>
    <i r="1">
      <x/>
    </i>
    <i>
      <x v="192"/>
    </i>
    <i r="1">
      <x v="2"/>
    </i>
    <i r="1">
      <x v="3"/>
    </i>
    <i r="1">
      <x v="4"/>
    </i>
    <i>
      <x v="193"/>
    </i>
    <i r="1">
      <x v="3"/>
    </i>
    <i>
      <x v="194"/>
    </i>
    <i r="1">
      <x/>
    </i>
    <i r="1">
      <x v="4"/>
    </i>
    <i>
      <x v="195"/>
    </i>
    <i r="1">
      <x v="2"/>
    </i>
    <i>
      <x v="196"/>
    </i>
    <i r="1">
      <x v="1"/>
    </i>
    <i r="1">
      <x v="3"/>
    </i>
    <i>
      <x v="197"/>
    </i>
    <i r="1">
      <x/>
    </i>
    <i r="1">
      <x v="3"/>
    </i>
    <i>
      <x v="198"/>
    </i>
    <i r="1">
      <x/>
    </i>
    <i r="1">
      <x v="1"/>
    </i>
    <i r="1">
      <x v="2"/>
    </i>
    <i r="1">
      <x v="4"/>
    </i>
    <i>
      <x v="199"/>
    </i>
    <i r="1">
      <x/>
    </i>
    <i r="1">
      <x v="3"/>
    </i>
    <i>
      <x v="200"/>
    </i>
    <i r="1">
      <x v="2"/>
    </i>
    <i>
      <x v="201"/>
    </i>
    <i r="1">
      <x/>
    </i>
    <i r="1">
      <x v="3"/>
    </i>
    <i>
      <x v="202"/>
    </i>
    <i r="1">
      <x/>
    </i>
    <i r="1">
      <x v="1"/>
    </i>
    <i r="1">
      <x v="2"/>
    </i>
    <i>
      <x v="203"/>
    </i>
    <i r="1">
      <x/>
    </i>
    <i r="1">
      <x v="4"/>
    </i>
    <i>
      <x v="204"/>
    </i>
    <i r="1">
      <x v="3"/>
    </i>
    <i>
      <x v="205"/>
    </i>
    <i r="1">
      <x v="1"/>
    </i>
    <i r="1">
      <x v="3"/>
    </i>
    <i r="1">
      <x v="4"/>
    </i>
    <i>
      <x v="206"/>
    </i>
    <i r="1">
      <x/>
    </i>
    <i>
      <x v="207"/>
    </i>
    <i r="1">
      <x v="2"/>
    </i>
    <i r="1">
      <x v="3"/>
    </i>
    <i>
      <x v="208"/>
    </i>
    <i r="1">
      <x v="2"/>
    </i>
    <i r="1">
      <x v="4"/>
    </i>
    <i>
      <x v="209"/>
    </i>
    <i r="1">
      <x v="3"/>
    </i>
    <i r="1">
      <x v="4"/>
    </i>
    <i>
      <x v="210"/>
    </i>
    <i r="1">
      <x v="2"/>
    </i>
    <i r="1">
      <x v="3"/>
    </i>
    <i>
      <x v="211"/>
    </i>
    <i r="1">
      <x/>
    </i>
    <i r="1">
      <x v="4"/>
    </i>
    <i>
      <x v="212"/>
    </i>
    <i r="1">
      <x v="3"/>
    </i>
    <i>
      <x v="213"/>
    </i>
    <i r="1">
      <x v="1"/>
    </i>
    <i r="1">
      <x v="3"/>
    </i>
    <i>
      <x v="214"/>
    </i>
    <i r="1">
      <x/>
    </i>
    <i r="1">
      <x v="2"/>
    </i>
    <i r="1">
      <x v="3"/>
    </i>
    <i>
      <x v="215"/>
    </i>
    <i r="1">
      <x/>
    </i>
    <i>
      <x v="216"/>
    </i>
    <i r="1">
      <x/>
    </i>
    <i>
      <x v="217"/>
    </i>
    <i r="1">
      <x v="1"/>
    </i>
    <i r="1">
      <x v="4"/>
    </i>
    <i>
      <x v="218"/>
    </i>
    <i r="1">
      <x/>
    </i>
    <i r="1">
      <x v="2"/>
    </i>
    <i r="1">
      <x v="4"/>
    </i>
    <i>
      <x v="219"/>
    </i>
    <i r="1">
      <x/>
    </i>
    <i r="1">
      <x v="1"/>
    </i>
    <i>
      <x v="220"/>
    </i>
    <i r="1">
      <x v="2"/>
    </i>
    <i r="1">
      <x v="3"/>
    </i>
    <i r="1">
      <x v="4"/>
    </i>
    <i>
      <x v="221"/>
    </i>
    <i r="1">
      <x/>
    </i>
    <i r="1">
      <x v="3"/>
    </i>
    <i r="1">
      <x v="4"/>
    </i>
    <i>
      <x v="222"/>
    </i>
    <i r="1">
      <x/>
    </i>
    <i r="1">
      <x v="1"/>
    </i>
    <i>
      <x v="223"/>
    </i>
    <i r="1">
      <x/>
    </i>
    <i r="1">
      <x v="1"/>
    </i>
    <i r="1">
      <x v="3"/>
    </i>
    <i>
      <x v="224"/>
    </i>
    <i r="1">
      <x/>
    </i>
    <i r="1">
      <x v="2"/>
    </i>
    <i r="1">
      <x v="4"/>
    </i>
    <i>
      <x v="225"/>
    </i>
    <i r="1">
      <x v="1"/>
    </i>
    <i r="1">
      <x v="2"/>
    </i>
    <i>
      <x v="226"/>
    </i>
    <i r="1">
      <x v="1"/>
    </i>
    <i>
      <x v="227"/>
    </i>
    <i r="1">
      <x/>
    </i>
    <i r="1">
      <x v="1"/>
    </i>
    <i r="1">
      <x v="2"/>
    </i>
    <i>
      <x v="228"/>
    </i>
    <i r="1">
      <x v="1"/>
    </i>
    <i>
      <x v="229"/>
    </i>
    <i r="1">
      <x v="1"/>
    </i>
    <i r="1">
      <x v="3"/>
    </i>
    <i r="1">
      <x v="4"/>
    </i>
    <i>
      <x v="230"/>
    </i>
    <i r="1">
      <x/>
    </i>
    <i r="1">
      <x v="2"/>
    </i>
    <i r="1">
      <x v="4"/>
    </i>
    <i>
      <x v="231"/>
    </i>
    <i r="1">
      <x v="2"/>
    </i>
    <i r="1">
      <x v="3"/>
    </i>
    <i>
      <x v="232"/>
    </i>
    <i r="1">
      <x v="3"/>
    </i>
    <i>
      <x v="233"/>
    </i>
    <i r="1">
      <x/>
    </i>
    <i r="1">
      <x v="2"/>
    </i>
    <i>
      <x v="234"/>
    </i>
    <i r="1">
      <x v="2"/>
    </i>
    <i r="1">
      <x v="3"/>
    </i>
    <i>
      <x v="235"/>
    </i>
    <i r="1">
      <x/>
    </i>
    <i>
      <x v="236"/>
    </i>
    <i r="1">
      <x v="1"/>
    </i>
    <i r="1">
      <x v="2"/>
    </i>
    <i r="1">
      <x v="4"/>
    </i>
    <i>
      <x v="237"/>
    </i>
    <i r="1">
      <x/>
    </i>
    <i r="1">
      <x v="2"/>
    </i>
    <i r="1">
      <x v="3"/>
    </i>
    <i>
      <x v="238"/>
    </i>
    <i r="1">
      <x v="1"/>
    </i>
    <i r="1">
      <x v="2"/>
    </i>
    <i r="1">
      <x v="3"/>
    </i>
    <i>
      <x v="239"/>
    </i>
    <i r="1">
      <x/>
    </i>
    <i r="1">
      <x v="1"/>
    </i>
    <i>
      <x v="240"/>
    </i>
    <i r="1">
      <x v="1"/>
    </i>
    <i r="1">
      <x v="3"/>
    </i>
    <i>
      <x v="241"/>
    </i>
    <i r="1">
      <x v="3"/>
    </i>
    <i>
      <x v="242"/>
    </i>
    <i r="1">
      <x v="1"/>
    </i>
    <i r="1">
      <x v="3"/>
    </i>
    <i>
      <x v="243"/>
    </i>
    <i r="1">
      <x v="1"/>
    </i>
    <i r="1">
      <x v="3"/>
    </i>
    <i r="1">
      <x v="4"/>
    </i>
    <i>
      <x v="244"/>
    </i>
    <i r="1">
      <x/>
    </i>
    <i r="1">
      <x v="1"/>
    </i>
    <i r="1">
      <x v="2"/>
    </i>
    <i r="1">
      <x v="3"/>
    </i>
    <i r="1">
      <x v="4"/>
    </i>
    <i>
      <x v="245"/>
    </i>
    <i r="1">
      <x/>
    </i>
    <i>
      <x v="246"/>
    </i>
    <i r="1">
      <x v="2"/>
    </i>
    <i>
      <x v="247"/>
    </i>
    <i r="1">
      <x/>
    </i>
    <i r="1">
      <x v="1"/>
    </i>
    <i r="1">
      <x v="2"/>
    </i>
    <i r="1">
      <x v="3"/>
    </i>
    <i r="1">
      <x v="4"/>
    </i>
    <i>
      <x v="248"/>
    </i>
    <i r="1">
      <x/>
    </i>
    <i r="1">
      <x v="2"/>
    </i>
    <i>
      <x v="249"/>
    </i>
    <i r="1">
      <x v="2"/>
    </i>
    <i r="1">
      <x v="4"/>
    </i>
    <i>
      <x v="250"/>
    </i>
    <i r="1">
      <x v="1"/>
    </i>
    <i r="1">
      <x v="2"/>
    </i>
    <i>
      <x v="251"/>
    </i>
    <i r="1">
      <x/>
    </i>
    <i r="1">
      <x v="1"/>
    </i>
    <i r="1">
      <x v="3"/>
    </i>
    <i r="1">
      <x v="4"/>
    </i>
    <i>
      <x v="252"/>
    </i>
    <i r="1">
      <x/>
    </i>
    <i r="1">
      <x v="3"/>
    </i>
    <i>
      <x v="253"/>
    </i>
    <i r="1">
      <x v="1"/>
    </i>
    <i r="1">
      <x v="3"/>
    </i>
    <i r="1">
      <x v="4"/>
    </i>
    <i>
      <x v="254"/>
    </i>
    <i r="1">
      <x v="4"/>
    </i>
    <i>
      <x v="255"/>
    </i>
    <i r="1">
      <x/>
    </i>
    <i r="1">
      <x v="1"/>
    </i>
    <i r="1">
      <x v="4"/>
    </i>
    <i>
      <x v="256"/>
    </i>
    <i r="1">
      <x v="1"/>
    </i>
    <i>
      <x v="257"/>
    </i>
    <i r="1">
      <x v="3"/>
    </i>
    <i>
      <x v="258"/>
    </i>
    <i r="1">
      <x v="1"/>
    </i>
    <i>
      <x v="259"/>
    </i>
    <i r="1">
      <x/>
    </i>
    <i r="1">
      <x v="1"/>
    </i>
    <i r="1">
      <x v="2"/>
    </i>
    <i r="1">
      <x v="3"/>
    </i>
    <i>
      <x v="260"/>
    </i>
    <i r="1">
      <x v="2"/>
    </i>
    <i>
      <x v="261"/>
    </i>
    <i r="1">
      <x v="1"/>
    </i>
    <i r="1">
      <x v="2"/>
    </i>
    <i>
      <x v="262"/>
    </i>
    <i r="1">
      <x/>
    </i>
    <i r="1">
      <x v="2"/>
    </i>
    <i r="1">
      <x v="3"/>
    </i>
    <i r="1">
      <x v="4"/>
    </i>
    <i>
      <x v="263"/>
    </i>
    <i r="1">
      <x v="1"/>
    </i>
    <i r="1">
      <x v="2"/>
    </i>
    <i r="1">
      <x v="3"/>
    </i>
    <i>
      <x v="264"/>
    </i>
    <i r="1">
      <x/>
    </i>
    <i>
      <x v="265"/>
    </i>
    <i r="1">
      <x v="1"/>
    </i>
    <i r="1">
      <x v="2"/>
    </i>
    <i>
      <x v="266"/>
    </i>
    <i r="1">
      <x/>
    </i>
    <i r="1">
      <x v="4"/>
    </i>
    <i>
      <x v="267"/>
    </i>
    <i r="1">
      <x v="1"/>
    </i>
    <i r="1">
      <x v="4"/>
    </i>
    <i>
      <x v="268"/>
    </i>
    <i r="1">
      <x/>
    </i>
    <i r="1">
      <x v="1"/>
    </i>
    <i r="1">
      <x v="4"/>
    </i>
    <i>
      <x v="269"/>
    </i>
    <i r="1">
      <x v="2"/>
    </i>
    <i>
      <x v="270"/>
    </i>
    <i r="1">
      <x v="1"/>
    </i>
    <i>
      <x v="271"/>
    </i>
    <i r="1">
      <x v="1"/>
    </i>
    <i>
      <x v="272"/>
    </i>
    <i r="1">
      <x/>
    </i>
    <i r="1">
      <x v="1"/>
    </i>
    <i r="1">
      <x v="3"/>
    </i>
    <i>
      <x v="273"/>
    </i>
    <i r="1">
      <x v="1"/>
    </i>
    <i>
      <x v="274"/>
    </i>
    <i r="1">
      <x/>
    </i>
    <i>
      <x v="275"/>
    </i>
    <i r="1">
      <x/>
    </i>
    <i r="1">
      <x v="4"/>
    </i>
    <i>
      <x v="276"/>
    </i>
    <i r="1">
      <x v="2"/>
    </i>
    <i>
      <x v="277"/>
    </i>
    <i r="1">
      <x v="3"/>
    </i>
    <i r="1">
      <x v="4"/>
    </i>
    <i>
      <x v="278"/>
    </i>
    <i r="1">
      <x v="4"/>
    </i>
    <i>
      <x v="279"/>
    </i>
    <i r="1">
      <x/>
    </i>
    <i r="1">
      <x v="2"/>
    </i>
    <i r="1">
      <x v="3"/>
    </i>
    <i>
      <x v="280"/>
    </i>
    <i r="1">
      <x v="3"/>
    </i>
    <i>
      <x v="281"/>
    </i>
    <i r="1">
      <x/>
    </i>
    <i r="1">
      <x v="1"/>
    </i>
    <i r="1">
      <x v="3"/>
    </i>
    <i>
      <x v="282"/>
    </i>
    <i r="1">
      <x/>
    </i>
    <i r="1">
      <x v="2"/>
    </i>
    <i r="1">
      <x v="4"/>
    </i>
    <i>
      <x v="283"/>
    </i>
    <i r="1">
      <x/>
    </i>
    <i r="1">
      <x v="2"/>
    </i>
    <i r="1">
      <x v="3"/>
    </i>
    <i>
      <x v="284"/>
    </i>
    <i r="1">
      <x v="2"/>
    </i>
    <i r="1">
      <x v="4"/>
    </i>
    <i>
      <x v="285"/>
    </i>
    <i r="1">
      <x/>
    </i>
    <i r="1">
      <x v="3"/>
    </i>
    <i>
      <x v="286"/>
    </i>
    <i r="1">
      <x v="2"/>
    </i>
    <i>
      <x v="287"/>
    </i>
    <i r="1">
      <x v="3"/>
    </i>
    <i r="1">
      <x v="4"/>
    </i>
    <i>
      <x v="288"/>
    </i>
    <i r="1">
      <x v="1"/>
    </i>
    <i r="1">
      <x v="3"/>
    </i>
    <i>
      <x v="289"/>
    </i>
    <i r="1">
      <x/>
    </i>
    <i r="1">
      <x v="2"/>
    </i>
    <i>
      <x v="290"/>
    </i>
    <i r="1">
      <x/>
    </i>
    <i r="1">
      <x v="1"/>
    </i>
    <i>
      <x v="291"/>
    </i>
    <i r="1">
      <x/>
    </i>
    <i r="1">
      <x v="4"/>
    </i>
    <i>
      <x v="292"/>
    </i>
    <i r="1">
      <x/>
    </i>
    <i r="1">
      <x v="3"/>
    </i>
    <i>
      <x v="293"/>
    </i>
    <i r="1">
      <x/>
    </i>
    <i>
      <x v="294"/>
    </i>
    <i r="1">
      <x v="1"/>
    </i>
    <i r="1">
      <x v="2"/>
    </i>
    <i r="1">
      <x v="3"/>
    </i>
    <i>
      <x v="295"/>
    </i>
    <i r="1">
      <x v="1"/>
    </i>
    <i>
      <x v="296"/>
    </i>
    <i r="1">
      <x v="3"/>
    </i>
    <i>
      <x v="297"/>
    </i>
    <i r="1">
      <x v="1"/>
    </i>
    <i r="1">
      <x v="2"/>
    </i>
    <i r="1">
      <x v="3"/>
    </i>
    <i>
      <x v="298"/>
    </i>
    <i r="1">
      <x v="1"/>
    </i>
    <i r="1">
      <x v="3"/>
    </i>
    <i r="1">
      <x v="4"/>
    </i>
    <i>
      <x v="299"/>
    </i>
    <i r="1">
      <x/>
    </i>
    <i r="1">
      <x v="4"/>
    </i>
    <i>
      <x v="300"/>
    </i>
    <i r="1">
      <x v="2"/>
    </i>
    <i r="1">
      <x v="3"/>
    </i>
    <i r="1">
      <x v="4"/>
    </i>
    <i>
      <x v="301"/>
    </i>
    <i r="1">
      <x/>
    </i>
    <i r="1">
      <x v="1"/>
    </i>
    <i r="1">
      <x v="4"/>
    </i>
    <i>
      <x v="302"/>
    </i>
    <i r="1">
      <x v="2"/>
    </i>
    <i r="1">
      <x v="3"/>
    </i>
    <i>
      <x v="303"/>
    </i>
    <i r="1">
      <x v="2"/>
    </i>
    <i>
      <x v="304"/>
    </i>
    <i r="1">
      <x v="2"/>
    </i>
    <i r="1">
      <x v="4"/>
    </i>
    <i>
      <x v="305"/>
    </i>
    <i r="1">
      <x v="1"/>
    </i>
    <i r="1">
      <x v="3"/>
    </i>
    <i>
      <x v="306"/>
    </i>
    <i r="1">
      <x/>
    </i>
    <i r="1">
      <x v="1"/>
    </i>
    <i r="1">
      <x v="2"/>
    </i>
    <i>
      <x v="307"/>
    </i>
    <i r="1">
      <x/>
    </i>
    <i r="1">
      <x v="1"/>
    </i>
    <i>
      <x v="308"/>
    </i>
    <i r="1">
      <x/>
    </i>
    <i r="1">
      <x v="1"/>
    </i>
    <i r="1">
      <x v="3"/>
    </i>
    <i>
      <x v="309"/>
    </i>
    <i r="1">
      <x/>
    </i>
    <i r="1">
      <x v="2"/>
    </i>
    <i>
      <x v="310"/>
    </i>
    <i r="1">
      <x/>
    </i>
    <i r="1">
      <x v="1"/>
    </i>
    <i r="1">
      <x v="4"/>
    </i>
    <i>
      <x v="311"/>
    </i>
    <i r="1">
      <x/>
    </i>
    <i>
      <x v="312"/>
    </i>
    <i r="1">
      <x v="1"/>
    </i>
    <i r="1">
      <x v="2"/>
    </i>
    <i>
      <x v="313"/>
    </i>
    <i r="1">
      <x v="3"/>
    </i>
    <i>
      <x v="314"/>
    </i>
    <i r="1">
      <x v="3"/>
    </i>
    <i>
      <x v="315"/>
    </i>
    <i r="1">
      <x v="2"/>
    </i>
    <i>
      <x v="316"/>
    </i>
    <i r="1">
      <x v="1"/>
    </i>
    <i r="1">
      <x v="2"/>
    </i>
    <i>
      <x v="317"/>
    </i>
    <i r="1">
      <x v="3"/>
    </i>
    <i>
      <x v="318"/>
    </i>
    <i r="1">
      <x v="3"/>
    </i>
    <i r="1">
      <x v="4"/>
    </i>
    <i>
      <x v="319"/>
    </i>
    <i r="1">
      <x v="1"/>
    </i>
    <i>
      <x v="320"/>
    </i>
    <i r="1">
      <x v="1"/>
    </i>
    <i>
      <x v="321"/>
    </i>
    <i r="1">
      <x/>
    </i>
    <i r="1">
      <x v="2"/>
    </i>
    <i>
      <x v="322"/>
    </i>
    <i r="1">
      <x v="1"/>
    </i>
    <i r="1">
      <x v="2"/>
    </i>
    <i r="1">
      <x v="4"/>
    </i>
    <i>
      <x v="323"/>
    </i>
    <i r="1">
      <x/>
    </i>
    <i r="1">
      <x v="1"/>
    </i>
    <i r="1">
      <x v="2"/>
    </i>
    <i r="1">
      <x v="4"/>
    </i>
    <i>
      <x v="324"/>
    </i>
    <i r="1">
      <x v="1"/>
    </i>
    <i r="1">
      <x v="2"/>
    </i>
    <i r="1">
      <x v="3"/>
    </i>
    <i r="1">
      <x v="4"/>
    </i>
    <i>
      <x v="325"/>
    </i>
    <i r="1">
      <x/>
    </i>
    <i r="1">
      <x v="1"/>
    </i>
    <i r="1">
      <x v="4"/>
    </i>
    <i>
      <x v="326"/>
    </i>
    <i r="1">
      <x/>
    </i>
    <i r="1">
      <x v="3"/>
    </i>
    <i>
      <x v="327"/>
    </i>
    <i r="1">
      <x v="3"/>
    </i>
    <i r="1">
      <x v="4"/>
    </i>
    <i>
      <x v="328"/>
    </i>
    <i r="1">
      <x/>
    </i>
    <i r="1">
      <x v="1"/>
    </i>
    <i r="1">
      <x v="3"/>
    </i>
    <i r="1">
      <x v="4"/>
    </i>
    <i>
      <x v="329"/>
    </i>
    <i r="1">
      <x v="1"/>
    </i>
    <i>
      <x v="330"/>
    </i>
    <i r="1">
      <x v="1"/>
    </i>
    <i r="1">
      <x v="4"/>
    </i>
    <i>
      <x v="331"/>
    </i>
    <i r="1">
      <x/>
    </i>
    <i r="1">
      <x v="3"/>
    </i>
    <i r="1">
      <x v="4"/>
    </i>
    <i>
      <x v="332"/>
    </i>
    <i r="1">
      <x v="4"/>
    </i>
    <i>
      <x v="333"/>
    </i>
    <i r="1">
      <x v="3"/>
    </i>
    <i>
      <x v="334"/>
    </i>
    <i r="1">
      <x/>
    </i>
    <i r="1">
      <x v="3"/>
    </i>
    <i r="1">
      <x v="4"/>
    </i>
    <i>
      <x v="335"/>
    </i>
    <i r="1">
      <x/>
    </i>
    <i r="1">
      <x v="1"/>
    </i>
    <i r="1">
      <x v="2"/>
    </i>
    <i r="1">
      <x v="4"/>
    </i>
    <i>
      <x v="336"/>
    </i>
    <i r="1">
      <x v="2"/>
    </i>
    <i r="1">
      <x v="4"/>
    </i>
    <i>
      <x v="337"/>
    </i>
    <i r="1">
      <x v="4"/>
    </i>
    <i>
      <x v="338"/>
    </i>
    <i r="1">
      <x v="2"/>
    </i>
    <i r="1">
      <x v="3"/>
    </i>
    <i>
      <x v="339"/>
    </i>
    <i r="1">
      <x/>
    </i>
    <i r="1">
      <x v="1"/>
    </i>
    <i r="1">
      <x v="2"/>
    </i>
    <i>
      <x v="340"/>
    </i>
    <i r="1">
      <x v="2"/>
    </i>
    <i>
      <x v="341"/>
    </i>
    <i r="1">
      <x v="2"/>
    </i>
    <i>
      <x v="342"/>
    </i>
    <i r="1">
      <x/>
    </i>
    <i r="1">
      <x v="2"/>
    </i>
    <i>
      <x v="343"/>
    </i>
    <i r="1">
      <x v="1"/>
    </i>
    <i r="1">
      <x v="3"/>
    </i>
    <i r="1">
      <x v="4"/>
    </i>
    <i>
      <x v="344"/>
    </i>
    <i r="1">
      <x v="1"/>
    </i>
    <i r="1">
      <x v="2"/>
    </i>
    <i>
      <x v="345"/>
    </i>
    <i r="1">
      <x/>
    </i>
    <i r="1">
      <x v="1"/>
    </i>
    <i>
      <x v="346"/>
    </i>
    <i r="1">
      <x/>
    </i>
    <i r="1">
      <x v="3"/>
    </i>
    <i r="1">
      <x v="4"/>
    </i>
    <i>
      <x v="347"/>
    </i>
    <i r="1">
      <x v="1"/>
    </i>
    <i>
      <x v="348"/>
    </i>
    <i r="1">
      <x/>
    </i>
    <i r="1">
      <x v="2"/>
    </i>
    <i r="1">
      <x v="3"/>
    </i>
    <i>
      <x v="349"/>
    </i>
    <i r="1">
      <x/>
    </i>
    <i r="1">
      <x v="2"/>
    </i>
    <i r="1">
      <x v="3"/>
    </i>
    <i r="1">
      <x v="4"/>
    </i>
    <i>
      <x v="350"/>
    </i>
    <i r="1">
      <x/>
    </i>
    <i r="1">
      <x v="1"/>
    </i>
    <i>
      <x v="351"/>
    </i>
    <i r="1">
      <x v="2"/>
    </i>
    <i r="1">
      <x v="4"/>
    </i>
    <i>
      <x v="352"/>
    </i>
    <i r="1">
      <x v="1"/>
    </i>
    <i r="1">
      <x v="3"/>
    </i>
    <i>
      <x v="353"/>
    </i>
    <i r="1">
      <x/>
    </i>
    <i r="1">
      <x v="2"/>
    </i>
    <i>
      <x v="354"/>
    </i>
    <i r="1">
      <x/>
    </i>
    <i r="1">
      <x v="1"/>
    </i>
    <i r="1">
      <x v="3"/>
    </i>
    <i>
      <x v="355"/>
    </i>
    <i r="1">
      <x v="2"/>
    </i>
    <i r="1">
      <x v="3"/>
    </i>
    <i r="1">
      <x v="4"/>
    </i>
    <i>
      <x v="356"/>
    </i>
    <i r="1">
      <x/>
    </i>
    <i r="1">
      <x v="1"/>
    </i>
    <i r="1">
      <x v="2"/>
    </i>
    <i r="1">
      <x v="3"/>
    </i>
    <i>
      <x v="357"/>
    </i>
    <i r="1">
      <x/>
    </i>
    <i r="1">
      <x v="2"/>
    </i>
    <i>
      <x v="358"/>
    </i>
    <i r="1">
      <x v="2"/>
    </i>
    <i r="1">
      <x v="4"/>
    </i>
    <i>
      <x v="359"/>
    </i>
    <i r="1">
      <x v="1"/>
    </i>
    <i r="1">
      <x v="2"/>
    </i>
    <i>
      <x v="360"/>
    </i>
    <i r="1">
      <x v="2"/>
    </i>
    <i r="1">
      <x v="4"/>
    </i>
    <i>
      <x v="361"/>
    </i>
    <i r="1">
      <x/>
    </i>
    <i r="1">
      <x v="2"/>
    </i>
    <i r="1">
      <x v="3"/>
    </i>
    <i>
      <x v="362"/>
    </i>
    <i r="1">
      <x v="4"/>
    </i>
    <i>
      <x v="363"/>
    </i>
    <i r="1">
      <x v="2"/>
    </i>
    <i r="1">
      <x v="4"/>
    </i>
    <i>
      <x v="364"/>
    </i>
    <i r="1">
      <x/>
    </i>
    <i r="1">
      <x v="1"/>
    </i>
    <i r="1">
      <x v="2"/>
    </i>
    <i>
      <x v="365"/>
    </i>
    <i r="1">
      <x/>
    </i>
    <i r="1">
      <x v="1"/>
    </i>
    <i r="1">
      <x v="3"/>
    </i>
    <i>
      <x v="366"/>
    </i>
    <i r="1">
      <x v="3"/>
    </i>
    <i r="1">
      <x v="4"/>
    </i>
    <i>
      <x v="367"/>
    </i>
    <i r="1">
      <x v="3"/>
    </i>
    <i>
      <x v="368"/>
    </i>
    <i r="1">
      <x v="1"/>
    </i>
    <i r="1">
      <x v="2"/>
    </i>
    <i>
      <x v="369"/>
    </i>
    <i r="1">
      <x/>
    </i>
    <i r="1">
      <x v="1"/>
    </i>
    <i>
      <x v="370"/>
    </i>
    <i r="1">
      <x v="2"/>
    </i>
    <i>
      <x v="371"/>
    </i>
    <i r="1">
      <x v="1"/>
    </i>
    <i r="1">
      <x v="3"/>
    </i>
    <i t="grand">
      <x/>
    </i>
  </rowItems>
  <colItems count="1">
    <i/>
  </colItems>
  <dataFields count="1">
    <dataField name="Average of Survival_Rate" fld="2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9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87"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6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h="1" x="8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1">
    <field x="12"/>
  </rowFields>
  <rowItems count="86">
    <i>
      <x v="15"/>
    </i>
    <i>
      <x v="50"/>
    </i>
    <i>
      <x v="75"/>
    </i>
    <i>
      <x v="44"/>
    </i>
    <i>
      <x v="80"/>
    </i>
    <i>
      <x v="29"/>
    </i>
    <i>
      <x v="53"/>
    </i>
    <i>
      <x v="83"/>
    </i>
    <i>
      <x v="4"/>
    </i>
    <i>
      <x v="78"/>
    </i>
    <i>
      <x v="10"/>
    </i>
    <i>
      <x v="6"/>
    </i>
    <i>
      <x v="33"/>
    </i>
    <i>
      <x v="77"/>
    </i>
    <i>
      <x v="65"/>
    </i>
    <i>
      <x v="25"/>
    </i>
    <i>
      <x v="82"/>
    </i>
    <i>
      <x v="32"/>
    </i>
    <i>
      <x v="81"/>
    </i>
    <i>
      <x v="57"/>
    </i>
    <i>
      <x v="74"/>
    </i>
    <i>
      <x v="41"/>
    </i>
    <i>
      <x v="73"/>
    </i>
    <i>
      <x v="31"/>
    </i>
    <i>
      <x v="7"/>
    </i>
    <i>
      <x v="56"/>
    </i>
    <i>
      <x v="54"/>
    </i>
    <i>
      <x v="66"/>
    </i>
    <i>
      <x v="18"/>
    </i>
    <i>
      <x v="8"/>
    </i>
    <i>
      <x v="55"/>
    </i>
    <i>
      <x v="21"/>
    </i>
    <i>
      <x v="12"/>
    </i>
    <i>
      <x v="48"/>
    </i>
    <i>
      <x v="58"/>
    </i>
    <i>
      <x/>
    </i>
    <i>
      <x v="20"/>
    </i>
    <i>
      <x v="13"/>
    </i>
    <i>
      <x v="79"/>
    </i>
    <i>
      <x v="72"/>
    </i>
    <i>
      <x v="30"/>
    </i>
    <i>
      <x v="43"/>
    </i>
    <i>
      <x v="52"/>
    </i>
    <i>
      <x v="11"/>
    </i>
    <i>
      <x v="9"/>
    </i>
    <i>
      <x v="62"/>
    </i>
    <i>
      <x v="60"/>
    </i>
    <i>
      <x v="23"/>
    </i>
    <i>
      <x v="17"/>
    </i>
    <i>
      <x v="64"/>
    </i>
    <i>
      <x v="5"/>
    </i>
    <i>
      <x v="34"/>
    </i>
    <i>
      <x v="68"/>
    </i>
    <i>
      <x v="39"/>
    </i>
    <i>
      <x v="76"/>
    </i>
    <i>
      <x v="46"/>
    </i>
    <i>
      <x v="70"/>
    </i>
    <i>
      <x v="61"/>
    </i>
    <i>
      <x v="35"/>
    </i>
    <i>
      <x v="69"/>
    </i>
    <i>
      <x v="36"/>
    </i>
    <i>
      <x v="27"/>
    </i>
    <i>
      <x v="51"/>
    </i>
    <i>
      <x v="42"/>
    </i>
    <i>
      <x v="84"/>
    </i>
    <i>
      <x v="2"/>
    </i>
    <i>
      <x v="47"/>
    </i>
    <i>
      <x v="63"/>
    </i>
    <i>
      <x v="24"/>
    </i>
    <i>
      <x v="28"/>
    </i>
    <i>
      <x v="37"/>
    </i>
    <i>
      <x v="59"/>
    </i>
    <i>
      <x v="26"/>
    </i>
    <i>
      <x v="67"/>
    </i>
    <i>
      <x v="38"/>
    </i>
    <i>
      <x v="71"/>
    </i>
    <i>
      <x v="1"/>
    </i>
    <i>
      <x v="22"/>
    </i>
    <i>
      <x v="14"/>
    </i>
    <i>
      <x v="40"/>
    </i>
    <i>
      <x v="49"/>
    </i>
    <i>
      <x v="3"/>
    </i>
    <i>
      <x v="19"/>
    </i>
    <i>
      <x v="45"/>
    </i>
    <i>
      <x v="16"/>
    </i>
    <i t="grand">
      <x/>
    </i>
  </rowItems>
  <colItems count="1">
    <i/>
  </colItems>
  <dataFields count="1">
    <dataField name="Average of Progression_Free_Survival" fld="25" subtotal="average" baseField="0" baseItem="0"/>
  </dataFields>
  <formats count="12">
    <format dxfId="42">
      <pivotArea dataOnly="0" labelOnly="1" fieldPosition="0">
        <references count="1">
          <reference field="12" count="1">
            <x v="15"/>
          </reference>
        </references>
      </pivotArea>
    </format>
    <format dxfId="43">
      <pivotArea collapsedLevelsAreSubtotals="1" fieldPosition="0">
        <references count="1">
          <reference field="12" count="1" selected="0">
            <x v="15"/>
          </reference>
        </references>
      </pivotArea>
    </format>
    <format dxfId="44">
      <pivotArea dataOnly="0" labelOnly="1" fieldPosition="0">
        <references count="1">
          <reference field="12" count="1">
            <x v="15"/>
          </reference>
        </references>
      </pivotArea>
    </format>
    <format dxfId="45">
      <pivotArea collapsedLevelsAreSubtotals="1" fieldPosition="0">
        <references count="1">
          <reference field="12" count="1" selected="0">
            <x v="15"/>
          </reference>
        </references>
      </pivotArea>
    </format>
    <format dxfId="46">
      <pivotArea dataOnly="0" labelOnly="1" fieldPosition="0">
        <references count="1">
          <reference field="12" count="1">
            <x v="15"/>
          </reference>
        </references>
      </pivotArea>
    </format>
    <format dxfId="47">
      <pivotArea collapsedLevelsAreSubtotals="1" fieldPosition="0">
        <references count="1">
          <reference field="12" count="1" selected="0">
            <x v="15"/>
          </reference>
        </references>
      </pivotArea>
    </format>
    <format dxfId="48">
      <pivotArea dataOnly="0" labelOnly="1" fieldPosition="0">
        <references count="1">
          <reference field="12" count="1">
            <x v="16"/>
          </reference>
        </references>
      </pivotArea>
    </format>
    <format dxfId="49">
      <pivotArea collapsedLevelsAreSubtotals="1" fieldPosition="0">
        <references count="1">
          <reference field="12" count="1" selected="0">
            <x v="16"/>
          </reference>
        </references>
      </pivotArea>
    </format>
    <format dxfId="50">
      <pivotArea dataOnly="0" labelOnly="1" fieldPosition="0">
        <references count="1">
          <reference field="12" count="1">
            <x v="16"/>
          </reference>
        </references>
      </pivotArea>
    </format>
    <format dxfId="51">
      <pivotArea collapsedLevelsAreSubtotals="1" fieldPosition="0">
        <references count="1">
          <reference field="12" count="1" selected="0">
            <x v="16"/>
          </reference>
        </references>
      </pivotArea>
    </format>
    <format dxfId="52">
      <pivotArea dataOnly="0" labelOnly="1" fieldPosition="0">
        <references count="1">
          <reference field="12" count="1">
            <x v="16"/>
          </reference>
        </references>
      </pivotArea>
    </format>
    <format dxfId="53">
      <pivotArea collapsedLevelsAreSubtotals="1" fieldPosition="0">
        <references count="1">
          <reference field="12" count="1" selected="0">
            <x v="1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55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153">
        <item x="75"/>
        <item x="91"/>
        <item x="89"/>
        <item x="119"/>
        <item x="125"/>
        <item x="129"/>
        <item x="116"/>
        <item x="60"/>
        <item x="92"/>
        <item x="118"/>
        <item x="85"/>
        <item x="149"/>
        <item x="7"/>
        <item x="79"/>
        <item x="4"/>
        <item x="51"/>
        <item x="31"/>
        <item x="12"/>
        <item x="81"/>
        <item x="117"/>
        <item x="14"/>
        <item x="107"/>
        <item x="112"/>
        <item x="74"/>
        <item x="113"/>
        <item x="93"/>
        <item x="34"/>
        <item x="21"/>
        <item x="69"/>
        <item x="24"/>
        <item x="76"/>
        <item x="133"/>
        <item x="132"/>
        <item x="37"/>
        <item x="2"/>
        <item x="64"/>
        <item x="138"/>
        <item x="114"/>
        <item x="72"/>
        <item x="126"/>
        <item x="95"/>
        <item x="144"/>
        <item x="41"/>
        <item x="146"/>
        <item x="46"/>
        <item x="61"/>
        <item x="5"/>
        <item x="9"/>
        <item x="54"/>
        <item x="134"/>
        <item x="47"/>
        <item x="57"/>
        <item x="55"/>
        <item x="110"/>
        <item x="150"/>
        <item x="94"/>
        <item x="8"/>
        <item x="42"/>
        <item x="131"/>
        <item x="44"/>
        <item x="1"/>
        <item x="25"/>
        <item x="128"/>
        <item x="28"/>
        <item x="86"/>
        <item x="0"/>
        <item x="40"/>
        <item x="56"/>
        <item x="139"/>
        <item x="15"/>
        <item x="120"/>
        <item x="48"/>
        <item x="36"/>
        <item x="13"/>
        <item x="27"/>
        <item x="65"/>
        <item x="109"/>
        <item x="137"/>
        <item x="16"/>
        <item x="39"/>
        <item x="70"/>
        <item x="23"/>
        <item x="59"/>
        <item x="43"/>
        <item x="130"/>
        <item x="111"/>
        <item x="127"/>
        <item x="53"/>
        <item x="96"/>
        <item x="103"/>
        <item x="90"/>
        <item x="52"/>
        <item x="115"/>
        <item x="136"/>
        <item x="10"/>
        <item x="99"/>
        <item x="80"/>
        <item x="49"/>
        <item x="140"/>
        <item x="17"/>
        <item x="30"/>
        <item x="19"/>
        <item x="58"/>
        <item x="73"/>
        <item x="20"/>
        <item x="35"/>
        <item x="38"/>
        <item x="108"/>
        <item x="6"/>
        <item x="33"/>
        <item x="143"/>
        <item x="100"/>
        <item x="32"/>
        <item x="67"/>
        <item x="101"/>
        <item x="26"/>
        <item x="71"/>
        <item x="121"/>
        <item x="66"/>
        <item x="97"/>
        <item x="124"/>
        <item x="62"/>
        <item x="11"/>
        <item x="77"/>
        <item x="102"/>
        <item x="104"/>
        <item x="18"/>
        <item x="68"/>
        <item x="106"/>
        <item x="3"/>
        <item x="63"/>
        <item x="82"/>
        <item x="147"/>
        <item x="45"/>
        <item x="135"/>
        <item x="141"/>
        <item x="29"/>
        <item x="105"/>
        <item x="78"/>
        <item x="145"/>
        <item x="83"/>
        <item x="142"/>
        <item x="148"/>
        <item x="123"/>
        <item x="50"/>
        <item x="98"/>
        <item x="87"/>
        <item x="122"/>
        <item x="84"/>
        <item x="88"/>
        <item x="22"/>
        <item h="1" x="15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/>
    <pivotField compact="0" showAll="0"/>
  </pivotFields>
  <rowFields count="1">
    <field x="17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Items count="1">
    <i/>
  </colItems>
  <dataFields count="1">
    <dataField name="Average of Efficacy_Score" fld="23" subtotal="average" baseField="0" baseItem="0"/>
  </dataFields>
  <formats count="1">
    <format dxfId="54">
      <pivotArea collapsedLevelsAreSubtotals="1" fieldPosition="0">
        <references count="1">
          <reference field="17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370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axis="axisRow" compact="0" showAll="0">
      <items count="367">
        <item x="315"/>
        <item x="207"/>
        <item x="60"/>
        <item x="276"/>
        <item x="202"/>
        <item x="232"/>
        <item x="291"/>
        <item x="81"/>
        <item x="190"/>
        <item x="169"/>
        <item x="123"/>
        <item x="75"/>
        <item x="325"/>
        <item x="244"/>
        <item x="67"/>
        <item x="149"/>
        <item x="197"/>
        <item x="277"/>
        <item x="242"/>
        <item x="316"/>
        <item x="39"/>
        <item x="267"/>
        <item x="184"/>
        <item x="23"/>
        <item x="183"/>
        <item x="226"/>
        <item x="172"/>
        <item x="237"/>
        <item x="146"/>
        <item x="17"/>
        <item x="261"/>
        <item x="178"/>
        <item x="125"/>
        <item x="65"/>
        <item x="113"/>
        <item x="104"/>
        <item x="111"/>
        <item x="153"/>
        <item x="334"/>
        <item x="227"/>
        <item x="166"/>
        <item x="241"/>
        <item x="9"/>
        <item x="222"/>
        <item x="326"/>
        <item x="159"/>
        <item x="185"/>
        <item x="272"/>
        <item x="176"/>
        <item x="118"/>
        <item x="135"/>
        <item x="11"/>
        <item x="83"/>
        <item x="43"/>
        <item x="236"/>
        <item x="350"/>
        <item x="15"/>
        <item x="126"/>
        <item x="57"/>
        <item x="68"/>
        <item x="117"/>
        <item x="138"/>
        <item x="288"/>
        <item x="299"/>
        <item x="136"/>
        <item x="361"/>
        <item x="317"/>
        <item x="235"/>
        <item x="42"/>
        <item x="139"/>
        <item x="214"/>
        <item x="348"/>
        <item x="347"/>
        <item x="312"/>
        <item x="343"/>
        <item x="131"/>
        <item x="225"/>
        <item x="352"/>
        <item x="21"/>
        <item x="24"/>
        <item x="12"/>
        <item x="191"/>
        <item x="333"/>
        <item x="107"/>
        <item x="110"/>
        <item x="280"/>
        <item x="52"/>
        <item x="99"/>
        <item x="289"/>
        <item x="168"/>
        <item x="103"/>
        <item x="133"/>
        <item x="33"/>
        <item x="218"/>
        <item x="335"/>
        <item x="344"/>
        <item x="35"/>
        <item x="215"/>
        <item x="77"/>
        <item x="69"/>
        <item x="266"/>
        <item x="171"/>
        <item x="20"/>
        <item x="238"/>
        <item x="282"/>
        <item x="31"/>
        <item x="38"/>
        <item x="297"/>
        <item x="74"/>
        <item x="78"/>
        <item x="94"/>
        <item x="45"/>
        <item x="152"/>
        <item x="363"/>
        <item x="49"/>
        <item x="360"/>
        <item x="28"/>
        <item x="304"/>
        <item x="322"/>
        <item x="330"/>
        <item x="346"/>
        <item x="210"/>
        <item x="97"/>
        <item x="121"/>
        <item x="140"/>
        <item x="61"/>
        <item x="341"/>
        <item x="362"/>
        <item x="309"/>
        <item x="298"/>
        <item x="268"/>
        <item x="247"/>
        <item x="255"/>
        <item x="270"/>
        <item x="254"/>
        <item x="160"/>
        <item x="329"/>
        <item x="3"/>
        <item x="4"/>
        <item x="338"/>
        <item x="46"/>
        <item x="301"/>
        <item x="144"/>
        <item x="13"/>
        <item x="109"/>
        <item x="127"/>
        <item x="174"/>
        <item x="203"/>
        <item x="292"/>
        <item x="213"/>
        <item x="327"/>
        <item x="5"/>
        <item x="2"/>
        <item x="359"/>
        <item x="253"/>
        <item x="37"/>
        <item x="331"/>
        <item x="147"/>
        <item x="182"/>
        <item x="353"/>
        <item x="355"/>
        <item x="211"/>
        <item x="143"/>
        <item x="188"/>
        <item x="62"/>
        <item x="250"/>
        <item x="323"/>
        <item x="234"/>
        <item x="25"/>
        <item x="351"/>
        <item x="324"/>
        <item x="275"/>
        <item x="342"/>
        <item x="273"/>
        <item x="336"/>
        <item x="161"/>
        <item x="130"/>
        <item x="223"/>
        <item x="79"/>
        <item x="354"/>
        <item x="114"/>
        <item x="284"/>
        <item x="279"/>
        <item x="181"/>
        <item x="230"/>
        <item x="150"/>
        <item x="186"/>
        <item x="224"/>
        <item x="151"/>
        <item x="245"/>
        <item x="85"/>
        <item x="262"/>
        <item x="319"/>
        <item x="137"/>
        <item x="100"/>
        <item x="27"/>
        <item x="0"/>
        <item x="30"/>
        <item x="233"/>
        <item x="53"/>
        <item x="328"/>
        <item x="340"/>
        <item x="82"/>
        <item x="314"/>
        <item x="219"/>
        <item x="209"/>
        <item x="221"/>
        <item x="313"/>
        <item x="36"/>
        <item x="311"/>
        <item x="141"/>
        <item x="162"/>
        <item x="54"/>
        <item x="55"/>
        <item x="208"/>
        <item x="200"/>
        <item x="29"/>
        <item x="40"/>
        <item x="96"/>
        <item x="337"/>
        <item x="86"/>
        <item x="8"/>
        <item x="300"/>
        <item x="165"/>
        <item x="105"/>
        <item x="204"/>
        <item x="154"/>
        <item x="48"/>
        <item x="307"/>
        <item x="187"/>
        <item x="231"/>
        <item x="195"/>
        <item x="18"/>
        <item x="212"/>
        <item x="164"/>
        <item x="106"/>
        <item x="72"/>
        <item x="199"/>
        <item x="303"/>
        <item x="286"/>
        <item x="64"/>
        <item x="84"/>
        <item x="19"/>
        <item x="71"/>
        <item x="274"/>
        <item x="251"/>
        <item x="332"/>
        <item x="124"/>
        <item x="90"/>
        <item x="155"/>
        <item x="93"/>
        <item x="91"/>
        <item x="287"/>
        <item x="357"/>
        <item x="134"/>
        <item x="269"/>
        <item x="263"/>
        <item x="285"/>
        <item x="70"/>
        <item x="163"/>
        <item x="87"/>
        <item x="294"/>
        <item x="217"/>
        <item x="220"/>
        <item x="189"/>
        <item x="321"/>
        <item x="157"/>
        <item x="260"/>
        <item x="246"/>
        <item x="345"/>
        <item x="293"/>
        <item x="66"/>
        <item x="364"/>
        <item x="198"/>
        <item x="278"/>
        <item x="305"/>
        <item x="50"/>
        <item x="196"/>
        <item x="101"/>
        <item x="89"/>
        <item x="145"/>
        <item x="129"/>
        <item x="120"/>
        <item x="14"/>
        <item x="193"/>
        <item x="281"/>
        <item x="98"/>
        <item x="115"/>
        <item x="22"/>
        <item x="216"/>
        <item x="167"/>
        <item x="158"/>
        <item x="310"/>
        <item x="44"/>
        <item x="76"/>
        <item x="249"/>
        <item x="271"/>
        <item x="306"/>
        <item x="256"/>
        <item x="41"/>
        <item x="119"/>
        <item x="80"/>
        <item x="116"/>
        <item x="59"/>
        <item x="175"/>
        <item x="148"/>
        <item x="51"/>
        <item x="7"/>
        <item x="10"/>
        <item x="73"/>
        <item x="229"/>
        <item x="132"/>
        <item x="95"/>
        <item x="128"/>
        <item x="239"/>
        <item x="201"/>
        <item x="248"/>
        <item x="177"/>
        <item x="258"/>
        <item x="259"/>
        <item x="206"/>
        <item x="265"/>
        <item x="243"/>
        <item x="26"/>
        <item x="34"/>
        <item x="142"/>
        <item x="194"/>
        <item x="264"/>
        <item x="240"/>
        <item x="1"/>
        <item x="252"/>
        <item x="63"/>
        <item x="92"/>
        <item x="295"/>
        <item x="180"/>
        <item x="356"/>
        <item x="296"/>
        <item x="318"/>
        <item x="56"/>
        <item x="58"/>
        <item x="88"/>
        <item x="47"/>
        <item x="290"/>
        <item x="283"/>
        <item x="339"/>
        <item x="349"/>
        <item x="112"/>
        <item x="205"/>
        <item x="192"/>
        <item x="320"/>
        <item x="228"/>
        <item x="257"/>
        <item x="108"/>
        <item x="122"/>
        <item x="179"/>
        <item x="156"/>
        <item x="16"/>
        <item x="358"/>
        <item x="102"/>
        <item x="32"/>
        <item x="308"/>
        <item x="170"/>
        <item x="173"/>
        <item x="302"/>
        <item x="6"/>
        <item x="365"/>
        <item t="default"/>
      </items>
    </pivotField>
    <pivotField compact="0" showAll="0"/>
    <pivotField compact="0" showAll="0"/>
    <pivotField compact="0" showAll="0"/>
  </pivotFields>
  <rowFields count="1">
    <field x="22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Average of Success_Indicator" fld="1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28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sortType="ascending" multipleItemSelectionAllowed="1" showAll="0">
      <items count="9">
        <item h="1" x="0"/>
        <item x="1"/>
        <item x="2"/>
        <item x="3"/>
        <item x="4"/>
        <item x="5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/>
    <pivotField compact="0" showAll="0"/>
  </pivotFields>
  <rowFields count="2">
    <field x="1"/>
    <field x="2"/>
  </rowFields>
  <rowItems count="25"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Efficacy_Score" fld="2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6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7"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6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x="8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2">
    <field x="7"/>
    <field x="2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Adverse_Events" fld="1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6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2"/>
        <item x="0"/>
        <item h="1" x="1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2">
    <field x="7"/>
    <field x="1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Average of Progression_Free_Survival" fld="2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9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axis="axisRow" compact="0" multipleItemSelectionAllowed="1" showAll="0">
      <items count="7">
        <item x="0"/>
        <item x="4"/>
        <item x="2"/>
        <item x="3"/>
        <item x="1"/>
        <item h="1" x="5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1"/>
        <item x="2"/>
        <item x="0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82">
        <item x="176"/>
        <item x="97"/>
        <item x="65"/>
        <item x="12"/>
        <item x="143"/>
        <item x="61"/>
        <item x="107"/>
        <item x="25"/>
        <item x="129"/>
        <item x="151"/>
        <item x="5"/>
        <item x="175"/>
        <item x="83"/>
        <item x="118"/>
        <item x="78"/>
        <item x="22"/>
        <item x="20"/>
        <item x="135"/>
        <item x="63"/>
        <item x="62"/>
        <item x="140"/>
        <item x="71"/>
        <item x="41"/>
        <item x="17"/>
        <item x="38"/>
        <item x="150"/>
        <item x="111"/>
        <item x="123"/>
        <item x="37"/>
        <item x="168"/>
        <item x="75"/>
        <item x="137"/>
        <item x="55"/>
        <item x="128"/>
        <item x="32"/>
        <item x="19"/>
        <item x="43"/>
        <item x="146"/>
        <item x="166"/>
        <item x="77"/>
        <item x="94"/>
        <item x="152"/>
        <item x="133"/>
        <item x="31"/>
        <item x="36"/>
        <item x="81"/>
        <item x="39"/>
        <item x="66"/>
        <item x="27"/>
        <item x="102"/>
        <item x="120"/>
        <item x="165"/>
        <item x="162"/>
        <item x="142"/>
        <item x="99"/>
        <item x="156"/>
        <item x="159"/>
        <item x="82"/>
        <item x="101"/>
        <item x="16"/>
        <item x="46"/>
        <item x="114"/>
        <item x="18"/>
        <item x="164"/>
        <item x="87"/>
        <item x="121"/>
        <item x="139"/>
        <item x="93"/>
        <item x="127"/>
        <item x="148"/>
        <item x="76"/>
        <item x="64"/>
        <item x="48"/>
        <item x="126"/>
        <item x="40"/>
        <item x="86"/>
        <item x="158"/>
        <item x="132"/>
        <item x="161"/>
        <item x="44"/>
        <item x="124"/>
        <item x="7"/>
        <item x="109"/>
        <item x="50"/>
        <item x="167"/>
        <item x="178"/>
        <item x="85"/>
        <item x="24"/>
        <item x="141"/>
        <item x="15"/>
        <item x="45"/>
        <item x="21"/>
        <item x="89"/>
        <item x="149"/>
        <item x="9"/>
        <item x="70"/>
        <item x="26"/>
        <item x="92"/>
        <item x="145"/>
        <item x="6"/>
        <item x="10"/>
        <item x="59"/>
        <item x="125"/>
        <item x="172"/>
        <item x="56"/>
        <item x="79"/>
        <item x="160"/>
        <item x="110"/>
        <item x="53"/>
        <item x="51"/>
        <item x="122"/>
        <item x="14"/>
        <item x="84"/>
        <item x="69"/>
        <item x="113"/>
        <item x="30"/>
        <item x="153"/>
        <item x="104"/>
        <item x="116"/>
        <item x="34"/>
        <item x="8"/>
        <item x="96"/>
        <item x="177"/>
        <item x="112"/>
        <item x="52"/>
        <item x="157"/>
        <item x="147"/>
        <item x="174"/>
        <item x="169"/>
        <item x="49"/>
        <item x="119"/>
        <item x="80"/>
        <item x="42"/>
        <item x="29"/>
        <item x="100"/>
        <item x="11"/>
        <item x="67"/>
        <item x="171"/>
        <item x="35"/>
        <item x="90"/>
        <item x="136"/>
        <item x="28"/>
        <item x="103"/>
        <item x="68"/>
        <item x="23"/>
        <item x="0"/>
        <item x="115"/>
        <item x="138"/>
        <item x="72"/>
        <item x="163"/>
        <item x="131"/>
        <item x="4"/>
        <item x="95"/>
        <item x="155"/>
        <item x="60"/>
        <item x="2"/>
        <item x="73"/>
        <item x="88"/>
        <item x="130"/>
        <item x="144"/>
        <item x="47"/>
        <item x="58"/>
        <item x="13"/>
        <item x="154"/>
        <item x="74"/>
        <item x="54"/>
        <item x="91"/>
        <item x="98"/>
        <item x="173"/>
        <item x="105"/>
        <item x="1"/>
        <item x="134"/>
        <item x="57"/>
        <item x="108"/>
        <item x="33"/>
        <item x="170"/>
        <item x="106"/>
        <item x="3"/>
        <item x="117"/>
        <item x="179"/>
        <item x="180"/>
        <item t="default"/>
      </items>
    </pivotField>
    <pivotField compact="0" showAll="0"/>
  </pivotFields>
  <rowFields count="2">
    <field x="3"/>
    <field x="7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urvival_Rate" fld="24" subtotal="average" baseField="0" baseItem="0"/>
  </dataFields>
  <formats count="141">
    <format dxfId="55">
      <pivotArea collapsedLevelsAreSubtotals="1" fieldPosition="0">
        <references count="1">
          <reference field="3" count="1" selected="0">
            <x v="0"/>
          </reference>
        </references>
      </pivotArea>
    </format>
    <format dxfId="56">
      <pivotArea collapsedLevelsAreSubtotals="1" fieldPosition="0">
        <references count="1">
          <reference field="3" count="1" selected="0">
            <x v="0"/>
          </reference>
        </references>
      </pivotArea>
    </format>
    <format dxfId="57">
      <pivotArea collapsedLevelsAreSubtotals="1" fieldPosition="0">
        <references count="1">
          <reference field="3" count="1" selected="0">
            <x v="0"/>
          </reference>
        </references>
      </pivotArea>
    </format>
    <format dxfId="58">
      <pivotArea collapsedLevelsAreSubtotals="1" fieldPosition="0">
        <references count="1">
          <reference field="3" count="1" selected="0">
            <x v="0"/>
          </reference>
        </references>
      </pivotArea>
    </format>
    <format dxfId="59">
      <pivotArea collapsedLevelsAreSubtotals="1" fieldPosition="0">
        <references count="1">
          <reference field="3" count="1" selected="0">
            <x v="0"/>
          </reference>
        </references>
      </pivotArea>
    </format>
    <format dxfId="60">
      <pivotArea collapsedLevelsAreSubtotals="1" fieldPosition="0">
        <references count="1">
          <reference field="3" count="1" selected="0">
            <x v="0"/>
          </reference>
        </references>
      </pivotArea>
    </format>
    <format dxfId="61">
      <pivotArea collapsedLevelsAreSubtotals="1" fieldPosition="0">
        <references count="1">
          <reference field="3" count="1" selected="0">
            <x v="0"/>
          </reference>
        </references>
      </pivotArea>
    </format>
    <format dxfId="62">
      <pivotArea collapsedLevelsAreSubtotals="1" fieldPosition="0">
        <references count="1">
          <reference field="3" count="1" selected="0">
            <x v="0"/>
          </reference>
        </references>
      </pivotArea>
    </format>
    <format dxfId="63">
      <pivotArea collapsedLevelsAreSubtotals="1" fieldPosition="0">
        <references count="1">
          <reference field="3" count="1" selected="0">
            <x v="0"/>
          </reference>
        </references>
      </pivotArea>
    </format>
    <format dxfId="64">
      <pivotArea collapsedLevelsAreSubtotals="1" fieldPosition="0">
        <references count="2">
          <reference field="7" count="1" selected="0">
            <x v="0"/>
          </reference>
          <reference field="3" count="1" selected="0">
            <x v="0"/>
          </reference>
        </references>
      </pivotArea>
    </format>
    <format dxfId="65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66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67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68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69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70">
      <pivotArea collapsedLevelsAreSubtotals="1" fieldPosition="0">
        <references count="2">
          <reference field="7" count="1" selected="0">
            <x v="1"/>
          </reference>
          <reference field="3" count="1" selected="0">
            <x v="0"/>
          </reference>
        </references>
      </pivotArea>
    </format>
    <format dxfId="71">
      <pivotArea collapsedLevelsAreSubtotals="1" fieldPosition="0">
        <references count="2">
          <reference field="7" count="1" selected="0">
            <x v="2"/>
          </reference>
          <reference field="3" count="1" selected="0">
            <x v="0"/>
          </reference>
        </references>
      </pivotArea>
    </format>
    <format dxfId="72">
      <pivotArea collapsedLevelsAreSubtotals="1" fieldPosition="0">
        <references count="2">
          <reference field="7" count="1" selected="0">
            <x v="3"/>
          </reference>
          <reference field="3" count="1" selected="0">
            <x v="0"/>
          </reference>
        </references>
      </pivotArea>
    </format>
    <format dxfId="73">
      <pivotArea collapsedLevelsAreSubtotals="1" fieldPosition="0">
        <references count="1">
          <reference field="3" count="1" selected="0">
            <x v="1"/>
          </reference>
        </references>
      </pivotArea>
    </format>
    <format dxfId="74">
      <pivotArea collapsedLevelsAreSubtotals="1" fieldPosition="0">
        <references count="2">
          <reference field="7" count="1" selected="0">
            <x v="0"/>
          </reference>
          <reference field="3" count="1" selected="0">
            <x v="1"/>
          </reference>
        </references>
      </pivotArea>
    </format>
    <format dxfId="75">
      <pivotArea collapsedLevelsAreSubtotals="1" fieldPosition="0">
        <references count="2">
          <reference field="7" count="1" selected="0">
            <x v="1"/>
          </reference>
          <reference field="3" count="1" selected="0">
            <x v="1"/>
          </reference>
        </references>
      </pivotArea>
    </format>
    <format dxfId="76">
      <pivotArea collapsedLevelsAreSubtotals="1" fieldPosition="0">
        <references count="2">
          <reference field="7" count="1" selected="0">
            <x v="2"/>
          </reference>
          <reference field="3" count="1" selected="0">
            <x v="1"/>
          </reference>
        </references>
      </pivotArea>
    </format>
    <format dxfId="77">
      <pivotArea collapsedLevelsAreSubtotals="1" fieldPosition="0">
        <references count="2">
          <reference field="7" count="1" selected="0">
            <x v="3"/>
          </reference>
          <reference field="3" count="1" selected="0">
            <x v="1"/>
          </reference>
        </references>
      </pivotArea>
    </format>
    <format dxfId="78">
      <pivotArea collapsedLevelsAreSubtotals="1" fieldPosition="0">
        <references count="1">
          <reference field="3" count="1" selected="0">
            <x v="2"/>
          </reference>
        </references>
      </pivotArea>
    </format>
    <format dxfId="79">
      <pivotArea collapsedLevelsAreSubtotals="1" fieldPosition="0">
        <references count="2">
          <reference field="7" count="1" selected="0">
            <x v="0"/>
          </reference>
          <reference field="3" count="1" selected="0">
            <x v="2"/>
          </reference>
        </references>
      </pivotArea>
    </format>
    <format dxfId="80">
      <pivotArea collapsedLevelsAreSubtotals="1" fieldPosition="0">
        <references count="2">
          <reference field="7" count="1" selected="0">
            <x v="1"/>
          </reference>
          <reference field="3" count="1" selected="0">
            <x v="2"/>
          </reference>
        </references>
      </pivotArea>
    </format>
    <format dxfId="81">
      <pivotArea collapsedLevelsAreSubtotals="1" fieldPosition="0">
        <references count="2">
          <reference field="7" count="1" selected="0">
            <x v="2"/>
          </reference>
          <reference field="3" count="1" selected="0">
            <x v="2"/>
          </reference>
        </references>
      </pivotArea>
    </format>
    <format dxfId="82">
      <pivotArea collapsedLevelsAreSubtotals="1" fieldPosition="0">
        <references count="2">
          <reference field="7" count="1" selected="0">
            <x v="3"/>
          </reference>
          <reference field="3" count="1" selected="0">
            <x v="2"/>
          </reference>
        </references>
      </pivotArea>
    </format>
    <format dxfId="83">
      <pivotArea collapsedLevelsAreSubtotals="1" fieldPosition="0">
        <references count="1">
          <reference field="3" count="1" selected="0">
            <x v="3"/>
          </reference>
        </references>
      </pivotArea>
    </format>
    <format dxfId="84">
      <pivotArea collapsedLevelsAreSubtotals="1" fieldPosition="0">
        <references count="2">
          <reference field="7" count="1" selected="0">
            <x v="0"/>
          </reference>
          <reference field="3" count="1" selected="0">
            <x v="3"/>
          </reference>
        </references>
      </pivotArea>
    </format>
    <format dxfId="85">
      <pivotArea collapsedLevelsAreSubtotals="1" fieldPosition="0">
        <references count="2">
          <reference field="7" count="1" selected="0">
            <x v="1"/>
          </reference>
          <reference field="3" count="1" selected="0">
            <x v="3"/>
          </reference>
        </references>
      </pivotArea>
    </format>
    <format dxfId="86">
      <pivotArea collapsedLevelsAreSubtotals="1" fieldPosition="0">
        <references count="2">
          <reference field="7" count="1" selected="0">
            <x v="2"/>
          </reference>
          <reference field="3" count="1" selected="0">
            <x v="3"/>
          </reference>
        </references>
      </pivotArea>
    </format>
    <format dxfId="87">
      <pivotArea collapsedLevelsAreSubtotals="1" fieldPosition="0">
        <references count="2">
          <reference field="7" count="1" selected="0">
            <x v="3"/>
          </reference>
          <reference field="3" count="1" selected="0">
            <x v="3"/>
          </reference>
        </references>
      </pivotArea>
    </format>
    <format dxfId="88">
      <pivotArea collapsedLevelsAreSubtotals="1" fieldPosition="0">
        <references count="1">
          <reference field="3" count="1" selected="0">
            <x v="4"/>
          </reference>
        </references>
      </pivotArea>
    </format>
    <format dxfId="89">
      <pivotArea collapsedLevelsAreSubtotals="1" fieldPosition="0">
        <references count="2">
          <reference field="7" count="1" selected="0">
            <x v="0"/>
          </reference>
          <reference field="3" count="1" selected="0">
            <x v="4"/>
          </reference>
        </references>
      </pivotArea>
    </format>
    <format dxfId="90">
      <pivotArea collapsedLevelsAreSubtotals="1" fieldPosition="0">
        <references count="2">
          <reference field="7" count="1" selected="0">
            <x v="1"/>
          </reference>
          <reference field="3" count="1" selected="0">
            <x v="4"/>
          </reference>
        </references>
      </pivotArea>
    </format>
    <format dxfId="91">
      <pivotArea collapsedLevelsAreSubtotals="1" fieldPosition="0">
        <references count="2">
          <reference field="7" count="1" selected="0">
            <x v="2"/>
          </reference>
          <reference field="3" count="1" selected="0">
            <x v="4"/>
          </reference>
        </references>
      </pivotArea>
    </format>
    <format dxfId="92">
      <pivotArea collapsedLevelsAreSubtotals="1" fieldPosition="0">
        <references count="2">
          <reference field="7" count="1" selected="0">
            <x v="3"/>
          </reference>
          <reference field="3" count="1" selected="0">
            <x v="4"/>
          </reference>
        </references>
      </pivotArea>
    </format>
    <format dxfId="93">
      <pivotArea collapsedLevelsAreSubtotals="1" fieldPosition="0">
        <references count="1">
          <reference field="3" count="1" selected="0">
            <x v="5"/>
          </reference>
        </references>
      </pivotArea>
    </format>
    <format dxfId="94">
      <pivotArea collapsedLevelsAreSubtotals="1" fieldPosition="0">
        <references count="2">
          <reference field="7" count="1" selected="0">
            <x v="4"/>
          </reference>
          <reference field="3" count="1" selected="0">
            <x v="5"/>
          </reference>
        </references>
      </pivotArea>
    </format>
    <format dxfId="95">
      <pivotArea grandRow="1" collapsedLevelsAreSubtotals="1" fieldPosition="0"/>
    </format>
    <format dxfId="96">
      <pivotArea collapsedLevelsAreSubtotals="1" fieldPosition="0">
        <references count="2">
          <reference field="7" count="1" selected="0">
            <x v="2"/>
          </reference>
          <reference field="3" count="1" selected="0">
            <x v="0"/>
          </reference>
        </references>
      </pivotArea>
    </format>
    <format dxfId="97">
      <pivotArea collapsedLevelsAreSubtotals="1" fieldPosition="0">
        <references count="2">
          <reference field="7" count="1" selected="0">
            <x v="3"/>
          </reference>
          <reference field="3" count="1" selected="0">
            <x v="0"/>
          </reference>
        </references>
      </pivotArea>
    </format>
    <format dxfId="98">
      <pivotArea collapsedLevelsAreSubtotals="1" fieldPosition="0">
        <references count="1">
          <reference field="3" count="1" selected="0">
            <x v="1"/>
          </reference>
        </references>
      </pivotArea>
    </format>
    <format dxfId="99">
      <pivotArea collapsedLevelsAreSubtotals="1" fieldPosition="0">
        <references count="2">
          <reference field="7" count="1" selected="0">
            <x v="0"/>
          </reference>
          <reference field="3" count="1" selected="0">
            <x v="1"/>
          </reference>
        </references>
      </pivotArea>
    </format>
    <format dxfId="100">
      <pivotArea collapsedLevelsAreSubtotals="1" fieldPosition="0">
        <references count="2">
          <reference field="7" count="1" selected="0">
            <x v="1"/>
          </reference>
          <reference field="3" count="1" selected="0">
            <x v="1"/>
          </reference>
        </references>
      </pivotArea>
    </format>
    <format dxfId="101">
      <pivotArea collapsedLevelsAreSubtotals="1" fieldPosition="0">
        <references count="2">
          <reference field="7" count="1" selected="0">
            <x v="2"/>
          </reference>
          <reference field="3" count="1" selected="0">
            <x v="1"/>
          </reference>
        </references>
      </pivotArea>
    </format>
    <format dxfId="102">
      <pivotArea collapsedLevelsAreSubtotals="1" fieldPosition="0">
        <references count="2">
          <reference field="7" count="1" selected="0">
            <x v="3"/>
          </reference>
          <reference field="3" count="1" selected="0">
            <x v="1"/>
          </reference>
        </references>
      </pivotArea>
    </format>
    <format dxfId="103">
      <pivotArea collapsedLevelsAreSubtotals="1" fieldPosition="0">
        <references count="1">
          <reference field="3" count="1" selected="0">
            <x v="2"/>
          </reference>
        </references>
      </pivotArea>
    </format>
    <format dxfId="104">
      <pivotArea collapsedLevelsAreSubtotals="1" fieldPosition="0">
        <references count="2">
          <reference field="7" count="1" selected="0">
            <x v="0"/>
          </reference>
          <reference field="3" count="1" selected="0">
            <x v="2"/>
          </reference>
        </references>
      </pivotArea>
    </format>
    <format dxfId="105">
      <pivotArea collapsedLevelsAreSubtotals="1" fieldPosition="0">
        <references count="2">
          <reference field="7" count="1" selected="0">
            <x v="1"/>
          </reference>
          <reference field="3" count="1" selected="0">
            <x v="2"/>
          </reference>
        </references>
      </pivotArea>
    </format>
    <format dxfId="106">
      <pivotArea collapsedLevelsAreSubtotals="1" fieldPosition="0">
        <references count="2">
          <reference field="7" count="1" selected="0">
            <x v="2"/>
          </reference>
          <reference field="3" count="1" selected="0">
            <x v="2"/>
          </reference>
        </references>
      </pivotArea>
    </format>
    <format dxfId="107">
      <pivotArea collapsedLevelsAreSubtotals="1" fieldPosition="0">
        <references count="2">
          <reference field="7" count="1" selected="0">
            <x v="3"/>
          </reference>
          <reference field="3" count="1" selected="0">
            <x v="2"/>
          </reference>
        </references>
      </pivotArea>
    </format>
    <format dxfId="108">
      <pivotArea collapsedLevelsAreSubtotals="1" fieldPosition="0">
        <references count="1">
          <reference field="3" count="1" selected="0">
            <x v="3"/>
          </reference>
        </references>
      </pivotArea>
    </format>
    <format dxfId="109">
      <pivotArea collapsedLevelsAreSubtotals="1" fieldPosition="0">
        <references count="2">
          <reference field="7" count="1" selected="0">
            <x v="0"/>
          </reference>
          <reference field="3" count="1" selected="0">
            <x v="3"/>
          </reference>
        </references>
      </pivotArea>
    </format>
    <format dxfId="110">
      <pivotArea collapsedLevelsAreSubtotals="1" fieldPosition="0">
        <references count="2">
          <reference field="7" count="1" selected="0">
            <x v="1"/>
          </reference>
          <reference field="3" count="1" selected="0">
            <x v="3"/>
          </reference>
        </references>
      </pivotArea>
    </format>
    <format dxfId="111">
      <pivotArea collapsedLevelsAreSubtotals="1" fieldPosition="0">
        <references count="2">
          <reference field="7" count="1" selected="0">
            <x v="2"/>
          </reference>
          <reference field="3" count="1" selected="0">
            <x v="3"/>
          </reference>
        </references>
      </pivotArea>
    </format>
    <format dxfId="112">
      <pivotArea collapsedLevelsAreSubtotals="1" fieldPosition="0">
        <references count="2">
          <reference field="7" count="1" selected="0">
            <x v="3"/>
          </reference>
          <reference field="3" count="1" selected="0">
            <x v="3"/>
          </reference>
        </references>
      </pivotArea>
    </format>
    <format dxfId="113">
      <pivotArea collapsedLevelsAreSubtotals="1" fieldPosition="0">
        <references count="1">
          <reference field="3" count="1" selected="0">
            <x v="4"/>
          </reference>
        </references>
      </pivotArea>
    </format>
    <format dxfId="114">
      <pivotArea collapsedLevelsAreSubtotals="1" fieldPosition="0">
        <references count="2">
          <reference field="7" count="1" selected="0">
            <x v="0"/>
          </reference>
          <reference field="3" count="1" selected="0">
            <x v="4"/>
          </reference>
        </references>
      </pivotArea>
    </format>
    <format dxfId="115">
      <pivotArea collapsedLevelsAreSubtotals="1" fieldPosition="0">
        <references count="2">
          <reference field="7" count="1" selected="0">
            <x v="1"/>
          </reference>
          <reference field="3" count="1" selected="0">
            <x v="4"/>
          </reference>
        </references>
      </pivotArea>
    </format>
    <format dxfId="116">
      <pivotArea collapsedLevelsAreSubtotals="1" fieldPosition="0">
        <references count="2">
          <reference field="7" count="1" selected="0">
            <x v="2"/>
          </reference>
          <reference field="3" count="1" selected="0">
            <x v="4"/>
          </reference>
        </references>
      </pivotArea>
    </format>
    <format dxfId="117">
      <pivotArea collapsedLevelsAreSubtotals="1" fieldPosition="0">
        <references count="2">
          <reference field="7" count="1" selected="0">
            <x v="3"/>
          </reference>
          <reference field="3" count="1" selected="0">
            <x v="4"/>
          </reference>
        </references>
      </pivotArea>
    </format>
    <format dxfId="118">
      <pivotArea collapsedLevelsAreSubtotals="1" fieldPosition="0">
        <references count="1">
          <reference field="3" count="1" selected="0">
            <x v="5"/>
          </reference>
        </references>
      </pivotArea>
    </format>
    <format dxfId="119">
      <pivotArea collapsedLevelsAreSubtotals="1" fieldPosition="0">
        <references count="2">
          <reference field="7" count="1" selected="0">
            <x v="4"/>
          </reference>
          <reference field="3" count="1" selected="0">
            <x v="5"/>
          </reference>
        </references>
      </pivotArea>
    </format>
    <format dxfId="120">
      <pivotArea grandRow="1" collapsedLevelsAreSubtotals="1" fieldPosition="0"/>
    </format>
    <format dxfId="121">
      <pivotArea collapsedLevelsAreSubtotals="1" fieldPosition="0">
        <references count="2">
          <reference field="7" count="1" selected="0">
            <x v="2"/>
          </reference>
          <reference field="3" count="1" selected="0">
            <x v="0"/>
          </reference>
        </references>
      </pivotArea>
    </format>
    <format dxfId="122">
      <pivotArea collapsedLevelsAreSubtotals="1" fieldPosition="0">
        <references count="2">
          <reference field="7" count="1" selected="0">
            <x v="3"/>
          </reference>
          <reference field="3" count="1" selected="0">
            <x v="0"/>
          </reference>
        </references>
      </pivotArea>
    </format>
    <format dxfId="123">
      <pivotArea collapsedLevelsAreSubtotals="1" fieldPosition="0">
        <references count="1">
          <reference field="3" count="1" selected="0">
            <x v="1"/>
          </reference>
        </references>
      </pivotArea>
    </format>
    <format dxfId="124">
      <pivotArea collapsedLevelsAreSubtotals="1" fieldPosition="0">
        <references count="2">
          <reference field="7" count="1" selected="0">
            <x v="0"/>
          </reference>
          <reference field="3" count="1" selected="0">
            <x v="1"/>
          </reference>
        </references>
      </pivotArea>
    </format>
    <format dxfId="125">
      <pivotArea collapsedLevelsAreSubtotals="1" fieldPosition="0">
        <references count="2">
          <reference field="7" count="1" selected="0">
            <x v="1"/>
          </reference>
          <reference field="3" count="1" selected="0">
            <x v="1"/>
          </reference>
        </references>
      </pivotArea>
    </format>
    <format dxfId="126">
      <pivotArea collapsedLevelsAreSubtotals="1" fieldPosition="0">
        <references count="2">
          <reference field="7" count="1" selected="0">
            <x v="2"/>
          </reference>
          <reference field="3" count="1" selected="0">
            <x v="1"/>
          </reference>
        </references>
      </pivotArea>
    </format>
    <format dxfId="127">
      <pivotArea collapsedLevelsAreSubtotals="1" fieldPosition="0">
        <references count="2">
          <reference field="7" count="1" selected="0">
            <x v="3"/>
          </reference>
          <reference field="3" count="1" selected="0">
            <x v="1"/>
          </reference>
        </references>
      </pivotArea>
    </format>
    <format dxfId="128">
      <pivotArea collapsedLevelsAreSubtotals="1" fieldPosition="0">
        <references count="1">
          <reference field="3" count="1" selected="0">
            <x v="2"/>
          </reference>
        </references>
      </pivotArea>
    </format>
    <format dxfId="129">
      <pivotArea collapsedLevelsAreSubtotals="1" fieldPosition="0">
        <references count="2">
          <reference field="7" count="1" selected="0">
            <x v="0"/>
          </reference>
          <reference field="3" count="1" selected="0">
            <x v="2"/>
          </reference>
        </references>
      </pivotArea>
    </format>
    <format dxfId="130">
      <pivotArea collapsedLevelsAreSubtotals="1" fieldPosition="0">
        <references count="2">
          <reference field="7" count="1" selected="0">
            <x v="1"/>
          </reference>
          <reference field="3" count="1" selected="0">
            <x v="2"/>
          </reference>
        </references>
      </pivotArea>
    </format>
    <format dxfId="131">
      <pivotArea collapsedLevelsAreSubtotals="1" fieldPosition="0">
        <references count="2">
          <reference field="7" count="1" selected="0">
            <x v="2"/>
          </reference>
          <reference field="3" count="1" selected="0">
            <x v="2"/>
          </reference>
        </references>
      </pivotArea>
    </format>
    <format dxfId="132">
      <pivotArea collapsedLevelsAreSubtotals="1" fieldPosition="0">
        <references count="2">
          <reference field="7" count="1" selected="0">
            <x v="3"/>
          </reference>
          <reference field="3" count="1" selected="0">
            <x v="2"/>
          </reference>
        </references>
      </pivotArea>
    </format>
    <format dxfId="133">
      <pivotArea collapsedLevelsAreSubtotals="1" fieldPosition="0">
        <references count="1">
          <reference field="3" count="1" selected="0">
            <x v="3"/>
          </reference>
        </references>
      </pivotArea>
    </format>
    <format dxfId="134">
      <pivotArea collapsedLevelsAreSubtotals="1" fieldPosition="0">
        <references count="2">
          <reference field="7" count="1" selected="0">
            <x v="0"/>
          </reference>
          <reference field="3" count="1" selected="0">
            <x v="3"/>
          </reference>
        </references>
      </pivotArea>
    </format>
    <format dxfId="135">
      <pivotArea collapsedLevelsAreSubtotals="1" fieldPosition="0">
        <references count="2">
          <reference field="7" count="1" selected="0">
            <x v="1"/>
          </reference>
          <reference field="3" count="1" selected="0">
            <x v="3"/>
          </reference>
        </references>
      </pivotArea>
    </format>
    <format dxfId="136">
      <pivotArea collapsedLevelsAreSubtotals="1" fieldPosition="0">
        <references count="2">
          <reference field="7" count="1" selected="0">
            <x v="2"/>
          </reference>
          <reference field="3" count="1" selected="0">
            <x v="3"/>
          </reference>
        </references>
      </pivotArea>
    </format>
    <format dxfId="137">
      <pivotArea collapsedLevelsAreSubtotals="1" fieldPosition="0">
        <references count="2">
          <reference field="7" count="1" selected="0">
            <x v="3"/>
          </reference>
          <reference field="3" count="1" selected="0">
            <x v="3"/>
          </reference>
        </references>
      </pivotArea>
    </format>
    <format dxfId="138">
      <pivotArea collapsedLevelsAreSubtotals="1" fieldPosition="0">
        <references count="1">
          <reference field="3" count="1" selected="0">
            <x v="4"/>
          </reference>
        </references>
      </pivotArea>
    </format>
    <format dxfId="139">
      <pivotArea collapsedLevelsAreSubtotals="1" fieldPosition="0">
        <references count="2">
          <reference field="7" count="1" selected="0">
            <x v="0"/>
          </reference>
          <reference field="3" count="1" selected="0">
            <x v="4"/>
          </reference>
        </references>
      </pivotArea>
    </format>
    <format dxfId="140">
      <pivotArea collapsedLevelsAreSubtotals="1" fieldPosition="0">
        <references count="2">
          <reference field="7" count="1" selected="0">
            <x v="1"/>
          </reference>
          <reference field="3" count="1" selected="0">
            <x v="4"/>
          </reference>
        </references>
      </pivotArea>
    </format>
    <format dxfId="141">
      <pivotArea collapsedLevelsAreSubtotals="1" fieldPosition="0">
        <references count="2">
          <reference field="7" count="1" selected="0">
            <x v="2"/>
          </reference>
          <reference field="3" count="1" selected="0">
            <x v="4"/>
          </reference>
        </references>
      </pivotArea>
    </format>
    <format dxfId="142">
      <pivotArea collapsedLevelsAreSubtotals="1" fieldPosition="0">
        <references count="2">
          <reference field="7" count="1" selected="0">
            <x v="3"/>
          </reference>
          <reference field="3" count="1" selected="0">
            <x v="4"/>
          </reference>
        </references>
      </pivotArea>
    </format>
    <format dxfId="143">
      <pivotArea collapsedLevelsAreSubtotals="1" fieldPosition="0">
        <references count="1">
          <reference field="3" count="1" selected="0">
            <x v="5"/>
          </reference>
        </references>
      </pivotArea>
    </format>
    <format dxfId="144">
      <pivotArea collapsedLevelsAreSubtotals="1" fieldPosition="0">
        <references count="2">
          <reference field="7" count="1" selected="0">
            <x v="4"/>
          </reference>
          <reference field="3" count="1" selected="0">
            <x v="5"/>
          </reference>
        </references>
      </pivotArea>
    </format>
    <format dxfId="145">
      <pivotArea grandRow="1" collapsedLevelsAreSubtotals="1" fieldPosition="0"/>
    </format>
    <format dxfId="146">
      <pivotArea collapsedLevelsAreSubtotals="1" fieldPosition="0">
        <references count="2">
          <reference field="7" count="1" selected="0">
            <x v="2"/>
          </reference>
          <reference field="3" count="1" selected="0">
            <x v="0"/>
          </reference>
        </references>
      </pivotArea>
    </format>
    <format dxfId="147">
      <pivotArea collapsedLevelsAreSubtotals="1" fieldPosition="0">
        <references count="2">
          <reference field="7" count="1" selected="0">
            <x v="3"/>
          </reference>
          <reference field="3" count="1" selected="0">
            <x v="0"/>
          </reference>
        </references>
      </pivotArea>
    </format>
    <format dxfId="148">
      <pivotArea collapsedLevelsAreSubtotals="1" fieldPosition="0">
        <references count="1">
          <reference field="3" count="1" selected="0">
            <x v="1"/>
          </reference>
        </references>
      </pivotArea>
    </format>
    <format dxfId="149">
      <pivotArea collapsedLevelsAreSubtotals="1" fieldPosition="0">
        <references count="2">
          <reference field="7" count="1" selected="0">
            <x v="0"/>
          </reference>
          <reference field="3" count="1" selected="0">
            <x v="1"/>
          </reference>
        </references>
      </pivotArea>
    </format>
    <format dxfId="150">
      <pivotArea collapsedLevelsAreSubtotals="1" fieldPosition="0">
        <references count="2">
          <reference field="7" count="1" selected="0">
            <x v="1"/>
          </reference>
          <reference field="3" count="1" selected="0">
            <x v="1"/>
          </reference>
        </references>
      </pivotArea>
    </format>
    <format dxfId="151">
      <pivotArea collapsedLevelsAreSubtotals="1" fieldPosition="0">
        <references count="2">
          <reference field="7" count="1" selected="0">
            <x v="2"/>
          </reference>
          <reference field="3" count="1" selected="0">
            <x v="1"/>
          </reference>
        </references>
      </pivotArea>
    </format>
    <format dxfId="152">
      <pivotArea collapsedLevelsAreSubtotals="1" fieldPosition="0">
        <references count="2">
          <reference field="7" count="1" selected="0">
            <x v="3"/>
          </reference>
          <reference field="3" count="1" selected="0">
            <x v="1"/>
          </reference>
        </references>
      </pivotArea>
    </format>
    <format dxfId="153">
      <pivotArea collapsedLevelsAreSubtotals="1" fieldPosition="0">
        <references count="1">
          <reference field="3" count="1" selected="0">
            <x v="2"/>
          </reference>
        </references>
      </pivotArea>
    </format>
    <format dxfId="154">
      <pivotArea collapsedLevelsAreSubtotals="1" fieldPosition="0">
        <references count="2">
          <reference field="7" count="1" selected="0">
            <x v="0"/>
          </reference>
          <reference field="3" count="1" selected="0">
            <x v="2"/>
          </reference>
        </references>
      </pivotArea>
    </format>
    <format dxfId="155">
      <pivotArea collapsedLevelsAreSubtotals="1" fieldPosition="0">
        <references count="2">
          <reference field="7" count="1" selected="0">
            <x v="1"/>
          </reference>
          <reference field="3" count="1" selected="0">
            <x v="2"/>
          </reference>
        </references>
      </pivotArea>
    </format>
    <format dxfId="156">
      <pivotArea collapsedLevelsAreSubtotals="1" fieldPosition="0">
        <references count="2">
          <reference field="7" count="1" selected="0">
            <x v="2"/>
          </reference>
          <reference field="3" count="1" selected="0">
            <x v="2"/>
          </reference>
        </references>
      </pivotArea>
    </format>
    <format dxfId="157">
      <pivotArea collapsedLevelsAreSubtotals="1" fieldPosition="0">
        <references count="2">
          <reference field="7" count="1" selected="0">
            <x v="3"/>
          </reference>
          <reference field="3" count="1" selected="0">
            <x v="2"/>
          </reference>
        </references>
      </pivotArea>
    </format>
    <format dxfId="158">
      <pivotArea collapsedLevelsAreSubtotals="1" fieldPosition="0">
        <references count="1">
          <reference field="3" count="1" selected="0">
            <x v="3"/>
          </reference>
        </references>
      </pivotArea>
    </format>
    <format dxfId="159">
      <pivotArea collapsedLevelsAreSubtotals="1" fieldPosition="0">
        <references count="2">
          <reference field="7" count="1" selected="0">
            <x v="0"/>
          </reference>
          <reference field="3" count="1" selected="0">
            <x v="3"/>
          </reference>
        </references>
      </pivotArea>
    </format>
    <format dxfId="160">
      <pivotArea collapsedLevelsAreSubtotals="1" fieldPosition="0">
        <references count="2">
          <reference field="7" count="1" selected="0">
            <x v="1"/>
          </reference>
          <reference field="3" count="1" selected="0">
            <x v="3"/>
          </reference>
        </references>
      </pivotArea>
    </format>
    <format dxfId="161">
      <pivotArea collapsedLevelsAreSubtotals="1" fieldPosition="0">
        <references count="2">
          <reference field="7" count="1" selected="0">
            <x v="2"/>
          </reference>
          <reference field="3" count="1" selected="0">
            <x v="3"/>
          </reference>
        </references>
      </pivotArea>
    </format>
    <format dxfId="162">
      <pivotArea collapsedLevelsAreSubtotals="1" fieldPosition="0">
        <references count="2">
          <reference field="7" count="1" selected="0">
            <x v="3"/>
          </reference>
          <reference field="3" count="1" selected="0">
            <x v="3"/>
          </reference>
        </references>
      </pivotArea>
    </format>
    <format dxfId="163">
      <pivotArea collapsedLevelsAreSubtotals="1" fieldPosition="0">
        <references count="1">
          <reference field="3" count="1" selected="0">
            <x v="4"/>
          </reference>
        </references>
      </pivotArea>
    </format>
    <format dxfId="164">
      <pivotArea collapsedLevelsAreSubtotals="1" fieldPosition="0">
        <references count="2">
          <reference field="7" count="1" selected="0">
            <x v="0"/>
          </reference>
          <reference field="3" count="1" selected="0">
            <x v="4"/>
          </reference>
        </references>
      </pivotArea>
    </format>
    <format dxfId="165">
      <pivotArea collapsedLevelsAreSubtotals="1" fieldPosition="0">
        <references count="2">
          <reference field="7" count="1" selected="0">
            <x v="1"/>
          </reference>
          <reference field="3" count="1" selected="0">
            <x v="4"/>
          </reference>
        </references>
      </pivotArea>
    </format>
    <format dxfId="166">
      <pivotArea collapsedLevelsAreSubtotals="1" fieldPosition="0">
        <references count="2">
          <reference field="7" count="1" selected="0">
            <x v="2"/>
          </reference>
          <reference field="3" count="1" selected="0">
            <x v="4"/>
          </reference>
        </references>
      </pivotArea>
    </format>
    <format dxfId="167">
      <pivotArea collapsedLevelsAreSubtotals="1" fieldPosition="0">
        <references count="2">
          <reference field="7" count="1" selected="0">
            <x v="3"/>
          </reference>
          <reference field="3" count="1" selected="0">
            <x v="4"/>
          </reference>
        </references>
      </pivotArea>
    </format>
    <format dxfId="168">
      <pivotArea collapsedLevelsAreSubtotals="1" fieldPosition="0">
        <references count="1">
          <reference field="3" count="1" selected="0">
            <x v="5"/>
          </reference>
        </references>
      </pivotArea>
    </format>
    <format dxfId="169">
      <pivotArea collapsedLevelsAreSubtotals="1" fieldPosition="0">
        <references count="2">
          <reference field="7" count="1" selected="0">
            <x v="4"/>
          </reference>
          <reference field="3" count="1" selected="0">
            <x v="5"/>
          </reference>
        </references>
      </pivotArea>
    </format>
    <format dxfId="170">
      <pivotArea grandRow="1" collapsedLevelsAreSubtotals="1" fieldPosition="0"/>
    </format>
    <format dxfId="171">
      <pivotArea collapsedLevelsAreSubtotals="1" fieldPosition="0">
        <references count="2">
          <reference field="7" count="1" selected="0">
            <x v="2"/>
          </reference>
          <reference field="3" count="1" selected="0">
            <x v="0"/>
          </reference>
        </references>
      </pivotArea>
    </format>
    <format dxfId="172">
      <pivotArea collapsedLevelsAreSubtotals="1" fieldPosition="0">
        <references count="2">
          <reference field="7" count="1" selected="0">
            <x v="3"/>
          </reference>
          <reference field="3" count="1" selected="0">
            <x v="0"/>
          </reference>
        </references>
      </pivotArea>
    </format>
    <format dxfId="173">
      <pivotArea collapsedLevelsAreSubtotals="1" fieldPosition="0">
        <references count="1">
          <reference field="3" count="1" selected="0">
            <x v="1"/>
          </reference>
        </references>
      </pivotArea>
    </format>
    <format dxfId="174">
      <pivotArea collapsedLevelsAreSubtotals="1" fieldPosition="0">
        <references count="2">
          <reference field="7" count="1" selected="0">
            <x v="0"/>
          </reference>
          <reference field="3" count="1" selected="0">
            <x v="1"/>
          </reference>
        </references>
      </pivotArea>
    </format>
    <format dxfId="175">
      <pivotArea collapsedLevelsAreSubtotals="1" fieldPosition="0">
        <references count="2">
          <reference field="7" count="1" selected="0">
            <x v="1"/>
          </reference>
          <reference field="3" count="1" selected="0">
            <x v="1"/>
          </reference>
        </references>
      </pivotArea>
    </format>
    <format dxfId="176">
      <pivotArea collapsedLevelsAreSubtotals="1" fieldPosition="0">
        <references count="2">
          <reference field="7" count="1" selected="0">
            <x v="2"/>
          </reference>
          <reference field="3" count="1" selected="0">
            <x v="1"/>
          </reference>
        </references>
      </pivotArea>
    </format>
    <format dxfId="177">
      <pivotArea collapsedLevelsAreSubtotals="1" fieldPosition="0">
        <references count="2">
          <reference field="7" count="1" selected="0">
            <x v="3"/>
          </reference>
          <reference field="3" count="1" selected="0">
            <x v="1"/>
          </reference>
        </references>
      </pivotArea>
    </format>
    <format dxfId="178">
      <pivotArea collapsedLevelsAreSubtotals="1" fieldPosition="0">
        <references count="1">
          <reference field="3" count="1" selected="0">
            <x v="2"/>
          </reference>
        </references>
      </pivotArea>
    </format>
    <format dxfId="179">
      <pivotArea collapsedLevelsAreSubtotals="1" fieldPosition="0">
        <references count="2">
          <reference field="7" count="1" selected="0">
            <x v="0"/>
          </reference>
          <reference field="3" count="1" selected="0">
            <x v="2"/>
          </reference>
        </references>
      </pivotArea>
    </format>
    <format dxfId="180">
      <pivotArea collapsedLevelsAreSubtotals="1" fieldPosition="0">
        <references count="2">
          <reference field="7" count="1" selected="0">
            <x v="1"/>
          </reference>
          <reference field="3" count="1" selected="0">
            <x v="2"/>
          </reference>
        </references>
      </pivotArea>
    </format>
    <format dxfId="181">
      <pivotArea collapsedLevelsAreSubtotals="1" fieldPosition="0">
        <references count="2">
          <reference field="7" count="1" selected="0">
            <x v="2"/>
          </reference>
          <reference field="3" count="1" selected="0">
            <x v="2"/>
          </reference>
        </references>
      </pivotArea>
    </format>
    <format dxfId="182">
      <pivotArea collapsedLevelsAreSubtotals="1" fieldPosition="0">
        <references count="2">
          <reference field="7" count="1" selected="0">
            <x v="3"/>
          </reference>
          <reference field="3" count="1" selected="0">
            <x v="2"/>
          </reference>
        </references>
      </pivotArea>
    </format>
    <format dxfId="183">
      <pivotArea collapsedLevelsAreSubtotals="1" fieldPosition="0">
        <references count="1">
          <reference field="3" count="1" selected="0">
            <x v="3"/>
          </reference>
        </references>
      </pivotArea>
    </format>
    <format dxfId="184">
      <pivotArea collapsedLevelsAreSubtotals="1" fieldPosition="0">
        <references count="2">
          <reference field="7" count="1" selected="0">
            <x v="0"/>
          </reference>
          <reference field="3" count="1" selected="0">
            <x v="3"/>
          </reference>
        </references>
      </pivotArea>
    </format>
    <format dxfId="185">
      <pivotArea collapsedLevelsAreSubtotals="1" fieldPosition="0">
        <references count="2">
          <reference field="7" count="1" selected="0">
            <x v="1"/>
          </reference>
          <reference field="3" count="1" selected="0">
            <x v="3"/>
          </reference>
        </references>
      </pivotArea>
    </format>
    <format dxfId="186">
      <pivotArea collapsedLevelsAreSubtotals="1" fieldPosition="0">
        <references count="2">
          <reference field="7" count="1" selected="0">
            <x v="2"/>
          </reference>
          <reference field="3" count="1" selected="0">
            <x v="3"/>
          </reference>
        </references>
      </pivotArea>
    </format>
    <format dxfId="187">
      <pivotArea collapsedLevelsAreSubtotals="1" fieldPosition="0">
        <references count="2">
          <reference field="7" count="1" selected="0">
            <x v="3"/>
          </reference>
          <reference field="3" count="1" selected="0">
            <x v="3"/>
          </reference>
        </references>
      </pivotArea>
    </format>
    <format dxfId="188">
      <pivotArea collapsedLevelsAreSubtotals="1" fieldPosition="0">
        <references count="1">
          <reference field="3" count="1" selected="0">
            <x v="4"/>
          </reference>
        </references>
      </pivotArea>
    </format>
    <format dxfId="189">
      <pivotArea collapsedLevelsAreSubtotals="1" fieldPosition="0">
        <references count="2">
          <reference field="7" count="1" selected="0">
            <x v="0"/>
          </reference>
          <reference field="3" count="1" selected="0">
            <x v="4"/>
          </reference>
        </references>
      </pivotArea>
    </format>
    <format dxfId="190">
      <pivotArea collapsedLevelsAreSubtotals="1" fieldPosition="0">
        <references count="2">
          <reference field="7" count="1" selected="0">
            <x v="1"/>
          </reference>
          <reference field="3" count="1" selected="0">
            <x v="4"/>
          </reference>
        </references>
      </pivotArea>
    </format>
    <format dxfId="191">
      <pivotArea collapsedLevelsAreSubtotals="1" fieldPosition="0">
        <references count="2">
          <reference field="7" count="1" selected="0">
            <x v="2"/>
          </reference>
          <reference field="3" count="1" selected="0">
            <x v="4"/>
          </reference>
        </references>
      </pivotArea>
    </format>
    <format dxfId="192">
      <pivotArea collapsedLevelsAreSubtotals="1" fieldPosition="0">
        <references count="2">
          <reference field="7" count="1" selected="0">
            <x v="3"/>
          </reference>
          <reference field="3" count="1" selected="0">
            <x v="4"/>
          </reference>
        </references>
      </pivotArea>
    </format>
    <format dxfId="193">
      <pivotArea collapsedLevelsAreSubtotals="1" fieldPosition="0">
        <references count="1">
          <reference field="3" count="1" selected="0">
            <x v="5"/>
          </reference>
        </references>
      </pivotArea>
    </format>
    <format dxfId="194">
      <pivotArea collapsedLevelsAreSubtotals="1" fieldPosition="0">
        <references count="2">
          <reference field="7" count="1" selected="0">
            <x v="4"/>
          </reference>
          <reference field="3" count="1" selected="0">
            <x v="5"/>
          </reference>
        </references>
      </pivotArea>
    </format>
    <format dxfId="195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4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7">
        <item x="3"/>
        <item x="0"/>
        <item x="2"/>
        <item x="1"/>
        <item x="4"/>
        <item h="1" x="5"/>
        <item t="default"/>
      </items>
    </pivotField>
    <pivotField compact="0" showAll="0"/>
    <pivotField dataField="1" compact="0" showAll="0">
      <items count="374">
        <item x="354"/>
        <item x="360"/>
        <item x="158"/>
        <item x="82"/>
        <item x="63"/>
        <item x="334"/>
        <item x="328"/>
        <item x="27"/>
        <item x="79"/>
        <item x="207"/>
        <item x="3"/>
        <item x="149"/>
        <item x="130"/>
        <item x="180"/>
        <item x="95"/>
        <item x="21"/>
        <item x="238"/>
        <item x="153"/>
        <item x="283"/>
        <item x="350"/>
        <item x="291"/>
        <item x="104"/>
        <item x="159"/>
        <item x="188"/>
        <item x="65"/>
        <item x="307"/>
        <item x="125"/>
        <item x="110"/>
        <item x="313"/>
        <item x="132"/>
        <item x="85"/>
        <item x="192"/>
        <item x="29"/>
        <item x="91"/>
        <item x="169"/>
        <item x="344"/>
        <item x="202"/>
        <item x="262"/>
        <item x="126"/>
        <item x="356"/>
        <item x="52"/>
        <item x="342"/>
        <item x="49"/>
        <item x="237"/>
        <item x="161"/>
        <item x="357"/>
        <item x="30"/>
        <item x="318"/>
        <item x="140"/>
        <item x="366"/>
        <item x="171"/>
        <item x="18"/>
        <item x="187"/>
        <item x="281"/>
        <item x="53"/>
        <item x="32"/>
        <item x="70"/>
        <item x="371"/>
        <item x="244"/>
        <item x="1"/>
        <item x="45"/>
        <item x="145"/>
        <item x="20"/>
        <item x="33"/>
        <item x="105"/>
        <item x="72"/>
        <item x="297"/>
        <item x="321"/>
        <item x="23"/>
        <item x="338"/>
        <item x="66"/>
        <item x="174"/>
        <item x="294"/>
        <item x="212"/>
        <item x="129"/>
        <item x="204"/>
        <item x="74"/>
        <item x="75"/>
        <item x="265"/>
        <item x="165"/>
        <item x="312"/>
        <item x="314"/>
        <item x="93"/>
        <item x="61"/>
        <item x="249"/>
        <item x="71"/>
        <item x="170"/>
        <item x="143"/>
        <item x="156"/>
        <item x="17"/>
        <item x="284"/>
        <item x="369"/>
        <item x="134"/>
        <item x="352"/>
        <item x="199"/>
        <item x="231"/>
        <item x="138"/>
        <item x="211"/>
        <item x="87"/>
        <item x="293"/>
        <item x="270"/>
        <item x="124"/>
        <item x="80"/>
        <item x="81"/>
        <item x="232"/>
        <item x="252"/>
        <item x="365"/>
        <item x="198"/>
        <item x="269"/>
        <item x="280"/>
        <item x="337"/>
        <item x="256"/>
        <item x="100"/>
        <item x="273"/>
        <item x="248"/>
        <item x="183"/>
        <item x="189"/>
        <item x="363"/>
        <item x="160"/>
        <item x="146"/>
        <item x="217"/>
        <item x="353"/>
        <item x="37"/>
        <item x="142"/>
        <item x="320"/>
        <item x="290"/>
        <item x="88"/>
        <item x="135"/>
        <item x="242"/>
        <item x="316"/>
        <item x="184"/>
        <item x="99"/>
        <item x="166"/>
        <item x="31"/>
        <item x="9"/>
        <item x="264"/>
        <item x="351"/>
        <item x="277"/>
        <item x="120"/>
        <item x="24"/>
        <item x="69"/>
        <item x="241"/>
        <item x="341"/>
        <item x="182"/>
        <item x="84"/>
        <item x="234"/>
        <item x="279"/>
        <item x="246"/>
        <item x="287"/>
        <item x="152"/>
        <item x="128"/>
        <item x="157"/>
        <item x="11"/>
        <item x="257"/>
        <item x="345"/>
        <item x="210"/>
        <item x="332"/>
        <item x="64"/>
        <item x="266"/>
        <item x="62"/>
        <item x="167"/>
        <item x="117"/>
        <item x="101"/>
        <item x="123"/>
        <item x="282"/>
        <item x="77"/>
        <item x="296"/>
        <item x="331"/>
        <item x="304"/>
        <item x="26"/>
        <item x="302"/>
        <item x="308"/>
        <item x="148"/>
        <item x="214"/>
        <item x="16"/>
        <item x="47"/>
        <item x="177"/>
        <item x="5"/>
        <item x="225"/>
        <item x="267"/>
        <item x="19"/>
        <item x="289"/>
        <item x="286"/>
        <item x="163"/>
        <item x="322"/>
        <item x="255"/>
        <item x="305"/>
        <item x="250"/>
        <item x="89"/>
        <item x="151"/>
        <item x="347"/>
        <item x="325"/>
        <item x="288"/>
        <item x="233"/>
        <item x="260"/>
        <item x="364"/>
        <item x="14"/>
        <item x="127"/>
        <item x="10"/>
        <item x="228"/>
        <item x="361"/>
        <item x="195"/>
        <item x="39"/>
        <item x="191"/>
        <item x="368"/>
        <item x="96"/>
        <item x="201"/>
        <item x="358"/>
        <item x="309"/>
        <item x="109"/>
        <item x="247"/>
        <item x="136"/>
        <item x="36"/>
        <item x="68"/>
        <item x="315"/>
        <item x="154"/>
        <item x="51"/>
        <item x="229"/>
        <item x="329"/>
        <item x="173"/>
        <item x="107"/>
        <item x="240"/>
        <item x="168"/>
        <item x="13"/>
        <item x="227"/>
        <item x="4"/>
        <item x="83"/>
        <item x="245"/>
        <item x="243"/>
        <item x="303"/>
        <item x="38"/>
        <item x="2"/>
        <item x="97"/>
        <item x="113"/>
        <item x="310"/>
        <item x="317"/>
        <item x="121"/>
        <item x="259"/>
        <item x="230"/>
        <item x="236"/>
        <item x="118"/>
        <item x="258"/>
        <item x="133"/>
        <item x="268"/>
        <item x="137"/>
        <item x="239"/>
        <item x="306"/>
        <item x="197"/>
        <item x="92"/>
        <item x="86"/>
        <item x="336"/>
        <item x="155"/>
        <item x="176"/>
        <item x="299"/>
        <item x="340"/>
        <item x="253"/>
        <item x="301"/>
        <item x="349"/>
        <item x="343"/>
        <item x="220"/>
        <item x="178"/>
        <item x="172"/>
        <item x="54"/>
        <item x="0"/>
        <item x="295"/>
        <item x="224"/>
        <item x="12"/>
        <item x="57"/>
        <item x="162"/>
        <item x="25"/>
        <item x="311"/>
        <item x="346"/>
        <item x="73"/>
        <item x="319"/>
        <item x="339"/>
        <item x="203"/>
        <item x="335"/>
        <item x="58"/>
        <item x="370"/>
        <item x="226"/>
        <item x="275"/>
        <item x="235"/>
        <item x="112"/>
        <item x="179"/>
        <item x="115"/>
        <item x="41"/>
        <item x="362"/>
        <item x="209"/>
        <item x="116"/>
        <item x="272"/>
        <item x="67"/>
        <item x="200"/>
        <item x="278"/>
        <item x="276"/>
        <item x="102"/>
        <item x="263"/>
        <item x="215"/>
        <item x="50"/>
        <item x="122"/>
        <item x="90"/>
        <item x="60"/>
        <item x="205"/>
        <item x="271"/>
        <item x="367"/>
        <item x="6"/>
        <item x="106"/>
        <item x="35"/>
        <item x="218"/>
        <item x="219"/>
        <item x="111"/>
        <item x="190"/>
        <item x="144"/>
        <item x="300"/>
        <item x="254"/>
        <item x="221"/>
        <item x="261"/>
        <item x="44"/>
        <item x="285"/>
        <item x="213"/>
        <item x="181"/>
        <item x="348"/>
        <item x="185"/>
        <item x="298"/>
        <item x="78"/>
        <item x="131"/>
        <item x="56"/>
        <item x="98"/>
        <item x="46"/>
        <item x="175"/>
        <item x="359"/>
        <item x="323"/>
        <item x="108"/>
        <item x="28"/>
        <item x="76"/>
        <item x="119"/>
        <item x="274"/>
        <item x="48"/>
        <item x="292"/>
        <item x="324"/>
        <item x="55"/>
        <item x="139"/>
        <item x="216"/>
        <item x="223"/>
        <item x="22"/>
        <item x="94"/>
        <item x="251"/>
        <item x="42"/>
        <item x="206"/>
        <item x="326"/>
        <item x="43"/>
        <item x="208"/>
        <item x="103"/>
        <item x="7"/>
        <item x="327"/>
        <item x="15"/>
        <item x="164"/>
        <item x="8"/>
        <item x="193"/>
        <item x="114"/>
        <item x="147"/>
        <item x="194"/>
        <item x="150"/>
        <item x="141"/>
        <item x="330"/>
        <item x="222"/>
        <item x="196"/>
        <item x="34"/>
        <item x="59"/>
        <item x="333"/>
        <item x="40"/>
        <item x="355"/>
        <item x="186"/>
        <item x="372"/>
        <item t="default"/>
      </items>
    </pivotField>
    <pivotField compact="0" showAll="0"/>
    <pivotField compact="0" showAll="0"/>
    <pivotField compact="0" showAll="0"/>
    <pivotField compact="0" showAll="0"/>
  </pivotFields>
  <rowFields count="2">
    <field x="19"/>
    <field x="15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Expression_Level" fld="21" subtotal="average" baseField="0" baseItem="0"/>
  </dataFields>
  <formats count="21">
    <format dxfId="196">
      <pivotArea collapsedLevelsAreSubtotals="1" fieldPosition="0">
        <references count="1">
          <reference field="19" count="1" selected="0">
            <x v="0"/>
          </reference>
        </references>
      </pivotArea>
    </format>
    <format dxfId="197">
      <pivotArea collapsedLevelsAreSubtotals="1" fieldPosition="0">
        <references count="2">
          <reference field="15" count="1" selected="0">
            <x v="0"/>
          </reference>
          <reference field="19" count="1" selected="0">
            <x v="0"/>
          </reference>
        </references>
      </pivotArea>
    </format>
    <format dxfId="198">
      <pivotArea collapsedLevelsAreSubtotals="1" fieldPosition="0">
        <references count="2">
          <reference field="15" count="1" selected="0">
            <x v="1"/>
          </reference>
          <reference field="19" count="1" selected="0">
            <x v="0"/>
          </reference>
        </references>
      </pivotArea>
    </format>
    <format dxfId="199">
      <pivotArea collapsedLevelsAreSubtotals="1" fieldPosition="0">
        <references count="2">
          <reference field="15" count="1" selected="0">
            <x v="2"/>
          </reference>
          <reference field="19" count="1" selected="0">
            <x v="0"/>
          </reference>
        </references>
      </pivotArea>
    </format>
    <format dxfId="200">
      <pivotArea collapsedLevelsAreSubtotals="1" fieldPosition="0">
        <references count="1">
          <reference field="19" count="1" selected="0">
            <x v="1"/>
          </reference>
        </references>
      </pivotArea>
    </format>
    <format dxfId="201">
      <pivotArea collapsedLevelsAreSubtotals="1" fieldPosition="0">
        <references count="2">
          <reference field="15" count="1" selected="0">
            <x v="0"/>
          </reference>
          <reference field="19" count="1" selected="0">
            <x v="1"/>
          </reference>
        </references>
      </pivotArea>
    </format>
    <format dxfId="202">
      <pivotArea collapsedLevelsAreSubtotals="1" fieldPosition="0">
        <references count="2">
          <reference field="15" count="1" selected="0">
            <x v="1"/>
          </reference>
          <reference field="19" count="1" selected="0">
            <x v="1"/>
          </reference>
        </references>
      </pivotArea>
    </format>
    <format dxfId="203">
      <pivotArea collapsedLevelsAreSubtotals="1" fieldPosition="0">
        <references count="2">
          <reference field="15" count="1" selected="0">
            <x v="2"/>
          </reference>
          <reference field="19" count="1" selected="0">
            <x v="1"/>
          </reference>
        </references>
      </pivotArea>
    </format>
    <format dxfId="204">
      <pivotArea collapsedLevelsAreSubtotals="1" fieldPosition="0">
        <references count="1">
          <reference field="19" count="1" selected="0">
            <x v="2"/>
          </reference>
        </references>
      </pivotArea>
    </format>
    <format dxfId="205">
      <pivotArea collapsedLevelsAreSubtotals="1" fieldPosition="0">
        <references count="2">
          <reference field="15" count="1" selected="0">
            <x v="0"/>
          </reference>
          <reference field="19" count="1" selected="0">
            <x v="2"/>
          </reference>
        </references>
      </pivotArea>
    </format>
    <format dxfId="206">
      <pivotArea collapsedLevelsAreSubtotals="1" fieldPosition="0">
        <references count="2">
          <reference field="15" count="1" selected="0">
            <x v="1"/>
          </reference>
          <reference field="19" count="1" selected="0">
            <x v="2"/>
          </reference>
        </references>
      </pivotArea>
    </format>
    <format dxfId="207">
      <pivotArea collapsedLevelsAreSubtotals="1" fieldPosition="0">
        <references count="2">
          <reference field="15" count="1" selected="0">
            <x v="2"/>
          </reference>
          <reference field="19" count="1" selected="0">
            <x v="2"/>
          </reference>
        </references>
      </pivotArea>
    </format>
    <format dxfId="208">
      <pivotArea collapsedLevelsAreSubtotals="1" fieldPosition="0">
        <references count="1">
          <reference field="19" count="1" selected="0">
            <x v="3"/>
          </reference>
        </references>
      </pivotArea>
    </format>
    <format dxfId="209">
      <pivotArea collapsedLevelsAreSubtotals="1" fieldPosition="0">
        <references count="2">
          <reference field="15" count="1" selected="0">
            <x v="0"/>
          </reference>
          <reference field="19" count="1" selected="0">
            <x v="3"/>
          </reference>
        </references>
      </pivotArea>
    </format>
    <format dxfId="210">
      <pivotArea collapsedLevelsAreSubtotals="1" fieldPosition="0">
        <references count="2">
          <reference field="15" count="1" selected="0">
            <x v="1"/>
          </reference>
          <reference field="19" count="1" selected="0">
            <x v="3"/>
          </reference>
        </references>
      </pivotArea>
    </format>
    <format dxfId="211">
      <pivotArea collapsedLevelsAreSubtotals="1" fieldPosition="0">
        <references count="2">
          <reference field="15" count="1" selected="0">
            <x v="2"/>
          </reference>
          <reference field="19" count="1" selected="0">
            <x v="3"/>
          </reference>
        </references>
      </pivotArea>
    </format>
    <format dxfId="212">
      <pivotArea collapsedLevelsAreSubtotals="1" fieldPosition="0">
        <references count="1">
          <reference field="19" count="1" selected="0">
            <x v="4"/>
          </reference>
        </references>
      </pivotArea>
    </format>
    <format dxfId="213">
      <pivotArea collapsedLevelsAreSubtotals="1" fieldPosition="0">
        <references count="2">
          <reference field="15" count="1" selected="0">
            <x v="0"/>
          </reference>
          <reference field="19" count="1" selected="0">
            <x v="4"/>
          </reference>
        </references>
      </pivotArea>
    </format>
    <format dxfId="214">
      <pivotArea collapsedLevelsAreSubtotals="1" fieldPosition="0">
        <references count="2">
          <reference field="15" count="1" selected="0">
            <x v="1"/>
          </reference>
          <reference field="19" count="1" selected="0">
            <x v="4"/>
          </reference>
        </references>
      </pivotArea>
    </format>
    <format dxfId="215">
      <pivotArea collapsedLevelsAreSubtotals="1" fieldPosition="0">
        <references count="2">
          <reference field="15" count="1" selected="0">
            <x v="2"/>
          </reference>
          <reference field="19" count="1" selected="0">
            <x v="4"/>
          </reference>
        </references>
      </pivotArea>
    </format>
    <format dxfId="216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2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7">
        <item x="0"/>
        <item x="4"/>
        <item x="2"/>
        <item x="3"/>
        <item x="1"/>
        <item x="5"/>
        <item t="default"/>
      </items>
    </pivotField>
    <pivotField compact="0" showAll="0">
      <items count="7">
        <item x="3"/>
        <item x="1"/>
        <item x="0"/>
        <item x="4"/>
        <item x="2"/>
        <item x="5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22">
        <item x="13"/>
        <item x="9"/>
        <item x="10"/>
        <item x="7"/>
        <item x="6"/>
        <item x="8"/>
        <item x="5"/>
        <item x="2"/>
        <item x="15"/>
        <item x="18"/>
        <item x="0"/>
        <item x="16"/>
        <item x="11"/>
        <item x="1"/>
        <item x="19"/>
        <item x="3"/>
        <item x="17"/>
        <item x="14"/>
        <item x="4"/>
        <item x="12"/>
        <item x="20"/>
        <item t="default"/>
      </items>
    </pivotField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>
      <items count="6">
        <item x="1"/>
        <item x="2"/>
        <item x="3"/>
        <item x="0"/>
        <item x="4"/>
        <item t="default"/>
      </items>
    </pivotField>
    <pivotField compact="0" showAll="0">
      <items count="758">
        <item x="26"/>
        <item x="580"/>
        <item x="410"/>
        <item x="340"/>
        <item x="457"/>
        <item x="417"/>
        <item x="124"/>
        <item x="378"/>
        <item x="183"/>
        <item x="260"/>
        <item x="527"/>
        <item x="485"/>
        <item x="56"/>
        <item x="670"/>
        <item x="21"/>
        <item x="589"/>
        <item x="238"/>
        <item x="139"/>
        <item x="561"/>
        <item x="745"/>
        <item x="374"/>
        <item x="746"/>
        <item x="459"/>
        <item x="556"/>
        <item x="479"/>
        <item x="245"/>
        <item x="406"/>
        <item x="22"/>
        <item x="52"/>
        <item x="588"/>
        <item x="726"/>
        <item x="375"/>
        <item x="717"/>
        <item x="342"/>
        <item x="311"/>
        <item x="617"/>
        <item x="313"/>
        <item x="552"/>
        <item x="54"/>
        <item x="462"/>
        <item x="628"/>
        <item x="694"/>
        <item x="112"/>
        <item x="391"/>
        <item x="147"/>
        <item x="101"/>
        <item x="632"/>
        <item x="293"/>
        <item x="212"/>
        <item x="43"/>
        <item x="667"/>
        <item x="280"/>
        <item x="155"/>
        <item x="208"/>
        <item x="637"/>
        <item x="167"/>
        <item x="528"/>
        <item x="65"/>
        <item x="709"/>
        <item x="398"/>
        <item x="575"/>
        <item x="367"/>
        <item x="432"/>
        <item x="471"/>
        <item x="239"/>
        <item x="170"/>
        <item x="9"/>
        <item x="38"/>
        <item x="164"/>
        <item x="350"/>
        <item x="700"/>
        <item x="540"/>
        <item x="697"/>
        <item x="268"/>
        <item x="679"/>
        <item x="230"/>
        <item x="522"/>
        <item x="502"/>
        <item x="148"/>
        <item x="641"/>
        <item x="64"/>
        <item x="400"/>
        <item x="446"/>
        <item x="356"/>
        <item x="562"/>
        <item x="253"/>
        <item x="523"/>
        <item x="142"/>
        <item x="706"/>
        <item x="157"/>
        <item x="243"/>
        <item x="265"/>
        <item x="190"/>
        <item x="525"/>
        <item x="44"/>
        <item x="623"/>
        <item x="59"/>
        <item x="744"/>
        <item x="15"/>
        <item x="209"/>
        <item x="233"/>
        <item x="431"/>
        <item x="72"/>
        <item x="570"/>
        <item x="488"/>
        <item x="683"/>
        <item x="469"/>
        <item x="650"/>
        <item x="626"/>
        <item x="646"/>
        <item x="395"/>
        <item x="152"/>
        <item x="266"/>
        <item x="366"/>
        <item x="336"/>
        <item x="686"/>
        <item x="206"/>
        <item x="328"/>
        <item x="364"/>
        <item x="19"/>
        <item x="448"/>
        <item x="583"/>
        <item x="216"/>
        <item x="83"/>
        <item x="66"/>
        <item x="507"/>
        <item x="510"/>
        <item x="511"/>
        <item x="324"/>
        <item x="329"/>
        <item x="218"/>
        <item x="472"/>
        <item x="186"/>
        <item x="298"/>
        <item x="371"/>
        <item x="317"/>
        <item x="39"/>
        <item x="590"/>
        <item x="727"/>
        <item x="297"/>
        <item x="516"/>
        <item x="438"/>
        <item x="535"/>
        <item x="473"/>
        <item x="658"/>
        <item x="204"/>
        <item x="309"/>
        <item x="98"/>
        <item x="333"/>
        <item x="134"/>
        <item x="647"/>
        <item x="47"/>
        <item x="480"/>
        <item x="294"/>
        <item x="755"/>
        <item x="665"/>
        <item x="45"/>
        <item x="654"/>
        <item x="175"/>
        <item x="673"/>
        <item x="321"/>
        <item x="498"/>
        <item x="404"/>
        <item x="482"/>
        <item x="269"/>
        <item x="608"/>
        <item x="728"/>
        <item x="514"/>
        <item x="521"/>
        <item x="611"/>
        <item x="682"/>
        <item x="452"/>
        <item x="327"/>
        <item x="158"/>
        <item x="455"/>
        <item x="397"/>
        <item x="195"/>
        <item x="512"/>
        <item x="458"/>
        <item x="649"/>
        <item x="557"/>
        <item x="365"/>
        <item x="500"/>
        <item x="585"/>
        <item x="122"/>
        <item x="273"/>
        <item x="284"/>
        <item x="13"/>
        <item x="741"/>
        <item x="277"/>
        <item x="232"/>
        <item x="531"/>
        <item x="449"/>
        <item x="564"/>
        <item x="349"/>
        <item x="577"/>
        <item x="425"/>
        <item x="534"/>
        <item x="166"/>
        <item x="730"/>
        <item x="732"/>
        <item x="627"/>
        <item x="285"/>
        <item x="566"/>
        <item x="542"/>
        <item x="586"/>
        <item x="220"/>
        <item x="423"/>
        <item x="29"/>
        <item x="651"/>
        <item x="492"/>
        <item x="357"/>
        <item x="78"/>
        <item x="464"/>
        <item x="427"/>
        <item x="202"/>
        <item x="81"/>
        <item x="657"/>
        <item x="450"/>
        <item x="737"/>
        <item x="751"/>
        <item x="591"/>
        <item x="191"/>
        <item x="154"/>
        <item x="192"/>
        <item x="602"/>
        <item x="126"/>
        <item x="414"/>
        <item x="338"/>
        <item x="553"/>
        <item x="483"/>
        <item x="198"/>
        <item x="162"/>
        <item x="640"/>
        <item x="560"/>
        <item x="306"/>
        <item x="392"/>
        <item x="715"/>
        <item x="31"/>
        <item x="385"/>
        <item x="135"/>
        <item x="569"/>
        <item x="408"/>
        <item x="236"/>
        <item x="140"/>
        <item x="418"/>
        <item x="545"/>
        <item x="255"/>
        <item x="6"/>
        <item x="725"/>
        <item x="94"/>
        <item x="456"/>
        <item x="691"/>
        <item x="704"/>
        <item x="315"/>
        <item x="541"/>
        <item x="618"/>
        <item x="308"/>
        <item x="61"/>
        <item x="399"/>
        <item x="360"/>
        <item x="428"/>
        <item x="567"/>
        <item x="538"/>
        <item x="539"/>
        <item x="104"/>
        <item x="559"/>
        <item x="634"/>
        <item x="344"/>
        <item x="74"/>
        <item x="738"/>
        <item x="347"/>
        <item x="77"/>
        <item x="439"/>
        <item x="105"/>
        <item x="533"/>
        <item x="530"/>
        <item x="606"/>
        <item x="752"/>
        <item x="415"/>
        <item x="165"/>
        <item x="368"/>
        <item x="614"/>
        <item x="341"/>
        <item x="491"/>
        <item x="211"/>
        <item x="231"/>
        <item x="696"/>
        <item x="537"/>
        <item x="689"/>
        <item x="664"/>
        <item x="169"/>
        <item x="201"/>
        <item x="91"/>
        <item x="442"/>
        <item x="445"/>
        <item x="710"/>
        <item x="601"/>
        <item x="550"/>
        <item x="422"/>
        <item x="108"/>
        <item x="224"/>
        <item x="163"/>
        <item x="420"/>
        <item x="546"/>
        <item x="695"/>
        <item x="551"/>
        <item x="587"/>
        <item x="486"/>
        <item x="319"/>
        <item x="598"/>
        <item x="581"/>
        <item x="721"/>
        <item x="353"/>
        <item x="401"/>
        <item x="515"/>
        <item x="281"/>
        <item x="509"/>
        <item x="753"/>
        <item x="629"/>
        <item x="370"/>
        <item x="622"/>
        <item x="227"/>
        <item x="53"/>
        <item x="58"/>
        <item x="643"/>
        <item x="354"/>
        <item x="463"/>
        <item x="95"/>
        <item x="261"/>
        <item x="290"/>
        <item x="579"/>
        <item x="703"/>
        <item x="461"/>
        <item x="635"/>
        <item x="518"/>
        <item x="115"/>
        <item x="712"/>
        <item x="76"/>
        <item x="99"/>
        <item x="259"/>
        <item x="121"/>
        <item x="330"/>
        <item x="119"/>
        <item x="118"/>
        <item x="106"/>
        <item x="484"/>
        <item x="133"/>
        <item x="71"/>
        <item x="60"/>
        <item x="12"/>
        <item x="474"/>
        <item x="322"/>
        <item x="687"/>
        <item x="416"/>
        <item x="655"/>
        <item x="701"/>
        <item x="62"/>
        <item x="411"/>
        <item x="532"/>
        <item x="221"/>
        <item x="719"/>
        <item x="656"/>
        <item x="197"/>
        <item x="127"/>
        <item x="251"/>
        <item x="633"/>
        <item x="27"/>
        <item x="619"/>
        <item x="394"/>
        <item x="403"/>
        <item x="168"/>
        <item x="125"/>
        <item x="625"/>
        <item x="16"/>
        <item x="355"/>
        <item x="107"/>
        <item x="396"/>
        <item x="377"/>
        <item x="271"/>
        <item x="666"/>
        <item x="447"/>
        <item x="307"/>
        <item x="100"/>
        <item x="97"/>
        <item x="274"/>
        <item x="506"/>
        <item x="672"/>
        <item x="30"/>
        <item x="441"/>
        <item x="563"/>
        <item x="205"/>
        <item x="582"/>
        <item x="46"/>
        <item x="572"/>
        <item x="429"/>
        <item x="87"/>
        <item x="716"/>
        <item x="254"/>
        <item x="252"/>
        <item x="373"/>
        <item x="652"/>
        <item x="723"/>
        <item x="742"/>
        <item x="592"/>
        <item x="222"/>
        <item x="200"/>
        <item x="615"/>
        <item x="476"/>
        <item x="690"/>
        <item x="421"/>
        <item x="299"/>
        <item x="685"/>
        <item x="49"/>
        <item x="604"/>
        <item x="565"/>
        <item x="621"/>
        <item x="412"/>
        <item x="660"/>
        <item x="258"/>
        <item x="437"/>
        <item x="137"/>
        <item x="247"/>
        <item x="318"/>
        <item x="103"/>
        <item x="554"/>
        <item x="150"/>
        <item x="149"/>
        <item x="314"/>
        <item x="639"/>
        <item x="292"/>
        <item x="226"/>
        <item x="37"/>
        <item x="402"/>
        <item x="361"/>
        <item x="517"/>
        <item x="743"/>
        <item x="345"/>
        <item x="326"/>
        <item x="128"/>
        <item x="325"/>
        <item x="731"/>
        <item x="493"/>
        <item x="241"/>
        <item x="331"/>
        <item x="320"/>
        <item x="111"/>
        <item x="35"/>
        <item x="722"/>
        <item x="262"/>
        <item x="494"/>
        <item x="305"/>
        <item x="387"/>
        <item x="242"/>
        <item x="645"/>
        <item x="289"/>
        <item x="210"/>
        <item x="548"/>
        <item x="18"/>
        <item x="520"/>
        <item x="596"/>
        <item x="724"/>
        <item x="302"/>
        <item x="180"/>
        <item x="283"/>
        <item x="384"/>
        <item x="526"/>
        <item x="362"/>
        <item x="63"/>
        <item x="487"/>
        <item x="234"/>
        <item x="547"/>
        <item x="113"/>
        <item x="68"/>
        <item x="110"/>
        <item x="599"/>
        <item x="659"/>
        <item x="610"/>
        <item x="188"/>
        <item x="451"/>
        <item x="693"/>
        <item x="434"/>
        <item x="381"/>
        <item x="229"/>
        <item x="359"/>
        <item x="272"/>
        <item x="116"/>
        <item x="151"/>
        <item x="729"/>
        <item x="574"/>
        <item x="11"/>
        <item x="2"/>
        <item x="80"/>
        <item x="264"/>
        <item x="85"/>
        <item x="130"/>
        <item x="609"/>
        <item x="505"/>
        <item x="131"/>
        <item x="185"/>
        <item x="296"/>
        <item x="393"/>
        <item x="383"/>
        <item x="348"/>
        <item x="136"/>
        <item x="182"/>
        <item x="88"/>
        <item x="413"/>
        <item x="661"/>
        <item x="23"/>
        <item x="75"/>
        <item x="90"/>
        <item x="250"/>
        <item x="5"/>
        <item x="501"/>
        <item x="41"/>
        <item x="481"/>
        <item x="42"/>
        <item x="669"/>
        <item x="684"/>
        <item x="711"/>
        <item x="146"/>
        <item x="453"/>
        <item x="174"/>
        <item x="668"/>
        <item x="465"/>
        <item x="282"/>
        <item x="32"/>
        <item x="184"/>
        <item x="55"/>
        <item x="489"/>
        <item x="288"/>
        <item x="708"/>
        <item x="648"/>
        <item x="36"/>
        <item x="430"/>
        <item x="141"/>
        <item x="244"/>
        <item x="301"/>
        <item x="426"/>
        <item x="389"/>
        <item x="270"/>
        <item x="257"/>
        <item x="219"/>
        <item x="138"/>
        <item x="638"/>
        <item x="73"/>
        <item x="249"/>
        <item x="207"/>
        <item x="129"/>
        <item x="380"/>
        <item x="750"/>
        <item x="594"/>
        <item x="467"/>
        <item x="194"/>
        <item x="86"/>
        <item x="223"/>
        <item x="332"/>
        <item x="120"/>
        <item x="117"/>
        <item x="616"/>
        <item x="93"/>
        <item x="187"/>
        <item x="612"/>
        <item x="470"/>
        <item x="503"/>
        <item x="496"/>
        <item x="1"/>
        <item x="51"/>
        <item x="240"/>
        <item x="335"/>
        <item x="70"/>
        <item x="92"/>
        <item x="172"/>
        <item x="310"/>
        <item x="176"/>
        <item x="181"/>
        <item x="17"/>
        <item x="718"/>
        <item x="478"/>
        <item x="189"/>
        <item x="351"/>
        <item x="702"/>
        <item x="196"/>
        <item x="173"/>
        <item x="217"/>
        <item x="490"/>
        <item x="235"/>
        <item x="89"/>
        <item x="593"/>
        <item x="179"/>
        <item x="20"/>
        <item x="228"/>
        <item x="571"/>
        <item x="160"/>
        <item x="7"/>
        <item x="358"/>
        <item x="144"/>
        <item x="736"/>
        <item x="624"/>
        <item x="237"/>
        <item x="382"/>
        <item x="508"/>
        <item x="720"/>
        <item x="747"/>
        <item x="14"/>
        <item x="499"/>
        <item x="524"/>
        <item x="549"/>
        <item x="692"/>
        <item x="33"/>
        <item x="287"/>
        <item x="376"/>
        <item x="714"/>
        <item x="3"/>
        <item x="454"/>
        <item x="734"/>
        <item x="735"/>
        <item x="440"/>
        <item x="466"/>
        <item x="642"/>
        <item x="79"/>
        <item x="352"/>
        <item x="707"/>
        <item x="424"/>
        <item x="536"/>
        <item x="605"/>
        <item x="443"/>
        <item x="630"/>
        <item x="214"/>
        <item x="199"/>
        <item x="28"/>
        <item x="663"/>
        <item x="544"/>
        <item x="748"/>
        <item x="193"/>
        <item x="178"/>
        <item x="597"/>
        <item x="57"/>
        <item x="386"/>
        <item x="102"/>
        <item x="246"/>
        <item x="50"/>
        <item x="475"/>
        <item x="67"/>
        <item x="555"/>
        <item x="267"/>
        <item x="161"/>
        <item x="304"/>
        <item x="388"/>
        <item x="379"/>
        <item x="177"/>
        <item x="433"/>
        <item x="631"/>
        <item x="312"/>
        <item x="123"/>
        <item x="132"/>
        <item x="620"/>
        <item x="576"/>
        <item x="300"/>
        <item x="275"/>
        <item x="339"/>
        <item x="159"/>
        <item x="436"/>
        <item x="334"/>
        <item x="680"/>
        <item x="675"/>
        <item x="543"/>
        <item x="662"/>
        <item x="468"/>
        <item x="681"/>
        <item x="435"/>
        <item x="8"/>
        <item x="713"/>
        <item x="600"/>
        <item x="390"/>
        <item x="256"/>
        <item x="529"/>
        <item x="671"/>
        <item x="705"/>
        <item x="337"/>
        <item x="145"/>
        <item x="114"/>
        <item x="677"/>
        <item x="497"/>
        <item x="754"/>
        <item x="363"/>
        <item x="504"/>
        <item x="372"/>
        <item x="276"/>
        <item x="346"/>
        <item x="558"/>
        <item x="343"/>
        <item x="84"/>
        <item x="676"/>
        <item x="578"/>
        <item x="286"/>
        <item x="573"/>
        <item x="407"/>
        <item x="25"/>
        <item x="740"/>
        <item x="295"/>
        <item x="4"/>
        <item x="69"/>
        <item x="644"/>
        <item x="568"/>
        <item x="10"/>
        <item x="24"/>
        <item x="653"/>
        <item x="263"/>
        <item x="733"/>
        <item x="0"/>
        <item x="613"/>
        <item x="279"/>
        <item x="109"/>
        <item x="316"/>
        <item x="636"/>
        <item x="369"/>
        <item x="444"/>
        <item x="40"/>
        <item x="82"/>
        <item x="674"/>
        <item x="278"/>
        <item x="495"/>
        <item x="698"/>
        <item x="248"/>
        <item x="607"/>
        <item x="584"/>
        <item x="225"/>
        <item x="48"/>
        <item x="519"/>
        <item x="409"/>
        <item x="291"/>
        <item x="143"/>
        <item x="34"/>
        <item x="477"/>
        <item x="323"/>
        <item x="513"/>
        <item x="460"/>
        <item x="303"/>
        <item x="688"/>
        <item x="156"/>
        <item x="215"/>
        <item x="419"/>
        <item x="405"/>
        <item x="699"/>
        <item x="171"/>
        <item x="739"/>
        <item x="96"/>
        <item x="203"/>
        <item x="749"/>
        <item x="153"/>
        <item x="213"/>
        <item x="678"/>
        <item x="595"/>
        <item x="603"/>
        <item x="756"/>
        <item t="default"/>
      </items>
    </pivotField>
    <pivotField compact="0" showAll="0">
      <items count="773">
        <item x="601"/>
        <item x="506"/>
        <item x="360"/>
        <item x="583"/>
        <item x="565"/>
        <item x="578"/>
        <item x="546"/>
        <item x="687"/>
        <item x="395"/>
        <item x="126"/>
        <item x="26"/>
        <item x="43"/>
        <item x="571"/>
        <item x="405"/>
        <item x="744"/>
        <item x="216"/>
        <item x="679"/>
        <item x="633"/>
        <item x="455"/>
        <item x="152"/>
        <item x="738"/>
        <item x="170"/>
        <item x="327"/>
        <item x="54"/>
        <item x="729"/>
        <item x="22"/>
        <item x="654"/>
        <item x="363"/>
        <item x="668"/>
        <item x="375"/>
        <item x="56"/>
        <item x="490"/>
        <item x="761"/>
        <item x="496"/>
        <item x="59"/>
        <item x="244"/>
        <item x="309"/>
        <item x="64"/>
        <item x="478"/>
        <item x="267"/>
        <item x="481"/>
        <item x="420"/>
        <item x="709"/>
        <item x="289"/>
        <item x="21"/>
        <item x="609"/>
        <item x="52"/>
        <item x="172"/>
        <item x="365"/>
        <item x="547"/>
        <item x="188"/>
        <item x="645"/>
        <item x="233"/>
        <item x="212"/>
        <item x="439"/>
        <item x="250"/>
        <item x="423"/>
        <item x="394"/>
        <item x="72"/>
        <item x="345"/>
        <item x="65"/>
        <item x="667"/>
        <item x="410"/>
        <item x="277"/>
        <item x="385"/>
        <item x="433"/>
        <item x="429"/>
        <item x="144"/>
        <item x="413"/>
        <item x="325"/>
        <item x="220"/>
        <item x="718"/>
        <item x="669"/>
        <item x="716"/>
        <item x="39"/>
        <item x="477"/>
        <item x="114"/>
        <item x="696"/>
        <item x="427"/>
        <item x="259"/>
        <item x="357"/>
        <item x="599"/>
        <item x="648"/>
        <item x="562"/>
        <item x="596"/>
        <item x="390"/>
        <item x="252"/>
        <item x="664"/>
        <item x="213"/>
        <item x="158"/>
        <item x="274"/>
        <item x="102"/>
        <item x="469"/>
        <item x="344"/>
        <item x="720"/>
        <item x="520"/>
        <item x="711"/>
        <item x="610"/>
        <item x="746"/>
        <item x="164"/>
        <item x="84"/>
        <item x="15"/>
        <item x="417"/>
        <item x="279"/>
        <item x="305"/>
        <item x="454"/>
        <item x="662"/>
        <item x="304"/>
        <item x="634"/>
        <item x="509"/>
        <item x="573"/>
        <item x="544"/>
        <item x="580"/>
        <item x="685"/>
        <item x="162"/>
        <item x="745"/>
        <item x="723"/>
        <item x="502"/>
        <item x="527"/>
        <item x="175"/>
        <item x="9"/>
        <item x="38"/>
        <item x="354"/>
        <item x="340"/>
        <item x="210"/>
        <item x="598"/>
        <item x="343"/>
        <item x="246"/>
        <item x="676"/>
        <item x="699"/>
        <item x="581"/>
        <item x="260"/>
        <item x="542"/>
        <item x="488"/>
        <item x="278"/>
        <item x="143"/>
        <item x="66"/>
        <item x="153"/>
        <item x="276"/>
        <item x="196"/>
        <item x="99"/>
        <item x="335"/>
        <item x="463"/>
        <item x="604"/>
        <item x="47"/>
        <item x="730"/>
        <item x="236"/>
        <item x="555"/>
        <item x="541"/>
        <item x="386"/>
        <item x="514"/>
        <item x="273"/>
        <item x="329"/>
        <item x="192"/>
        <item x="690"/>
        <item x="124"/>
        <item x="350"/>
        <item x="419"/>
        <item x="13"/>
        <item x="201"/>
        <item x="286"/>
        <item x="563"/>
        <item x="726"/>
        <item x="536"/>
        <item x="358"/>
        <item x="533"/>
        <item x="584"/>
        <item x="448"/>
        <item x="704"/>
        <item x="754"/>
        <item x="656"/>
        <item x="332"/>
        <item x="678"/>
        <item x="312"/>
        <item x="157"/>
        <item x="564"/>
        <item x="627"/>
        <item x="594"/>
        <item x="522"/>
        <item x="205"/>
        <item x="322"/>
        <item x="764"/>
        <item x="44"/>
        <item x="300"/>
        <item x="560"/>
        <item x="198"/>
        <item x="643"/>
        <item x="128"/>
        <item x="459"/>
        <item x="591"/>
        <item x="431"/>
        <item x="489"/>
        <item x="146"/>
        <item x="339"/>
        <item x="263"/>
        <item x="303"/>
        <item x="661"/>
        <item x="666"/>
        <item x="534"/>
        <item x="446"/>
        <item x="574"/>
        <item x="503"/>
        <item x="742"/>
        <item x="556"/>
        <item x="554"/>
        <item x="19"/>
        <item x="450"/>
        <item x="380"/>
        <item x="82"/>
        <item x="765"/>
        <item x="724"/>
        <item x="529"/>
        <item x="222"/>
        <item x="370"/>
        <item x="703"/>
        <item x="735"/>
        <item x="180"/>
        <item x="313"/>
        <item x="575"/>
        <item x="588"/>
        <item x="197"/>
        <item x="512"/>
        <item x="644"/>
        <item x="621"/>
        <item x="461"/>
        <item x="579"/>
        <item x="406"/>
        <item x="491"/>
        <item x="45"/>
        <item x="165"/>
        <item x="632"/>
        <item x="549"/>
        <item x="138"/>
        <item x="482"/>
        <item x="422"/>
        <item x="507"/>
        <item x="710"/>
        <item x="330"/>
        <item x="684"/>
        <item x="671"/>
        <item x="468"/>
        <item x="582"/>
        <item x="293"/>
        <item x="207"/>
        <item x="649"/>
        <item x="436"/>
        <item x="107"/>
        <item x="106"/>
        <item x="473"/>
        <item x="437"/>
        <item x="388"/>
        <item x="530"/>
        <item x="424"/>
        <item x="284"/>
        <item x="347"/>
        <item x="719"/>
        <item x="767"/>
        <item x="235"/>
        <item x="736"/>
        <item x="646"/>
        <item x="471"/>
        <item x="367"/>
        <item x="215"/>
        <item x="161"/>
        <item x="750"/>
        <item x="294"/>
        <item x="743"/>
        <item x="451"/>
        <item x="606"/>
        <item x="31"/>
        <item x="553"/>
        <item x="572"/>
        <item x="29"/>
        <item x="561"/>
        <item x="421"/>
        <item x="321"/>
        <item x="78"/>
        <item x="123"/>
        <item x="290"/>
        <item x="6"/>
        <item x="232"/>
        <item x="438"/>
        <item x="174"/>
        <item x="550"/>
        <item x="223"/>
        <item x="356"/>
        <item x="734"/>
        <item x="169"/>
        <item x="58"/>
        <item x="466"/>
        <item x="337"/>
        <item x="462"/>
        <item x="559"/>
        <item x="616"/>
        <item x="675"/>
        <item x="62"/>
        <item x="230"/>
        <item x="171"/>
        <item x="498"/>
        <item x="445"/>
        <item x="319"/>
        <item x="60"/>
        <item x="378"/>
        <item x="532"/>
        <item x="121"/>
        <item x="483"/>
        <item x="721"/>
        <item x="108"/>
        <item x="602"/>
        <item x="570"/>
        <item x="440"/>
        <item x="362"/>
        <item x="234"/>
        <item x="268"/>
        <item x="299"/>
        <item x="96"/>
        <item x="476"/>
        <item x="334"/>
        <item x="333"/>
        <item x="139"/>
        <item x="101"/>
        <item x="766"/>
        <item x="635"/>
        <item x="557"/>
        <item x="739"/>
        <item x="691"/>
        <item x="511"/>
        <item x="74"/>
        <item x="71"/>
        <item x="715"/>
        <item x="119"/>
        <item x="368"/>
        <item x="617"/>
        <item x="77"/>
        <item x="173"/>
        <item x="552"/>
        <item x="505"/>
        <item x="226"/>
        <item x="61"/>
        <item x="452"/>
        <item x="492"/>
        <item x="636"/>
        <item x="30"/>
        <item x="206"/>
        <item x="640"/>
        <item x="670"/>
        <item x="651"/>
        <item x="659"/>
        <item x="755"/>
        <item x="714"/>
        <item x="650"/>
        <item x="600"/>
        <item x="258"/>
        <item x="683"/>
        <item x="93"/>
        <item x="37"/>
        <item x="465"/>
        <item x="425"/>
        <item x="16"/>
        <item x="76"/>
        <item x="613"/>
        <item x="689"/>
        <item x="576"/>
        <item x="707"/>
        <item x="442"/>
        <item x="712"/>
        <item x="302"/>
        <item x="737"/>
        <item x="261"/>
        <item x="464"/>
        <item x="672"/>
        <item x="760"/>
        <item x="127"/>
        <item x="46"/>
        <item x="348"/>
        <item x="254"/>
        <item x="111"/>
        <item x="97"/>
        <item x="12"/>
        <item x="727"/>
        <item x="607"/>
        <item x="674"/>
        <item x="480"/>
        <item x="538"/>
        <item x="133"/>
        <item x="758"/>
        <item x="642"/>
        <item x="53"/>
        <item x="100"/>
        <item x="593"/>
        <item x="204"/>
        <item x="129"/>
        <item x="154"/>
        <item x="373"/>
        <item x="396"/>
        <item x="346"/>
        <item x="229"/>
        <item x="320"/>
        <item x="63"/>
        <item x="117"/>
        <item x="115"/>
        <item x="353"/>
        <item x="266"/>
        <item x="701"/>
        <item x="443"/>
        <item x="315"/>
        <item x="185"/>
        <item x="416"/>
        <item x="145"/>
        <item x="383"/>
        <item x="652"/>
        <item x="515"/>
        <item x="248"/>
        <item x="214"/>
        <item x="137"/>
        <item x="748"/>
        <item x="113"/>
        <item x="618"/>
        <item x="18"/>
        <item x="741"/>
        <item x="155"/>
        <item x="655"/>
        <item x="623"/>
        <item x="567"/>
        <item x="545"/>
        <item x="472"/>
        <item x="504"/>
        <item x="209"/>
        <item x="568"/>
        <item x="381"/>
        <item x="231"/>
        <item x="379"/>
        <item x="397"/>
        <item x="528"/>
        <item x="626"/>
        <item x="374"/>
        <item x="341"/>
        <item x="508"/>
        <item x="638"/>
        <item x="68"/>
        <item x="577"/>
        <item x="257"/>
        <item x="27"/>
        <item x="281"/>
        <item x="156"/>
        <item x="639"/>
        <item x="426"/>
        <item x="238"/>
        <item x="247"/>
        <item x="308"/>
        <item x="110"/>
        <item x="159"/>
        <item x="418"/>
        <item x="470"/>
        <item x="705"/>
        <item x="625"/>
        <item x="404"/>
        <item x="5"/>
        <item x="434"/>
        <item x="749"/>
        <item x="407"/>
        <item x="140"/>
        <item x="243"/>
        <item x="475"/>
        <item x="104"/>
        <item x="708"/>
        <item x="453"/>
        <item x="147"/>
        <item x="262"/>
        <item x="89"/>
        <item x="292"/>
        <item x="131"/>
        <item x="135"/>
        <item x="190"/>
        <item x="392"/>
        <item x="194"/>
        <item x="41"/>
        <item x="307"/>
        <item x="603"/>
        <item x="611"/>
        <item x="224"/>
        <item x="460"/>
        <item x="494"/>
        <item x="768"/>
        <item x="513"/>
        <item x="585"/>
        <item x="311"/>
        <item x="11"/>
        <item x="187"/>
        <item x="298"/>
        <item x="42"/>
        <item x="141"/>
        <item x="569"/>
        <item x="328"/>
        <item x="75"/>
        <item x="49"/>
        <item x="526"/>
        <item x="484"/>
        <item x="282"/>
        <item x="132"/>
        <item x="191"/>
        <item x="763"/>
        <item x="2"/>
        <item x="90"/>
        <item x="35"/>
        <item x="537"/>
        <item x="134"/>
        <item x="269"/>
        <item x="516"/>
        <item x="747"/>
        <item x="177"/>
        <item x="449"/>
        <item x="409"/>
        <item x="403"/>
        <item x="364"/>
        <item x="297"/>
        <item x="728"/>
        <item x="86"/>
        <item x="151"/>
        <item x="118"/>
        <item x="349"/>
        <item x="237"/>
        <item x="91"/>
        <item x="608"/>
        <item x="521"/>
        <item x="314"/>
        <item x="558"/>
        <item x="387"/>
        <item x="401"/>
        <item x="1"/>
        <item x="130"/>
        <item x="681"/>
        <item x="377"/>
        <item x="540"/>
        <item x="178"/>
        <item x="753"/>
        <item x="740"/>
        <item x="415"/>
        <item x="331"/>
        <item x="55"/>
        <item x="500"/>
        <item x="241"/>
        <item x="51"/>
        <item x="240"/>
        <item x="435"/>
        <item x="680"/>
        <item x="751"/>
        <item x="752"/>
        <item x="184"/>
        <item x="32"/>
        <item x="595"/>
        <item x="280"/>
        <item x="14"/>
        <item x="195"/>
        <item x="272"/>
        <item x="733"/>
        <item x="352"/>
        <item x="225"/>
        <item x="179"/>
        <item x="203"/>
        <item x="510"/>
        <item x="323"/>
        <item x="283"/>
        <item x="369"/>
        <item x="457"/>
        <item x="524"/>
        <item x="518"/>
        <item x="7"/>
        <item x="23"/>
        <item x="219"/>
        <item x="67"/>
        <item x="239"/>
        <item x="256"/>
        <item x="762"/>
        <item x="211"/>
        <item x="408"/>
        <item x="17"/>
        <item x="543"/>
        <item x="398"/>
        <item x="80"/>
        <item x="221"/>
        <item x="142"/>
        <item x="36"/>
        <item x="586"/>
        <item x="637"/>
        <item x="251"/>
        <item x="28"/>
        <item x="531"/>
        <item x="324"/>
        <item x="318"/>
        <item x="629"/>
        <item x="614"/>
        <item x="612"/>
        <item x="700"/>
        <item x="371"/>
        <item x="759"/>
        <item x="658"/>
        <item x="92"/>
        <item x="120"/>
        <item x="523"/>
        <item x="270"/>
        <item x="189"/>
        <item x="166"/>
        <item x="382"/>
        <item x="200"/>
        <item x="444"/>
        <item x="665"/>
        <item x="116"/>
        <item x="73"/>
        <item x="686"/>
        <item x="94"/>
        <item x="291"/>
        <item x="342"/>
        <item x="193"/>
        <item x="265"/>
        <item x="693"/>
        <item x="722"/>
        <item x="150"/>
        <item x="306"/>
        <item x="202"/>
        <item x="125"/>
        <item x="136"/>
        <item x="493"/>
        <item x="70"/>
        <item x="497"/>
        <item x="525"/>
        <item x="590"/>
        <item x="168"/>
        <item x="336"/>
        <item x="183"/>
        <item x="4"/>
        <item x="657"/>
        <item x="69"/>
        <item x="359"/>
        <item x="458"/>
        <item x="366"/>
        <item x="249"/>
        <item x="486"/>
        <item x="245"/>
        <item x="87"/>
        <item x="271"/>
        <item x="149"/>
        <item x="3"/>
        <item x="414"/>
        <item x="682"/>
        <item x="587"/>
        <item x="713"/>
        <item x="181"/>
        <item x="186"/>
        <item x="399"/>
        <item x="167"/>
        <item x="105"/>
        <item x="355"/>
        <item x="103"/>
        <item x="122"/>
        <item x="597"/>
        <item x="310"/>
        <item x="95"/>
        <item x="20"/>
        <item x="182"/>
        <item x="592"/>
        <item x="264"/>
        <item x="351"/>
        <item x="400"/>
        <item x="628"/>
        <item x="148"/>
        <item x="631"/>
        <item x="50"/>
        <item x="0"/>
        <item x="112"/>
        <item x="255"/>
        <item x="499"/>
        <item x="372"/>
        <item x="411"/>
        <item x="694"/>
        <item x="624"/>
        <item x="698"/>
        <item x="517"/>
        <item x="384"/>
        <item x="402"/>
        <item x="391"/>
        <item x="479"/>
        <item x="485"/>
        <item x="79"/>
        <item x="48"/>
        <item x="725"/>
        <item x="447"/>
        <item x="432"/>
        <item x="692"/>
        <item x="326"/>
        <item x="296"/>
        <item x="34"/>
        <item x="218"/>
        <item x="770"/>
        <item x="242"/>
        <item x="393"/>
        <item x="338"/>
        <item x="566"/>
        <item x="620"/>
        <item x="163"/>
        <item x="81"/>
        <item x="677"/>
        <item x="589"/>
        <item x="769"/>
        <item x="176"/>
        <item x="33"/>
        <item x="456"/>
        <item x="551"/>
        <item x="702"/>
        <item x="361"/>
        <item x="474"/>
        <item x="25"/>
        <item x="389"/>
        <item x="622"/>
        <item x="548"/>
        <item x="10"/>
        <item x="109"/>
        <item x="253"/>
        <item x="227"/>
        <item x="295"/>
        <item x="430"/>
        <item x="8"/>
        <item x="217"/>
        <item x="653"/>
        <item x="275"/>
        <item x="199"/>
        <item x="731"/>
        <item x="57"/>
        <item x="287"/>
        <item x="487"/>
        <item x="495"/>
        <item x="615"/>
        <item x="605"/>
        <item x="412"/>
        <item x="688"/>
        <item x="673"/>
        <item x="647"/>
        <item x="695"/>
        <item x="732"/>
        <item x="208"/>
        <item x="316"/>
        <item x="285"/>
        <item x="88"/>
        <item x="717"/>
        <item x="756"/>
        <item x="519"/>
        <item x="630"/>
        <item x="317"/>
        <item x="40"/>
        <item x="83"/>
        <item x="428"/>
        <item x="24"/>
        <item x="85"/>
        <item x="641"/>
        <item x="288"/>
        <item x="697"/>
        <item x="535"/>
        <item x="706"/>
        <item x="660"/>
        <item x="539"/>
        <item x="301"/>
        <item x="501"/>
        <item x="757"/>
        <item x="619"/>
        <item x="467"/>
        <item x="441"/>
        <item x="376"/>
        <item x="160"/>
        <item x="663"/>
        <item x="228"/>
        <item x="98"/>
        <item x="771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87"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6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x="85"/>
        <item t="default"/>
      </items>
    </pivotField>
    <pivotField compact="0" showAll="0">
      <items count="199">
        <item x="171"/>
        <item x="1"/>
        <item x="100"/>
        <item x="20"/>
        <item x="35"/>
        <item x="98"/>
        <item x="78"/>
        <item x="117"/>
        <item x="5"/>
        <item x="41"/>
        <item x="68"/>
        <item x="191"/>
        <item x="190"/>
        <item x="124"/>
        <item x="40"/>
        <item x="32"/>
        <item x="118"/>
        <item x="112"/>
        <item x="97"/>
        <item x="47"/>
        <item x="132"/>
        <item x="99"/>
        <item x="150"/>
        <item x="43"/>
        <item x="26"/>
        <item x="55"/>
        <item x="161"/>
        <item x="19"/>
        <item x="3"/>
        <item x="69"/>
        <item x="94"/>
        <item x="96"/>
        <item x="157"/>
        <item x="65"/>
        <item x="29"/>
        <item x="13"/>
        <item x="7"/>
        <item x="110"/>
        <item x="8"/>
        <item x="107"/>
        <item x="195"/>
        <item x="154"/>
        <item x="194"/>
        <item x="138"/>
        <item x="163"/>
        <item x="93"/>
        <item x="57"/>
        <item x="10"/>
        <item x="83"/>
        <item x="143"/>
        <item x="56"/>
        <item x="162"/>
        <item x="141"/>
        <item x="48"/>
        <item x="31"/>
        <item x="167"/>
        <item x="71"/>
        <item x="37"/>
        <item x="103"/>
        <item x="58"/>
        <item x="130"/>
        <item x="129"/>
        <item x="180"/>
        <item x="128"/>
        <item x="127"/>
        <item x="54"/>
        <item x="85"/>
        <item x="147"/>
        <item x="175"/>
        <item x="60"/>
        <item x="160"/>
        <item x="67"/>
        <item x="144"/>
        <item x="23"/>
        <item x="74"/>
        <item x="6"/>
        <item x="149"/>
        <item x="169"/>
        <item x="116"/>
        <item x="79"/>
        <item x="52"/>
        <item x="186"/>
        <item x="28"/>
        <item x="0"/>
        <item x="151"/>
        <item x="139"/>
        <item x="187"/>
        <item x="39"/>
        <item x="137"/>
        <item x="178"/>
        <item x="159"/>
        <item x="21"/>
        <item x="104"/>
        <item x="155"/>
        <item x="25"/>
        <item x="70"/>
        <item x="182"/>
        <item x="90"/>
        <item x="172"/>
        <item x="80"/>
        <item x="119"/>
        <item x="27"/>
        <item x="177"/>
        <item x="86"/>
        <item x="4"/>
        <item x="152"/>
        <item x="59"/>
        <item x="113"/>
        <item x="135"/>
        <item x="176"/>
        <item x="53"/>
        <item x="181"/>
        <item x="109"/>
        <item x="145"/>
        <item x="142"/>
        <item x="146"/>
        <item x="140"/>
        <item x="42"/>
        <item x="101"/>
        <item x="184"/>
        <item x="22"/>
        <item x="108"/>
        <item x="179"/>
        <item x="61"/>
        <item x="173"/>
        <item x="185"/>
        <item x="84"/>
        <item x="115"/>
        <item x="165"/>
        <item x="131"/>
        <item x="106"/>
        <item x="158"/>
        <item x="105"/>
        <item x="50"/>
        <item x="183"/>
        <item x="24"/>
        <item x="153"/>
        <item x="193"/>
        <item x="189"/>
        <item x="18"/>
        <item x="72"/>
        <item x="89"/>
        <item x="30"/>
        <item x="123"/>
        <item x="77"/>
        <item x="95"/>
        <item x="121"/>
        <item x="63"/>
        <item x="92"/>
        <item x="120"/>
        <item x="81"/>
        <item x="156"/>
        <item x="133"/>
        <item x="87"/>
        <item x="73"/>
        <item x="2"/>
        <item x="188"/>
        <item x="122"/>
        <item x="36"/>
        <item x="49"/>
        <item x="38"/>
        <item x="91"/>
        <item x="9"/>
        <item x="196"/>
        <item x="12"/>
        <item x="64"/>
        <item x="148"/>
        <item x="34"/>
        <item x="82"/>
        <item x="136"/>
        <item x="46"/>
        <item x="102"/>
        <item x="75"/>
        <item x="66"/>
        <item x="16"/>
        <item x="15"/>
        <item x="44"/>
        <item x="111"/>
        <item x="170"/>
        <item x="33"/>
        <item x="51"/>
        <item x="14"/>
        <item x="126"/>
        <item x="164"/>
        <item x="168"/>
        <item x="76"/>
        <item x="125"/>
        <item x="114"/>
        <item x="192"/>
        <item x="166"/>
        <item x="17"/>
        <item x="11"/>
        <item x="134"/>
        <item x="88"/>
        <item x="45"/>
        <item x="174"/>
        <item x="62"/>
        <item x="197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2"/>
        <item x="1"/>
        <item x="0"/>
        <item x="3"/>
        <item x="4"/>
        <item x="5"/>
        <item t="default"/>
      </items>
    </pivotField>
    <pivotField compact="0" showAll="0">
      <items count="153">
        <item x="75"/>
        <item x="91"/>
        <item x="89"/>
        <item x="119"/>
        <item x="125"/>
        <item x="129"/>
        <item x="116"/>
        <item x="60"/>
        <item x="92"/>
        <item x="118"/>
        <item x="85"/>
        <item x="149"/>
        <item x="7"/>
        <item x="79"/>
        <item x="4"/>
        <item x="51"/>
        <item x="31"/>
        <item x="12"/>
        <item x="81"/>
        <item x="117"/>
        <item x="14"/>
        <item x="107"/>
        <item x="112"/>
        <item x="74"/>
        <item x="113"/>
        <item x="93"/>
        <item x="34"/>
        <item x="21"/>
        <item x="69"/>
        <item x="24"/>
        <item x="76"/>
        <item x="133"/>
        <item x="132"/>
        <item x="37"/>
        <item x="2"/>
        <item x="64"/>
        <item x="138"/>
        <item x="114"/>
        <item x="72"/>
        <item x="126"/>
        <item x="95"/>
        <item x="144"/>
        <item x="41"/>
        <item x="146"/>
        <item x="46"/>
        <item x="61"/>
        <item x="5"/>
        <item x="9"/>
        <item x="54"/>
        <item x="134"/>
        <item x="47"/>
        <item x="57"/>
        <item x="55"/>
        <item x="110"/>
        <item x="150"/>
        <item x="94"/>
        <item x="8"/>
        <item x="42"/>
        <item x="131"/>
        <item x="44"/>
        <item x="1"/>
        <item x="25"/>
        <item x="128"/>
        <item x="28"/>
        <item x="86"/>
        <item x="0"/>
        <item x="40"/>
        <item x="56"/>
        <item x="139"/>
        <item x="15"/>
        <item x="120"/>
        <item x="48"/>
        <item x="36"/>
        <item x="13"/>
        <item x="27"/>
        <item x="65"/>
        <item x="109"/>
        <item x="137"/>
        <item x="16"/>
        <item x="39"/>
        <item x="70"/>
        <item x="23"/>
        <item x="59"/>
        <item x="43"/>
        <item x="130"/>
        <item x="111"/>
        <item x="127"/>
        <item x="53"/>
        <item x="96"/>
        <item x="103"/>
        <item x="90"/>
        <item x="52"/>
        <item x="115"/>
        <item x="136"/>
        <item x="10"/>
        <item x="99"/>
        <item x="80"/>
        <item x="49"/>
        <item x="140"/>
        <item x="17"/>
        <item x="30"/>
        <item x="19"/>
        <item x="58"/>
        <item x="73"/>
        <item x="20"/>
        <item x="35"/>
        <item x="38"/>
        <item x="108"/>
        <item x="6"/>
        <item x="33"/>
        <item x="143"/>
        <item x="100"/>
        <item x="32"/>
        <item x="67"/>
        <item x="101"/>
        <item x="26"/>
        <item x="71"/>
        <item x="121"/>
        <item x="66"/>
        <item x="97"/>
        <item x="124"/>
        <item x="62"/>
        <item x="11"/>
        <item x="77"/>
        <item x="102"/>
        <item x="104"/>
        <item x="18"/>
        <item x="68"/>
        <item x="106"/>
        <item x="3"/>
        <item x="63"/>
        <item x="82"/>
        <item x="147"/>
        <item x="45"/>
        <item x="135"/>
        <item x="141"/>
        <item x="29"/>
        <item x="105"/>
        <item x="78"/>
        <item x="145"/>
        <item x="83"/>
        <item x="142"/>
        <item x="148"/>
        <item x="123"/>
        <item x="50"/>
        <item x="98"/>
        <item x="87"/>
        <item x="122"/>
        <item x="84"/>
        <item x="88"/>
        <item x="22"/>
        <item x="151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compact="0" showAll="0">
      <items count="7">
        <item x="3"/>
        <item x="0"/>
        <item x="2"/>
        <item x="1"/>
        <item x="4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74">
        <item x="354"/>
        <item x="360"/>
        <item x="158"/>
        <item x="82"/>
        <item x="63"/>
        <item x="334"/>
        <item x="328"/>
        <item x="27"/>
        <item x="79"/>
        <item x="207"/>
        <item x="3"/>
        <item x="149"/>
        <item x="130"/>
        <item x="180"/>
        <item x="95"/>
        <item x="21"/>
        <item x="238"/>
        <item x="153"/>
        <item x="283"/>
        <item x="350"/>
        <item x="291"/>
        <item x="104"/>
        <item x="159"/>
        <item x="188"/>
        <item x="65"/>
        <item x="307"/>
        <item x="125"/>
        <item x="110"/>
        <item x="313"/>
        <item x="132"/>
        <item x="85"/>
        <item x="192"/>
        <item x="29"/>
        <item x="91"/>
        <item x="169"/>
        <item x="344"/>
        <item x="202"/>
        <item x="262"/>
        <item x="126"/>
        <item x="356"/>
        <item x="52"/>
        <item x="342"/>
        <item x="49"/>
        <item x="237"/>
        <item x="161"/>
        <item x="357"/>
        <item x="30"/>
        <item x="318"/>
        <item x="140"/>
        <item x="366"/>
        <item x="171"/>
        <item x="18"/>
        <item x="187"/>
        <item x="281"/>
        <item x="53"/>
        <item x="32"/>
        <item x="70"/>
        <item x="371"/>
        <item x="244"/>
        <item x="1"/>
        <item x="45"/>
        <item x="145"/>
        <item x="20"/>
        <item x="33"/>
        <item x="105"/>
        <item x="72"/>
        <item x="297"/>
        <item x="321"/>
        <item x="23"/>
        <item x="338"/>
        <item x="66"/>
        <item x="174"/>
        <item x="294"/>
        <item x="212"/>
        <item x="129"/>
        <item x="204"/>
        <item x="74"/>
        <item x="75"/>
        <item x="265"/>
        <item x="165"/>
        <item x="312"/>
        <item x="314"/>
        <item x="93"/>
        <item x="61"/>
        <item x="249"/>
        <item x="71"/>
        <item x="170"/>
        <item x="143"/>
        <item x="156"/>
        <item x="17"/>
        <item x="284"/>
        <item x="369"/>
        <item x="134"/>
        <item x="352"/>
        <item x="199"/>
        <item x="231"/>
        <item x="138"/>
        <item x="211"/>
        <item x="87"/>
        <item x="293"/>
        <item x="270"/>
        <item x="124"/>
        <item x="80"/>
        <item x="81"/>
        <item x="232"/>
        <item x="252"/>
        <item x="365"/>
        <item x="198"/>
        <item x="269"/>
        <item x="280"/>
        <item x="337"/>
        <item x="256"/>
        <item x="100"/>
        <item x="273"/>
        <item x="248"/>
        <item x="183"/>
        <item x="189"/>
        <item x="363"/>
        <item x="160"/>
        <item x="146"/>
        <item x="217"/>
        <item x="353"/>
        <item x="37"/>
        <item x="142"/>
        <item x="320"/>
        <item x="290"/>
        <item x="88"/>
        <item x="135"/>
        <item x="242"/>
        <item x="316"/>
        <item x="184"/>
        <item x="99"/>
        <item x="166"/>
        <item x="31"/>
        <item x="9"/>
        <item x="264"/>
        <item x="351"/>
        <item x="277"/>
        <item x="120"/>
        <item x="24"/>
        <item x="69"/>
        <item x="241"/>
        <item x="341"/>
        <item x="182"/>
        <item x="84"/>
        <item x="234"/>
        <item x="279"/>
        <item x="246"/>
        <item x="287"/>
        <item x="152"/>
        <item x="128"/>
        <item x="157"/>
        <item x="11"/>
        <item x="257"/>
        <item x="345"/>
        <item x="210"/>
        <item x="332"/>
        <item x="64"/>
        <item x="266"/>
        <item x="62"/>
        <item x="167"/>
        <item x="117"/>
        <item x="101"/>
        <item x="123"/>
        <item x="282"/>
        <item x="77"/>
        <item x="296"/>
        <item x="331"/>
        <item x="304"/>
        <item x="26"/>
        <item x="302"/>
        <item x="308"/>
        <item x="148"/>
        <item x="214"/>
        <item x="16"/>
        <item x="47"/>
        <item x="177"/>
        <item x="5"/>
        <item x="225"/>
        <item x="267"/>
        <item x="19"/>
        <item x="289"/>
        <item x="286"/>
        <item x="163"/>
        <item x="322"/>
        <item x="255"/>
        <item x="305"/>
        <item x="250"/>
        <item x="89"/>
        <item x="151"/>
        <item x="347"/>
        <item x="325"/>
        <item x="288"/>
        <item x="233"/>
        <item x="260"/>
        <item x="364"/>
        <item x="14"/>
        <item x="127"/>
        <item x="10"/>
        <item x="228"/>
        <item x="361"/>
        <item x="195"/>
        <item x="39"/>
        <item x="191"/>
        <item x="368"/>
        <item x="96"/>
        <item x="201"/>
        <item x="358"/>
        <item x="309"/>
        <item x="109"/>
        <item x="247"/>
        <item x="136"/>
        <item x="36"/>
        <item x="68"/>
        <item x="315"/>
        <item x="154"/>
        <item x="51"/>
        <item x="229"/>
        <item x="329"/>
        <item x="173"/>
        <item x="107"/>
        <item x="240"/>
        <item x="168"/>
        <item x="13"/>
        <item x="227"/>
        <item x="4"/>
        <item x="83"/>
        <item x="245"/>
        <item x="243"/>
        <item x="303"/>
        <item x="38"/>
        <item x="2"/>
        <item x="97"/>
        <item x="113"/>
        <item x="310"/>
        <item x="317"/>
        <item x="121"/>
        <item x="259"/>
        <item x="230"/>
        <item x="236"/>
        <item x="118"/>
        <item x="258"/>
        <item x="133"/>
        <item x="268"/>
        <item x="137"/>
        <item x="239"/>
        <item x="306"/>
        <item x="197"/>
        <item x="92"/>
        <item x="86"/>
        <item x="336"/>
        <item x="155"/>
        <item x="176"/>
        <item x="299"/>
        <item x="340"/>
        <item x="253"/>
        <item x="301"/>
        <item x="349"/>
        <item x="343"/>
        <item x="220"/>
        <item x="178"/>
        <item x="172"/>
        <item x="54"/>
        <item x="0"/>
        <item x="295"/>
        <item x="224"/>
        <item x="12"/>
        <item x="57"/>
        <item x="162"/>
        <item x="25"/>
        <item x="311"/>
        <item x="346"/>
        <item x="73"/>
        <item x="319"/>
        <item x="339"/>
        <item x="203"/>
        <item x="335"/>
        <item x="58"/>
        <item x="370"/>
        <item x="226"/>
        <item x="275"/>
        <item x="235"/>
        <item x="112"/>
        <item x="179"/>
        <item x="115"/>
        <item x="41"/>
        <item x="362"/>
        <item x="209"/>
        <item x="116"/>
        <item x="272"/>
        <item x="67"/>
        <item x="200"/>
        <item x="278"/>
        <item x="276"/>
        <item x="102"/>
        <item x="263"/>
        <item x="215"/>
        <item x="50"/>
        <item x="122"/>
        <item x="90"/>
        <item x="60"/>
        <item x="205"/>
        <item x="271"/>
        <item x="367"/>
        <item x="6"/>
        <item x="106"/>
        <item x="35"/>
        <item x="218"/>
        <item x="219"/>
        <item x="111"/>
        <item x="190"/>
        <item x="144"/>
        <item x="300"/>
        <item x="254"/>
        <item x="221"/>
        <item x="261"/>
        <item x="44"/>
        <item x="285"/>
        <item x="213"/>
        <item x="181"/>
        <item x="348"/>
        <item x="185"/>
        <item x="298"/>
        <item x="78"/>
        <item x="131"/>
        <item x="56"/>
        <item x="98"/>
        <item x="46"/>
        <item x="175"/>
        <item x="359"/>
        <item x="323"/>
        <item x="108"/>
        <item x="28"/>
        <item x="76"/>
        <item x="119"/>
        <item x="274"/>
        <item x="48"/>
        <item x="292"/>
        <item x="324"/>
        <item x="55"/>
        <item x="139"/>
        <item x="216"/>
        <item x="223"/>
        <item x="22"/>
        <item x="94"/>
        <item x="251"/>
        <item x="42"/>
        <item x="206"/>
        <item x="326"/>
        <item x="43"/>
        <item x="208"/>
        <item x="103"/>
        <item x="7"/>
        <item x="327"/>
        <item x="15"/>
        <item x="164"/>
        <item x="8"/>
        <item x="193"/>
        <item x="114"/>
        <item x="147"/>
        <item x="194"/>
        <item x="150"/>
        <item x="141"/>
        <item x="330"/>
        <item x="222"/>
        <item x="196"/>
        <item x="34"/>
        <item x="59"/>
        <item x="333"/>
        <item x="40"/>
        <item x="355"/>
        <item x="186"/>
        <item x="372"/>
        <item t="default"/>
      </items>
    </pivotField>
    <pivotField compact="0" showAll="0">
      <items count="367">
        <item x="315"/>
        <item x="207"/>
        <item x="60"/>
        <item x="276"/>
        <item x="202"/>
        <item x="232"/>
        <item x="291"/>
        <item x="81"/>
        <item x="190"/>
        <item x="169"/>
        <item x="123"/>
        <item x="75"/>
        <item x="325"/>
        <item x="244"/>
        <item x="67"/>
        <item x="149"/>
        <item x="197"/>
        <item x="277"/>
        <item x="242"/>
        <item x="316"/>
        <item x="39"/>
        <item x="267"/>
        <item x="184"/>
        <item x="23"/>
        <item x="183"/>
        <item x="226"/>
        <item x="172"/>
        <item x="237"/>
        <item x="146"/>
        <item x="17"/>
        <item x="261"/>
        <item x="178"/>
        <item x="125"/>
        <item x="65"/>
        <item x="113"/>
        <item x="104"/>
        <item x="111"/>
        <item x="153"/>
        <item x="334"/>
        <item x="227"/>
        <item x="166"/>
        <item x="241"/>
        <item x="9"/>
        <item x="222"/>
        <item x="326"/>
        <item x="159"/>
        <item x="185"/>
        <item x="272"/>
        <item x="176"/>
        <item x="118"/>
        <item x="135"/>
        <item x="11"/>
        <item x="83"/>
        <item x="43"/>
        <item x="236"/>
        <item x="350"/>
        <item x="15"/>
        <item x="126"/>
        <item x="57"/>
        <item x="68"/>
        <item x="117"/>
        <item x="138"/>
        <item x="288"/>
        <item x="299"/>
        <item x="136"/>
        <item x="361"/>
        <item x="317"/>
        <item x="235"/>
        <item x="42"/>
        <item x="139"/>
        <item x="214"/>
        <item x="348"/>
        <item x="347"/>
        <item x="312"/>
        <item x="343"/>
        <item x="131"/>
        <item x="225"/>
        <item x="352"/>
        <item x="21"/>
        <item x="24"/>
        <item x="12"/>
        <item x="191"/>
        <item x="333"/>
        <item x="107"/>
        <item x="110"/>
        <item x="280"/>
        <item x="52"/>
        <item x="99"/>
        <item x="289"/>
        <item x="168"/>
        <item x="103"/>
        <item x="133"/>
        <item x="33"/>
        <item x="218"/>
        <item x="335"/>
        <item x="344"/>
        <item x="35"/>
        <item x="215"/>
        <item x="77"/>
        <item x="69"/>
        <item x="266"/>
        <item x="171"/>
        <item x="20"/>
        <item x="238"/>
        <item x="282"/>
        <item x="31"/>
        <item x="38"/>
        <item x="297"/>
        <item x="74"/>
        <item x="78"/>
        <item x="94"/>
        <item x="45"/>
        <item x="152"/>
        <item x="363"/>
        <item x="49"/>
        <item x="360"/>
        <item x="28"/>
        <item x="304"/>
        <item x="322"/>
        <item x="330"/>
        <item x="346"/>
        <item x="210"/>
        <item x="97"/>
        <item x="121"/>
        <item x="140"/>
        <item x="61"/>
        <item x="341"/>
        <item x="362"/>
        <item x="309"/>
        <item x="298"/>
        <item x="268"/>
        <item x="247"/>
        <item x="255"/>
        <item x="270"/>
        <item x="254"/>
        <item x="160"/>
        <item x="329"/>
        <item x="3"/>
        <item x="4"/>
        <item x="338"/>
        <item x="46"/>
        <item x="301"/>
        <item x="144"/>
        <item x="13"/>
        <item x="109"/>
        <item x="127"/>
        <item x="174"/>
        <item x="203"/>
        <item x="292"/>
        <item x="213"/>
        <item x="327"/>
        <item x="5"/>
        <item x="2"/>
        <item x="359"/>
        <item x="253"/>
        <item x="37"/>
        <item x="331"/>
        <item x="147"/>
        <item x="182"/>
        <item x="353"/>
        <item x="355"/>
        <item x="211"/>
        <item x="143"/>
        <item x="188"/>
        <item x="62"/>
        <item x="250"/>
        <item x="323"/>
        <item x="234"/>
        <item x="25"/>
        <item x="351"/>
        <item x="324"/>
        <item x="275"/>
        <item x="342"/>
        <item x="273"/>
        <item x="336"/>
        <item x="161"/>
        <item x="130"/>
        <item x="223"/>
        <item x="79"/>
        <item x="354"/>
        <item x="114"/>
        <item x="284"/>
        <item x="279"/>
        <item x="181"/>
        <item x="230"/>
        <item x="150"/>
        <item x="186"/>
        <item x="224"/>
        <item x="151"/>
        <item x="245"/>
        <item x="85"/>
        <item x="262"/>
        <item x="319"/>
        <item x="137"/>
        <item x="100"/>
        <item x="27"/>
        <item x="0"/>
        <item x="30"/>
        <item x="233"/>
        <item x="53"/>
        <item x="328"/>
        <item x="340"/>
        <item x="82"/>
        <item x="314"/>
        <item x="219"/>
        <item x="209"/>
        <item x="221"/>
        <item x="313"/>
        <item x="36"/>
        <item x="311"/>
        <item x="141"/>
        <item x="162"/>
        <item x="54"/>
        <item x="55"/>
        <item x="208"/>
        <item x="200"/>
        <item x="29"/>
        <item x="40"/>
        <item x="96"/>
        <item x="337"/>
        <item x="86"/>
        <item x="8"/>
        <item x="300"/>
        <item x="165"/>
        <item x="105"/>
        <item x="204"/>
        <item x="154"/>
        <item x="48"/>
        <item x="307"/>
        <item x="187"/>
        <item x="231"/>
        <item x="195"/>
        <item x="18"/>
        <item x="212"/>
        <item x="164"/>
        <item x="106"/>
        <item x="72"/>
        <item x="199"/>
        <item x="303"/>
        <item x="286"/>
        <item x="64"/>
        <item x="84"/>
        <item x="19"/>
        <item x="71"/>
        <item x="274"/>
        <item x="251"/>
        <item x="332"/>
        <item x="124"/>
        <item x="90"/>
        <item x="155"/>
        <item x="93"/>
        <item x="91"/>
        <item x="287"/>
        <item x="357"/>
        <item x="134"/>
        <item x="269"/>
        <item x="263"/>
        <item x="285"/>
        <item x="70"/>
        <item x="163"/>
        <item x="87"/>
        <item x="294"/>
        <item x="217"/>
        <item x="220"/>
        <item x="189"/>
        <item x="321"/>
        <item x="157"/>
        <item x="260"/>
        <item x="246"/>
        <item x="345"/>
        <item x="293"/>
        <item x="66"/>
        <item x="364"/>
        <item x="198"/>
        <item x="278"/>
        <item x="305"/>
        <item x="50"/>
        <item x="196"/>
        <item x="101"/>
        <item x="89"/>
        <item x="145"/>
        <item x="129"/>
        <item x="120"/>
        <item x="14"/>
        <item x="193"/>
        <item x="281"/>
        <item x="98"/>
        <item x="115"/>
        <item x="22"/>
        <item x="216"/>
        <item x="167"/>
        <item x="158"/>
        <item x="310"/>
        <item x="44"/>
        <item x="76"/>
        <item x="249"/>
        <item x="271"/>
        <item x="306"/>
        <item x="256"/>
        <item x="41"/>
        <item x="119"/>
        <item x="80"/>
        <item x="116"/>
        <item x="59"/>
        <item x="175"/>
        <item x="148"/>
        <item x="51"/>
        <item x="7"/>
        <item x="10"/>
        <item x="73"/>
        <item x="229"/>
        <item x="132"/>
        <item x="95"/>
        <item x="128"/>
        <item x="239"/>
        <item x="201"/>
        <item x="248"/>
        <item x="177"/>
        <item x="258"/>
        <item x="259"/>
        <item x="206"/>
        <item x="265"/>
        <item x="243"/>
        <item x="26"/>
        <item x="34"/>
        <item x="142"/>
        <item x="194"/>
        <item x="264"/>
        <item x="240"/>
        <item x="1"/>
        <item x="252"/>
        <item x="63"/>
        <item x="92"/>
        <item x="295"/>
        <item x="180"/>
        <item x="356"/>
        <item x="296"/>
        <item x="318"/>
        <item x="56"/>
        <item x="58"/>
        <item x="88"/>
        <item x="47"/>
        <item x="290"/>
        <item x="283"/>
        <item x="339"/>
        <item x="349"/>
        <item x="112"/>
        <item x="205"/>
        <item x="192"/>
        <item x="320"/>
        <item x="228"/>
        <item x="257"/>
        <item x="108"/>
        <item x="122"/>
        <item x="179"/>
        <item x="156"/>
        <item x="16"/>
        <item x="358"/>
        <item x="102"/>
        <item x="32"/>
        <item x="308"/>
        <item x="170"/>
        <item x="173"/>
        <item x="302"/>
        <item x="6"/>
        <item x="365"/>
        <item t="default"/>
      </items>
    </pivotField>
    <pivotField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>
      <items count="182">
        <item x="176"/>
        <item x="97"/>
        <item x="65"/>
        <item x="12"/>
        <item x="143"/>
        <item x="61"/>
        <item x="107"/>
        <item x="25"/>
        <item x="129"/>
        <item x="151"/>
        <item x="5"/>
        <item x="175"/>
        <item x="83"/>
        <item x="118"/>
        <item x="78"/>
        <item x="22"/>
        <item x="20"/>
        <item x="135"/>
        <item x="63"/>
        <item x="62"/>
        <item x="140"/>
        <item x="71"/>
        <item x="41"/>
        <item x="17"/>
        <item x="38"/>
        <item x="150"/>
        <item x="111"/>
        <item x="123"/>
        <item x="37"/>
        <item x="168"/>
        <item x="75"/>
        <item x="137"/>
        <item x="55"/>
        <item x="128"/>
        <item x="32"/>
        <item x="19"/>
        <item x="43"/>
        <item x="146"/>
        <item x="166"/>
        <item x="77"/>
        <item x="94"/>
        <item x="152"/>
        <item x="133"/>
        <item x="31"/>
        <item x="36"/>
        <item x="81"/>
        <item x="39"/>
        <item x="66"/>
        <item x="27"/>
        <item x="102"/>
        <item x="120"/>
        <item x="165"/>
        <item x="162"/>
        <item x="142"/>
        <item x="99"/>
        <item x="156"/>
        <item x="159"/>
        <item x="82"/>
        <item x="101"/>
        <item x="16"/>
        <item x="46"/>
        <item x="114"/>
        <item x="18"/>
        <item x="164"/>
        <item x="87"/>
        <item x="121"/>
        <item x="139"/>
        <item x="93"/>
        <item x="127"/>
        <item x="148"/>
        <item x="76"/>
        <item x="64"/>
        <item x="48"/>
        <item x="126"/>
        <item x="40"/>
        <item x="86"/>
        <item x="158"/>
        <item x="132"/>
        <item x="161"/>
        <item x="44"/>
        <item x="124"/>
        <item x="7"/>
        <item x="109"/>
        <item x="50"/>
        <item x="167"/>
        <item x="178"/>
        <item x="85"/>
        <item x="24"/>
        <item x="141"/>
        <item x="15"/>
        <item x="45"/>
        <item x="21"/>
        <item x="89"/>
        <item x="149"/>
        <item x="9"/>
        <item x="70"/>
        <item x="26"/>
        <item x="92"/>
        <item x="145"/>
        <item x="6"/>
        <item x="10"/>
        <item x="59"/>
        <item x="125"/>
        <item x="172"/>
        <item x="56"/>
        <item x="79"/>
        <item x="160"/>
        <item x="110"/>
        <item x="53"/>
        <item x="51"/>
        <item x="122"/>
        <item x="14"/>
        <item x="84"/>
        <item x="69"/>
        <item x="113"/>
        <item x="30"/>
        <item x="153"/>
        <item x="104"/>
        <item x="116"/>
        <item x="34"/>
        <item x="8"/>
        <item x="96"/>
        <item x="177"/>
        <item x="112"/>
        <item x="52"/>
        <item x="157"/>
        <item x="147"/>
        <item x="174"/>
        <item x="169"/>
        <item x="49"/>
        <item x="119"/>
        <item x="80"/>
        <item x="42"/>
        <item x="29"/>
        <item x="100"/>
        <item x="11"/>
        <item x="67"/>
        <item x="171"/>
        <item x="35"/>
        <item x="90"/>
        <item x="136"/>
        <item x="28"/>
        <item x="103"/>
        <item x="68"/>
        <item x="23"/>
        <item x="0"/>
        <item x="115"/>
        <item x="138"/>
        <item x="72"/>
        <item x="163"/>
        <item x="131"/>
        <item x="4"/>
        <item x="95"/>
        <item x="155"/>
        <item x="60"/>
        <item x="2"/>
        <item x="73"/>
        <item x="88"/>
        <item x="130"/>
        <item x="144"/>
        <item x="47"/>
        <item x="58"/>
        <item x="13"/>
        <item x="154"/>
        <item x="74"/>
        <item x="54"/>
        <item x="91"/>
        <item x="98"/>
        <item x="173"/>
        <item x="105"/>
        <item x="1"/>
        <item x="134"/>
        <item x="57"/>
        <item x="108"/>
        <item x="33"/>
        <item x="170"/>
        <item x="106"/>
        <item x="3"/>
        <item x="117"/>
        <item x="179"/>
        <item x="180"/>
        <item t="default"/>
      </items>
    </pivotField>
    <pivotField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2">
    <field x="7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Success_Indicator" fld="18" subtotal="average" baseField="0" baseItem="0"/>
  </dataFields>
  <formats count="16">
    <format dxfId="217">
      <pivotArea collapsedLevelsAreSubtotals="1" fieldPosition="0">
        <references count="1">
          <reference field="7" count="1" selected="0">
            <x v="0"/>
          </reference>
        </references>
      </pivotArea>
    </format>
    <format dxfId="218">
      <pivotArea collapsedLevelsAreSubtotals="1" fieldPosition="0">
        <references count="2">
          <reference field="2" count="1" selected="0">
            <x v="0"/>
          </reference>
          <reference field="7" count="1" selected="0">
            <x v="0"/>
          </reference>
        </references>
      </pivotArea>
    </format>
    <format dxfId="219">
      <pivotArea collapsedLevelsAreSubtotals="1" fieldPosition="0">
        <references count="2">
          <reference field="2" count="1" selected="0">
            <x v="1"/>
          </reference>
          <reference field="7" count="1" selected="0">
            <x v="0"/>
          </reference>
        </references>
      </pivotArea>
    </format>
    <format dxfId="220">
      <pivotArea collapsedLevelsAreSubtotals="1" fieldPosition="0">
        <references count="2">
          <reference field="2" count="1" selected="0">
            <x v="2"/>
          </reference>
          <reference field="7" count="1" selected="0">
            <x v="0"/>
          </reference>
        </references>
      </pivotArea>
    </format>
    <format dxfId="221">
      <pivotArea collapsedLevelsAreSubtotals="1" fieldPosition="0">
        <references count="1">
          <reference field="7" count="1" selected="0">
            <x v="1"/>
          </reference>
        </references>
      </pivotArea>
    </format>
    <format dxfId="222">
      <pivotArea collapsedLevelsAreSubtotals="1" fieldPosition="0">
        <references count="2">
          <reference field="2" count="1" selected="0">
            <x v="0"/>
          </reference>
          <reference field="7" count="1" selected="0">
            <x v="1"/>
          </reference>
        </references>
      </pivotArea>
    </format>
    <format dxfId="223">
      <pivotArea collapsedLevelsAreSubtotals="1" fieldPosition="0">
        <references count="2">
          <reference field="2" count="1" selected="0">
            <x v="1"/>
          </reference>
          <reference field="7" count="1" selected="0">
            <x v="1"/>
          </reference>
        </references>
      </pivotArea>
    </format>
    <format dxfId="224">
      <pivotArea collapsedLevelsAreSubtotals="1" fieldPosition="0">
        <references count="2">
          <reference field="2" count="1" selected="0">
            <x v="2"/>
          </reference>
          <reference field="7" count="1" selected="0">
            <x v="1"/>
          </reference>
        </references>
      </pivotArea>
    </format>
    <format dxfId="225">
      <pivotArea collapsedLevelsAreSubtotals="1" fieldPosition="0">
        <references count="1">
          <reference field="7" count="1" selected="0">
            <x v="2"/>
          </reference>
        </references>
      </pivotArea>
    </format>
    <format dxfId="226">
      <pivotArea collapsedLevelsAreSubtotals="1" fieldPosition="0">
        <references count="2">
          <reference field="2" count="1" selected="0">
            <x v="0"/>
          </reference>
          <reference field="7" count="1" selected="0">
            <x v="2"/>
          </reference>
        </references>
      </pivotArea>
    </format>
    <format dxfId="227">
      <pivotArea collapsedLevelsAreSubtotals="1" fieldPosition="0">
        <references count="2">
          <reference field="2" count="1" selected="0">
            <x v="1"/>
          </reference>
          <reference field="7" count="1" selected="0">
            <x v="2"/>
          </reference>
        </references>
      </pivotArea>
    </format>
    <format dxfId="228">
      <pivotArea collapsedLevelsAreSubtotals="1" fieldPosition="0">
        <references count="2">
          <reference field="2" count="1" selected="0">
            <x v="2"/>
          </reference>
          <reference field="7" count="1" selected="0">
            <x v="2"/>
          </reference>
        </references>
      </pivotArea>
    </format>
    <format dxfId="229">
      <pivotArea collapsedLevelsAreSubtotals="1" fieldPosition="0">
        <references count="1">
          <reference field="7" count="1" selected="0">
            <x v="3"/>
          </reference>
        </references>
      </pivotArea>
    </format>
    <format dxfId="230">
      <pivotArea collapsedLevelsAreSubtotals="1" fieldPosition="0">
        <references count="2">
          <reference field="2" count="1" selected="0">
            <x v="0"/>
          </reference>
          <reference field="7" count="1" selected="0">
            <x v="3"/>
          </reference>
        </references>
      </pivotArea>
    </format>
    <format dxfId="231">
      <pivotArea collapsedLevelsAreSubtotals="1" fieldPosition="0">
        <references count="2">
          <reference field="2" count="1" selected="0">
            <x v="1"/>
          </reference>
          <reference field="7" count="1" selected="0">
            <x v="3"/>
          </reference>
        </references>
      </pivotArea>
    </format>
    <format dxfId="232">
      <pivotArea collapsedLevelsAreSubtotals="1" fieldPosition="0">
        <references count="2">
          <reference field="2" count="1" selected="0">
            <x v="2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3"/>
        <item x="0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Indicator" fld="18" subtotal="average" baseField="0" baseItem="0"/>
  </dataFields>
  <formats count="5">
    <format dxfId="233">
      <pivotArea collapsedLevelsAreSubtotals="1" fieldPosition="0">
        <references count="1">
          <reference field="8" count="1" selected="0">
            <x v="0"/>
          </reference>
        </references>
      </pivotArea>
    </format>
    <format dxfId="234">
      <pivotArea collapsedLevelsAreSubtotals="1" fieldPosition="0">
        <references count="1">
          <reference field="8" count="1" selected="0">
            <x v="1"/>
          </reference>
        </references>
      </pivotArea>
    </format>
    <format dxfId="235">
      <pivotArea collapsedLevelsAreSubtotals="1" fieldPosition="0">
        <references count="1">
          <reference field="8" count="1" selected="0">
            <x v="2"/>
          </reference>
        </references>
      </pivotArea>
    </format>
    <format dxfId="236">
      <pivotArea collapsedLevelsAreSubtotals="1" fieldPosition="0">
        <references count="1">
          <reference field="8" count="1" selected="0">
            <x v="3"/>
          </reference>
        </references>
      </pivotArea>
    </format>
    <format dxfId="237">
      <pivotArea field="8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">
    <pivotField axis="axisRow" dataField="1" compact="0" multipleItemSelectionAllowed="1" showAll="0">
      <items count="5">
        <item x="1"/>
        <item x="0"/>
        <item x="2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dataField="1" compact="0" showAll="0">
      <items count="6">
        <item x="1"/>
        <item x="2"/>
        <item x="3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ial_Phase" fld="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3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x="91"/>
        <item t="default"/>
      </items>
    </pivotField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fficacy_Score" fld="23" subtotal="average" baseField="0" baseItem="0"/>
  </dataFields>
  <formats count="5">
    <format dxfId="238">
      <pivotArea collapsedLevelsAreSubtotals="1" fieldPosition="0">
        <references count="1">
          <reference field="7" count="1" selected="0">
            <x v="0"/>
          </reference>
        </references>
      </pivotArea>
    </format>
    <format dxfId="239">
      <pivotArea collapsedLevelsAreSubtotals="1" fieldPosition="0">
        <references count="1">
          <reference field="7" count="1" selected="0">
            <x v="1"/>
          </reference>
        </references>
      </pivotArea>
    </format>
    <format dxfId="240">
      <pivotArea collapsedLevelsAreSubtotals="1" fieldPosition="0">
        <references count="1">
          <reference field="7" count="1" selected="0">
            <x v="2"/>
          </reference>
        </references>
      </pivotArea>
    </format>
    <format dxfId="241">
      <pivotArea collapsedLevelsAreSubtotals="1" fieldPosition="0">
        <references count="1">
          <reference field="7" count="1" selected="0">
            <x v="3"/>
          </reference>
        </references>
      </pivotArea>
    </format>
    <format dxfId="242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2"/>
        <item x="1"/>
        <item x="0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de_Effects" fld="1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81">
        <item x="176"/>
        <item x="97"/>
        <item x="65"/>
        <item x="12"/>
        <item x="143"/>
        <item x="61"/>
        <item x="107"/>
        <item x="25"/>
        <item x="129"/>
        <item x="151"/>
        <item x="5"/>
        <item x="175"/>
        <item x="83"/>
        <item x="118"/>
        <item x="78"/>
        <item x="22"/>
        <item x="20"/>
        <item x="135"/>
        <item x="63"/>
        <item x="62"/>
        <item x="140"/>
        <item x="71"/>
        <item x="41"/>
        <item x="17"/>
        <item x="38"/>
        <item x="150"/>
        <item x="111"/>
        <item x="123"/>
        <item x="37"/>
        <item x="168"/>
        <item x="75"/>
        <item x="137"/>
        <item x="55"/>
        <item x="128"/>
        <item x="32"/>
        <item x="19"/>
        <item x="43"/>
        <item x="146"/>
        <item x="166"/>
        <item x="77"/>
        <item x="94"/>
        <item x="152"/>
        <item x="133"/>
        <item x="31"/>
        <item x="36"/>
        <item x="81"/>
        <item x="39"/>
        <item x="66"/>
        <item x="27"/>
        <item x="102"/>
        <item x="120"/>
        <item x="165"/>
        <item x="162"/>
        <item x="142"/>
        <item x="99"/>
        <item x="156"/>
        <item x="159"/>
        <item x="82"/>
        <item x="101"/>
        <item x="16"/>
        <item x="46"/>
        <item x="114"/>
        <item x="18"/>
        <item x="164"/>
        <item x="87"/>
        <item x="121"/>
        <item x="139"/>
        <item x="93"/>
        <item x="127"/>
        <item x="148"/>
        <item x="76"/>
        <item x="64"/>
        <item x="48"/>
        <item x="126"/>
        <item x="40"/>
        <item x="86"/>
        <item x="158"/>
        <item x="132"/>
        <item x="161"/>
        <item x="44"/>
        <item x="124"/>
        <item x="7"/>
        <item x="109"/>
        <item x="50"/>
        <item x="167"/>
        <item x="178"/>
        <item x="85"/>
        <item x="24"/>
        <item x="141"/>
        <item x="15"/>
        <item x="45"/>
        <item x="21"/>
        <item x="89"/>
        <item x="149"/>
        <item x="9"/>
        <item x="70"/>
        <item x="26"/>
        <item x="92"/>
        <item x="145"/>
        <item x="6"/>
        <item x="10"/>
        <item x="59"/>
        <item x="125"/>
        <item x="172"/>
        <item x="56"/>
        <item x="79"/>
        <item x="160"/>
        <item x="110"/>
        <item x="53"/>
        <item x="51"/>
        <item x="122"/>
        <item x="14"/>
        <item x="84"/>
        <item x="69"/>
        <item x="113"/>
        <item x="30"/>
        <item x="153"/>
        <item x="104"/>
        <item x="116"/>
        <item x="34"/>
        <item x="8"/>
        <item x="96"/>
        <item x="177"/>
        <item x="112"/>
        <item x="52"/>
        <item x="157"/>
        <item x="147"/>
        <item x="174"/>
        <item x="169"/>
        <item x="49"/>
        <item x="119"/>
        <item x="80"/>
        <item x="42"/>
        <item x="29"/>
        <item x="100"/>
        <item x="11"/>
        <item x="67"/>
        <item x="171"/>
        <item x="35"/>
        <item x="90"/>
        <item x="136"/>
        <item x="28"/>
        <item x="103"/>
        <item x="68"/>
        <item x="23"/>
        <item x="0"/>
        <item x="115"/>
        <item x="138"/>
        <item x="72"/>
        <item x="163"/>
        <item x="131"/>
        <item x="4"/>
        <item x="95"/>
        <item x="155"/>
        <item x="60"/>
        <item x="2"/>
        <item x="73"/>
        <item x="88"/>
        <item x="130"/>
        <item x="144"/>
        <item x="47"/>
        <item x="58"/>
        <item x="13"/>
        <item x="154"/>
        <item x="74"/>
        <item x="54"/>
        <item x="91"/>
        <item x="98"/>
        <item x="173"/>
        <item x="105"/>
        <item x="1"/>
        <item x="134"/>
        <item x="57"/>
        <item x="108"/>
        <item x="33"/>
        <item x="170"/>
        <item x="106"/>
        <item x="3"/>
        <item x="117"/>
        <item x="179"/>
        <item t="default"/>
      </items>
    </pivotField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rvival_Rate" fld="24" subtotal="average" baseField="0" baseItem="0"/>
  </dataFields>
  <formats count="12">
    <format dxfId="243">
      <pivotArea field="7" type="button" dataOnly="0" labelOnly="1" outline="0" fieldPosition="0"/>
    </format>
    <format dxfId="244">
      <pivotArea field="7" type="button" dataOnly="0" labelOnly="1" outline="0" fieldPosition="0"/>
    </format>
    <format dxfId="245">
      <pivotArea dataOnly="0" labelOnly="1" fieldPosition="0">
        <references count="1">
          <reference field="7" count="1">
            <x v="0"/>
          </reference>
        </references>
      </pivotArea>
    </format>
    <format dxfId="246">
      <pivotArea dataOnly="0" labelOnly="1" fieldPosition="0">
        <references count="1">
          <reference field="7" count="1">
            <x v="1"/>
          </reference>
        </references>
      </pivotArea>
    </format>
    <format dxfId="247">
      <pivotArea dataOnly="0" labelOnly="1" fieldPosition="0">
        <references count="1">
          <reference field="7" count="1">
            <x v="2"/>
          </reference>
        </references>
      </pivotArea>
    </format>
    <format dxfId="248">
      <pivotArea dataOnly="0" labelOnly="1" fieldPosition="0">
        <references count="1">
          <reference field="7" count="1">
            <x v="3"/>
          </reference>
        </references>
      </pivotArea>
    </format>
    <format dxfId="249">
      <pivotArea collapsedLevelsAreSubtotals="1" fieldPosition="0">
        <references count="1">
          <reference field="7" count="1" selected="0">
            <x v="0"/>
          </reference>
        </references>
      </pivotArea>
    </format>
    <format dxfId="250">
      <pivotArea collapsedLevelsAreSubtotals="1" fieldPosition="0">
        <references count="1">
          <reference field="7" count="1" selected="0">
            <x v="1"/>
          </reference>
        </references>
      </pivotArea>
    </format>
    <format dxfId="251">
      <pivotArea collapsedLevelsAreSubtotals="1" fieldPosition="0">
        <references count="1">
          <reference field="7" count="1" selected="0">
            <x v="2"/>
          </reference>
        </references>
      </pivotArea>
    </format>
    <format dxfId="252">
      <pivotArea collapsedLevelsAreSubtotals="1" fieldPosition="0">
        <references count="1">
          <reference field="7" count="1" selected="0">
            <x v="3"/>
          </reference>
        </references>
      </pivotArea>
    </format>
    <format dxfId="253">
      <pivotArea dataOnly="0" labelOnly="1" grandRow="1" fieldPosition="0"/>
    </format>
    <format dxfId="254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ccess_Indicator" fld="18" subtotal="average" baseField="0" baseItem="0"/>
  </dataFields>
  <formats count="9">
    <format dxfId="255">
      <pivotArea field="2" type="button" dataOnly="0" labelOnly="1" outline="0" fieldPosition="0"/>
    </format>
    <format dxfId="256">
      <pivotArea dataOnly="0" labelOnly="1" grandRow="1" fieldPosition="0"/>
    </format>
    <format dxfId="257">
      <pivotArea grandRow="1" collapsedLevelsAreSubtotals="1" fieldPosition="0"/>
    </format>
    <format dxfId="258">
      <pivotArea dataOnly="0" labelOnly="1" fieldPosition="0">
        <references count="1">
          <reference field="2" count="1">
            <x v="0"/>
          </reference>
        </references>
      </pivotArea>
    </format>
    <format dxfId="259">
      <pivotArea dataOnly="0" labelOnly="1" fieldPosition="0">
        <references count="1">
          <reference field="2" count="1">
            <x v="1"/>
          </reference>
        </references>
      </pivotArea>
    </format>
    <format dxfId="260">
      <pivotArea dataOnly="0" labelOnly="1" fieldPosition="0">
        <references count="1">
          <reference field="2" count="1">
            <x v="2"/>
          </reference>
        </references>
      </pivotArea>
    </format>
    <format dxfId="261">
      <pivotArea collapsedLevelsAreSubtotals="1" fieldPosition="0">
        <references count="1">
          <reference field="2" count="1" selected="0">
            <x v="0"/>
          </reference>
        </references>
      </pivotArea>
    </format>
    <format dxfId="262">
      <pivotArea collapsedLevelsAreSubtotals="1" fieldPosition="0">
        <references count="1">
          <reference field="2" count="1" selected="0">
            <x v="1"/>
          </reference>
        </references>
      </pivotArea>
    </format>
    <format dxfId="263">
      <pivotArea collapsedLevelsAreSubtotals="1" fieldPosition="0">
        <references count="1">
          <reference field="2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0"/>
        <item x="3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gression_Free_Survival" fld="2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multipleItemSelectionAllowed="1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uccess_Indicator" fld="1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Row" compact="0" multipleItemSelectionAllowed="1" showAll="0">
      <items count="9">
        <item h="1" x="0"/>
        <item x="7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7"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6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x="8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dverse_Events" fld="12" subtotal="count" baseField="0" baseItem="0"/>
  </dataFields>
  <formats count="8">
    <format dxfId="264">
      <pivotArea dataOnly="0" labelOnly="1" fieldPosition="0">
        <references count="1">
          <reference field="1" count="1">
            <x v="2"/>
          </reference>
        </references>
      </pivotArea>
    </format>
    <format dxfId="265">
      <pivotArea collapsedLevelsAreSubtotals="1" fieldPosition="0">
        <references count="1">
          <reference field="1" count="1" selected="0">
            <x v="2"/>
          </reference>
        </references>
      </pivotArea>
    </format>
    <format dxfId="266">
      <pivotArea dataOnly="0" labelOnly="1" fieldPosition="0">
        <references count="1">
          <reference field="1" count="1">
            <x v="2"/>
          </reference>
        </references>
      </pivotArea>
    </format>
    <format dxfId="267">
      <pivotArea collapsedLevelsAreSubtotals="1" fieldPosition="0">
        <references count="1">
          <reference field="1" count="1" selected="0">
            <x v="2"/>
          </reference>
        </references>
      </pivotArea>
    </format>
    <format dxfId="268">
      <pivotArea collapsedLevelsAreSubtotals="1" fieldPosition="0">
        <references count="1">
          <reference field="1" count="1" selected="0">
            <x v="2"/>
          </reference>
        </references>
      </pivotArea>
    </format>
    <format dxfId="269">
      <pivotArea dataOnly="0" labelOnly="1" fieldPosition="0">
        <references count="1">
          <reference field="1" count="1">
            <x v="2"/>
          </reference>
        </references>
      </pivotArea>
    </format>
    <format dxfId="270">
      <pivotArea collapsedLevelsAreSubtotals="1" fieldPosition="0">
        <references count="1">
          <reference field="1" count="1" selected="0">
            <x v="2"/>
          </reference>
        </references>
      </pivotArea>
    </format>
    <format dxfId="271">
      <pivotArea dataOnly="0" labelOnly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1"/>
        <item x="0"/>
        <item h="1"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72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x="170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Progression_Free_Survival" fld="2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1"/>
        <item x="2"/>
        <item x="3"/>
        <item x="0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Indicator" fld="1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4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VIS1:VIU18" firstHeaderRow="1" firstDataRow="1" firstDataCol="0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D4" sqref="D4:H4"/>
    </sheetView>
  </sheetViews>
  <sheetFormatPr defaultColWidth="8.88888888888889" defaultRowHeight="14.4"/>
  <cols>
    <col min="1" max="1" width="11.6666666666667"/>
    <col min="2" max="2" width="19.2222222222222"/>
  </cols>
  <sheetData>
    <row r="1" spans="1:1">
      <c r="A1" s="62" t="s">
        <v>0</v>
      </c>
    </row>
    <row r="3" spans="1:9">
      <c r="A3" s="28" t="s">
        <v>1</v>
      </c>
      <c r="B3" s="28" t="s">
        <v>2</v>
      </c>
      <c r="D3" s="2" t="s">
        <v>3</v>
      </c>
      <c r="E3" s="2"/>
      <c r="F3" s="2"/>
      <c r="G3" s="2"/>
      <c r="H3" s="2"/>
      <c r="I3" s="2"/>
    </row>
    <row r="4" spans="1:4">
      <c r="A4" t="s">
        <v>4</v>
      </c>
      <c r="B4" s="28">
        <v>197</v>
      </c>
      <c r="D4" s="2" t="s">
        <v>5</v>
      </c>
    </row>
    <row r="5" spans="1:2">
      <c r="A5" t="s">
        <v>6</v>
      </c>
      <c r="B5" s="4">
        <v>194</v>
      </c>
    </row>
    <row r="6" spans="1:2">
      <c r="A6" t="s">
        <v>7</v>
      </c>
      <c r="B6" s="4">
        <v>194</v>
      </c>
    </row>
    <row r="7" spans="1:2">
      <c r="A7" t="s">
        <v>8</v>
      </c>
      <c r="B7" s="4">
        <v>192</v>
      </c>
    </row>
    <row r="8" spans="1:2">
      <c r="A8" t="s">
        <v>9</v>
      </c>
      <c r="B8" s="4">
        <v>186</v>
      </c>
    </row>
    <row r="9" spans="1:2">
      <c r="A9" t="s">
        <v>10</v>
      </c>
      <c r="B9" s="4">
        <v>37</v>
      </c>
    </row>
    <row r="10" spans="1:2">
      <c r="A10" s="28" t="s">
        <v>11</v>
      </c>
      <c r="B10" s="28">
        <v>1000</v>
      </c>
    </row>
  </sheetData>
  <mergeCells count="3">
    <mergeCell ref="D3:I3"/>
    <mergeCell ref="D4:H4"/>
    <mergeCell ref="A1:L2"/>
  </mergeCells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3" sqref="A3:B8"/>
    </sheetView>
  </sheetViews>
  <sheetFormatPr defaultColWidth="8.88888888888889" defaultRowHeight="14.4" outlineLevelRow="7" outlineLevelCol="7"/>
  <cols>
    <col min="1" max="1" width="13.4444444444444"/>
    <col min="2" max="2" width="20.6666666666667"/>
  </cols>
  <sheetData>
    <row r="1" spans="1:1">
      <c r="A1" s="43" t="s">
        <v>12</v>
      </c>
    </row>
    <row r="3" spans="1:8">
      <c r="A3" t="s">
        <v>13</v>
      </c>
      <c r="B3" t="s">
        <v>14</v>
      </c>
      <c r="D3" s="2" t="s">
        <v>15</v>
      </c>
      <c r="E3" s="28"/>
      <c r="F3" s="28"/>
      <c r="G3" s="28"/>
      <c r="H3" s="28"/>
    </row>
    <row r="4" spans="1:4">
      <c r="A4" t="s">
        <v>16</v>
      </c>
      <c r="B4">
        <v>257</v>
      </c>
      <c r="D4" s="2" t="s">
        <v>17</v>
      </c>
    </row>
    <row r="5" spans="1:2">
      <c r="A5" t="s">
        <v>18</v>
      </c>
      <c r="B5">
        <v>248</v>
      </c>
    </row>
    <row r="6" spans="1:2">
      <c r="A6" t="s">
        <v>19</v>
      </c>
      <c r="B6">
        <v>255</v>
      </c>
    </row>
    <row r="7" spans="1:2">
      <c r="A7" t="s">
        <v>20</v>
      </c>
      <c r="B7">
        <v>240</v>
      </c>
    </row>
    <row r="8" spans="1:2">
      <c r="A8" t="s">
        <v>11</v>
      </c>
      <c r="B8">
        <v>1000</v>
      </c>
    </row>
  </sheetData>
  <mergeCells count="2">
    <mergeCell ref="A1:G1"/>
    <mergeCell ref="D4:H4"/>
  </mergeCells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2" sqref="A12"/>
    </sheetView>
  </sheetViews>
  <sheetFormatPr defaultColWidth="8.88888888888889" defaultRowHeight="14.4"/>
  <cols>
    <col min="1" max="1" width="20.8888888888889"/>
    <col min="2" max="5" width="13.8888888888889"/>
    <col min="6" max="7" width="11.4444444444444"/>
  </cols>
  <sheetData>
    <row r="1" spans="1:1">
      <c r="A1" s="43" t="s">
        <v>21</v>
      </c>
    </row>
    <row r="3" spans="1:2">
      <c r="A3" t="s">
        <v>22</v>
      </c>
      <c r="B3" t="s">
        <v>23</v>
      </c>
    </row>
    <row r="4" spans="1:6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11</v>
      </c>
    </row>
    <row r="5" spans="1:6">
      <c r="A5" t="s">
        <v>29</v>
      </c>
      <c r="B5">
        <v>52</v>
      </c>
      <c r="C5">
        <v>55</v>
      </c>
      <c r="D5">
        <v>45</v>
      </c>
      <c r="E5">
        <v>57</v>
      </c>
      <c r="F5">
        <v>209</v>
      </c>
    </row>
    <row r="6" spans="1:11">
      <c r="A6" s="60" t="s">
        <v>30</v>
      </c>
      <c r="B6" s="60">
        <v>38</v>
      </c>
      <c r="C6" s="60">
        <v>51</v>
      </c>
      <c r="D6" s="60">
        <v>45</v>
      </c>
      <c r="E6" s="60">
        <v>56</v>
      </c>
      <c r="F6" s="60">
        <v>190</v>
      </c>
      <c r="H6" s="61" t="s">
        <v>31</v>
      </c>
      <c r="I6" s="61"/>
      <c r="J6" s="61"/>
      <c r="K6" s="61"/>
    </row>
    <row r="7" spans="1:11">
      <c r="A7" s="42" t="s">
        <v>32</v>
      </c>
      <c r="B7" s="42">
        <v>57</v>
      </c>
      <c r="C7" s="42">
        <v>48</v>
      </c>
      <c r="D7" s="42">
        <v>60</v>
      </c>
      <c r="E7" s="42">
        <v>58</v>
      </c>
      <c r="F7" s="42">
        <v>223</v>
      </c>
      <c r="H7" s="49" t="s">
        <v>33</v>
      </c>
      <c r="I7" s="46"/>
      <c r="J7" s="46"/>
      <c r="K7" s="46"/>
    </row>
    <row r="8" spans="1:6">
      <c r="A8" t="s">
        <v>34</v>
      </c>
      <c r="B8">
        <v>62</v>
      </c>
      <c r="C8">
        <v>51</v>
      </c>
      <c r="D8">
        <v>56</v>
      </c>
      <c r="E8">
        <v>42</v>
      </c>
      <c r="F8">
        <v>211</v>
      </c>
    </row>
    <row r="9" spans="1:6">
      <c r="A9" t="s">
        <v>11</v>
      </c>
      <c r="B9">
        <v>209</v>
      </c>
      <c r="C9">
        <v>205</v>
      </c>
      <c r="D9">
        <v>206</v>
      </c>
      <c r="E9">
        <v>213</v>
      </c>
      <c r="F9">
        <v>833</v>
      </c>
    </row>
    <row r="11" spans="1:1">
      <c r="A11" s="2" t="s">
        <v>35</v>
      </c>
    </row>
    <row r="12" spans="1:1">
      <c r="A12" s="2" t="s">
        <v>36</v>
      </c>
    </row>
  </sheetData>
  <mergeCells count="4">
    <mergeCell ref="H6:K6"/>
    <mergeCell ref="H7:J7"/>
    <mergeCell ref="A11:F11"/>
    <mergeCell ref="A1:F2"/>
  </mergeCells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H11" sqref="H11:M11"/>
    </sheetView>
  </sheetViews>
  <sheetFormatPr defaultColWidth="8.88888888888889" defaultRowHeight="14.4"/>
  <cols>
    <col min="1" max="1" width="16.2222222222222"/>
    <col min="2" max="2" width="19.2222222222222"/>
  </cols>
  <sheetData>
    <row r="1" spans="1:1">
      <c r="A1" s="43" t="s">
        <v>37</v>
      </c>
    </row>
    <row r="3" spans="1:2">
      <c r="A3" t="s">
        <v>38</v>
      </c>
      <c r="B3" t="s">
        <v>2</v>
      </c>
    </row>
    <row r="4" spans="1:7">
      <c r="A4" s="2" t="s">
        <v>39</v>
      </c>
      <c r="B4" s="2">
        <v>208</v>
      </c>
      <c r="D4" s="58" t="s">
        <v>40</v>
      </c>
      <c r="E4" s="58"/>
      <c r="F4" s="58"/>
      <c r="G4" s="58"/>
    </row>
    <row r="5" spans="1:2">
      <c r="A5" t="s">
        <v>41</v>
      </c>
      <c r="B5">
        <v>202</v>
      </c>
    </row>
    <row r="6" spans="1:2">
      <c r="A6" t="s">
        <v>42</v>
      </c>
      <c r="B6">
        <v>201</v>
      </c>
    </row>
    <row r="7" spans="1:2">
      <c r="A7" t="s">
        <v>43</v>
      </c>
      <c r="B7">
        <v>198</v>
      </c>
    </row>
    <row r="8" spans="1:7">
      <c r="A8" s="59" t="s">
        <v>44</v>
      </c>
      <c r="B8" s="59">
        <v>191</v>
      </c>
      <c r="D8" s="53" t="s">
        <v>45</v>
      </c>
      <c r="E8" s="53"/>
      <c r="F8" s="53"/>
      <c r="G8" s="47"/>
    </row>
    <row r="9" spans="1:2">
      <c r="A9" t="s">
        <v>11</v>
      </c>
      <c r="B9">
        <v>1000</v>
      </c>
    </row>
    <row r="10" spans="8:8">
      <c r="H10" s="2" t="s">
        <v>46</v>
      </c>
    </row>
    <row r="11" spans="8:8">
      <c r="H11" s="2" t="s">
        <v>47</v>
      </c>
    </row>
  </sheetData>
  <mergeCells count="5">
    <mergeCell ref="A1:H1"/>
    <mergeCell ref="D4:G4"/>
    <mergeCell ref="D8:F8"/>
    <mergeCell ref="H10:M10"/>
    <mergeCell ref="H11:M11"/>
  </mergeCells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E4" sqref="E4:H4"/>
    </sheetView>
  </sheetViews>
  <sheetFormatPr defaultColWidth="8.88888888888889" defaultRowHeight="14.4" outlineLevelRow="7"/>
  <cols>
    <col min="1" max="1" width="13.8888888888889"/>
    <col min="2" max="2" width="19.7777777777778"/>
  </cols>
  <sheetData>
    <row r="1" spans="1:1">
      <c r="A1" s="43" t="s">
        <v>48</v>
      </c>
    </row>
    <row r="3" spans="1:2">
      <c r="A3" t="s">
        <v>24</v>
      </c>
      <c r="B3" t="s">
        <v>49</v>
      </c>
    </row>
    <row r="4" spans="1:8">
      <c r="A4" s="47" t="s">
        <v>32</v>
      </c>
      <c r="B4" s="47">
        <v>121.851851851852</v>
      </c>
      <c r="E4" t="s">
        <v>50</v>
      </c>
      <c r="H4" s="56" t="s">
        <v>51</v>
      </c>
    </row>
    <row r="5" spans="1:2">
      <c r="A5" t="s">
        <v>29</v>
      </c>
      <c r="B5">
        <v>123.770491803279</v>
      </c>
    </row>
    <row r="6" spans="1:2">
      <c r="A6" t="s">
        <v>34</v>
      </c>
      <c r="B6">
        <v>124.701195219124</v>
      </c>
    </row>
    <row r="7" spans="1:8">
      <c r="A7" s="40" t="s">
        <v>30</v>
      </c>
      <c r="B7" s="40">
        <v>130.63829787234</v>
      </c>
      <c r="E7" t="s">
        <v>52</v>
      </c>
      <c r="H7" s="57" t="s">
        <v>53</v>
      </c>
    </row>
    <row r="8" spans="1:2">
      <c r="A8" t="s">
        <v>11</v>
      </c>
      <c r="B8">
        <v>125.1</v>
      </c>
    </row>
  </sheetData>
  <mergeCells count="2">
    <mergeCell ref="A1:I1"/>
    <mergeCell ref="E7:G7"/>
  </mergeCells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F9" sqref="F9"/>
    </sheetView>
  </sheetViews>
  <sheetFormatPr defaultColWidth="8.88888888888889" defaultRowHeight="14.4"/>
  <cols>
    <col min="1" max="2" width="13.8888888888889"/>
    <col min="3" max="3" width="25.1111111111111"/>
  </cols>
  <sheetData>
    <row r="1" spans="1:1">
      <c r="A1" s="43" t="s">
        <v>54</v>
      </c>
    </row>
    <row r="3" spans="1:3">
      <c r="A3" t="s">
        <v>1</v>
      </c>
      <c r="B3" t="s">
        <v>24</v>
      </c>
      <c r="C3" t="s">
        <v>55</v>
      </c>
    </row>
    <row r="4" spans="1:14">
      <c r="A4" t="s">
        <v>8</v>
      </c>
      <c r="C4">
        <v>5.16302083333333</v>
      </c>
      <c r="F4" s="50" t="s">
        <v>56</v>
      </c>
      <c r="G4" s="47"/>
      <c r="H4" s="47"/>
      <c r="I4" s="47"/>
      <c r="J4" s="47"/>
      <c r="K4" s="47"/>
      <c r="L4" s="47"/>
      <c r="M4" s="47"/>
      <c r="N4" s="47"/>
    </row>
    <row r="5" spans="1:3">
      <c r="A5" t="s">
        <v>10</v>
      </c>
      <c r="C5">
        <v>5.39189189189189</v>
      </c>
    </row>
    <row r="6" spans="1:3">
      <c r="A6" t="s">
        <v>6</v>
      </c>
      <c r="C6">
        <v>5.42268041237113</v>
      </c>
    </row>
    <row r="7" spans="1:3">
      <c r="A7" t="s">
        <v>9</v>
      </c>
      <c r="C7">
        <v>5.4510752688172</v>
      </c>
    </row>
    <row r="8" spans="1:3">
      <c r="A8" t="s">
        <v>4</v>
      </c>
      <c r="C8">
        <v>5.45431472081218</v>
      </c>
    </row>
    <row r="9" spans="1:14">
      <c r="A9" t="s">
        <v>7</v>
      </c>
      <c r="C9">
        <v>5.51185567010309</v>
      </c>
      <c r="F9" s="41" t="s">
        <v>57</v>
      </c>
      <c r="G9" s="41"/>
      <c r="H9" s="41"/>
      <c r="I9" s="41"/>
      <c r="J9" s="41"/>
      <c r="K9" s="41"/>
      <c r="L9" s="41"/>
      <c r="M9" s="41"/>
      <c r="N9" s="41"/>
    </row>
    <row r="10" spans="1:3">
      <c r="A10" t="s">
        <v>11</v>
      </c>
      <c r="C10">
        <v>5.4005</v>
      </c>
    </row>
  </sheetData>
  <mergeCells count="2">
    <mergeCell ref="A1:H1"/>
    <mergeCell ref="F4:N4"/>
  </mergeCells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E5" sqref="E5"/>
    </sheetView>
  </sheetViews>
  <sheetFormatPr defaultColWidth="8.88888888888889" defaultRowHeight="14.4" outlineLevelRow="6"/>
  <cols>
    <col min="1" max="1" width="18.5555555555556"/>
    <col min="2" max="2" width="36.1111111111111"/>
  </cols>
  <sheetData>
    <row r="1" spans="1:1">
      <c r="A1" s="43" t="s">
        <v>58</v>
      </c>
    </row>
    <row r="3" spans="1:2">
      <c r="A3" t="s">
        <v>59</v>
      </c>
      <c r="B3" t="s">
        <v>60</v>
      </c>
    </row>
    <row r="4" spans="1:12">
      <c r="A4" t="s">
        <v>61</v>
      </c>
      <c r="B4">
        <v>11.5079395085066</v>
      </c>
      <c r="E4" s="2" t="s">
        <v>62</v>
      </c>
      <c r="F4" s="2"/>
      <c r="G4" s="2"/>
      <c r="H4" s="2"/>
      <c r="I4" s="2"/>
      <c r="J4" s="2"/>
      <c r="K4" s="2"/>
      <c r="L4" s="2"/>
    </row>
    <row r="5" spans="1:13">
      <c r="A5" t="s">
        <v>63</v>
      </c>
      <c r="B5">
        <v>11.6870488322718</v>
      </c>
      <c r="E5" s="2" t="s">
        <v>64</v>
      </c>
      <c r="F5" s="2"/>
      <c r="G5" s="2"/>
      <c r="H5" s="2"/>
      <c r="I5" s="2"/>
      <c r="J5" s="2"/>
      <c r="K5" s="2"/>
      <c r="L5" s="2"/>
      <c r="M5" s="2"/>
    </row>
    <row r="6" spans="1:13">
      <c r="A6" t="s">
        <v>11</v>
      </c>
      <c r="B6">
        <v>11.5923</v>
      </c>
      <c r="E6" s="2"/>
      <c r="F6" s="2"/>
      <c r="G6" s="2"/>
      <c r="H6" s="2"/>
      <c r="I6" s="2"/>
      <c r="J6" s="2"/>
      <c r="K6" s="2"/>
      <c r="L6" s="2"/>
      <c r="M6" s="2"/>
    </row>
    <row r="7" spans="5:15">
      <c r="E7" s="54" t="s">
        <v>65</v>
      </c>
      <c r="F7" s="55"/>
      <c r="G7" s="55"/>
      <c r="H7" s="55"/>
      <c r="I7" s="55"/>
      <c r="J7" s="55"/>
      <c r="K7" s="55"/>
      <c r="L7" s="55"/>
      <c r="M7" s="55"/>
      <c r="N7" s="55"/>
      <c r="O7" s="55"/>
    </row>
  </sheetData>
  <mergeCells count="2">
    <mergeCell ref="E7:O7"/>
    <mergeCell ref="A1:H2"/>
  </mergeCells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L10" sqref="L10"/>
    </sheetView>
  </sheetViews>
  <sheetFormatPr defaultColWidth="8.88888888888889" defaultRowHeight="14.4"/>
  <cols>
    <col min="1" max="1" width="11.6666666666667"/>
    <col min="2" max="2" width="13.8888888888889"/>
    <col min="3" max="3" width="24.2222222222222"/>
  </cols>
  <sheetData>
    <row r="1" spans="1:1">
      <c r="A1" s="43" t="s">
        <v>66</v>
      </c>
    </row>
    <row r="3" spans="1:10">
      <c r="A3" t="s">
        <v>67</v>
      </c>
      <c r="B3" t="s">
        <v>24</v>
      </c>
      <c r="C3" t="s">
        <v>68</v>
      </c>
      <c r="D3" s="41" t="s">
        <v>69</v>
      </c>
      <c r="E3" s="41"/>
      <c r="F3" s="41"/>
      <c r="G3" s="41"/>
      <c r="H3" s="41"/>
      <c r="I3" s="41"/>
      <c r="J3" s="41"/>
    </row>
    <row r="4" spans="1:3">
      <c r="A4" t="s">
        <v>70</v>
      </c>
      <c r="C4">
        <v>15.0755627009646</v>
      </c>
    </row>
    <row r="5" spans="2:3">
      <c r="B5" t="s">
        <v>29</v>
      </c>
      <c r="C5">
        <v>15.2159420289855</v>
      </c>
    </row>
    <row r="6" spans="2:3">
      <c r="B6" t="s">
        <v>30</v>
      </c>
      <c r="C6">
        <v>15.274025974026</v>
      </c>
    </row>
    <row r="7" spans="2:3">
      <c r="B7" t="s">
        <v>32</v>
      </c>
      <c r="C7">
        <v>14.5067415730337</v>
      </c>
    </row>
    <row r="8" spans="2:3">
      <c r="B8" t="s">
        <v>34</v>
      </c>
      <c r="C8">
        <v>15.4131578947368</v>
      </c>
    </row>
    <row r="9" spans="1:3">
      <c r="A9" t="s">
        <v>71</v>
      </c>
      <c r="C9">
        <v>14.8402266288952</v>
      </c>
    </row>
    <row r="10" spans="2:3">
      <c r="B10" t="s">
        <v>29</v>
      </c>
      <c r="C10">
        <v>14.2561224489796</v>
      </c>
    </row>
    <row r="11" spans="2:3">
      <c r="B11" t="s">
        <v>30</v>
      </c>
      <c r="C11">
        <v>15.2941176470588</v>
      </c>
    </row>
    <row r="12" spans="2:3">
      <c r="B12" t="s">
        <v>32</v>
      </c>
      <c r="C12">
        <v>14.8166666666667</v>
      </c>
    </row>
    <row r="13" spans="2:3">
      <c r="B13" t="s">
        <v>34</v>
      </c>
      <c r="C13">
        <v>15.1340206185567</v>
      </c>
    </row>
    <row r="14" spans="1:3">
      <c r="A14" t="s">
        <v>44</v>
      </c>
      <c r="C14">
        <v>14.9767857142857</v>
      </c>
    </row>
    <row r="15" spans="2:3">
      <c r="B15" t="s">
        <v>29</v>
      </c>
      <c r="C15">
        <v>15.2779220779221</v>
      </c>
    </row>
    <row r="16" spans="2:3">
      <c r="B16" t="s">
        <v>30</v>
      </c>
      <c r="C16">
        <v>14.9711111111111</v>
      </c>
    </row>
    <row r="17" spans="2:3">
      <c r="B17" t="s">
        <v>32</v>
      </c>
      <c r="C17">
        <v>14.4989010989011</v>
      </c>
    </row>
    <row r="18" spans="2:3">
      <c r="B18" t="s">
        <v>34</v>
      </c>
      <c r="C18">
        <v>15.2435897435897</v>
      </c>
    </row>
    <row r="19" spans="1:3">
      <c r="A19" t="s">
        <v>11</v>
      </c>
      <c r="C19">
        <v>14.9593</v>
      </c>
    </row>
  </sheetData>
  <mergeCells count="2">
    <mergeCell ref="A1:I1"/>
    <mergeCell ref="D3:J3"/>
  </mergeCells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M14" sqref="M14"/>
    </sheetView>
  </sheetViews>
  <sheetFormatPr defaultColWidth="8.88888888888889" defaultRowHeight="14.4"/>
  <cols>
    <col min="1" max="1" width="11.6666666666667"/>
    <col min="2" max="2" width="22.4444444444444"/>
    <col min="3" max="3" width="20.8888888888889"/>
  </cols>
  <sheetData>
    <row r="1" spans="1:1">
      <c r="A1" s="52" t="s">
        <v>72</v>
      </c>
    </row>
    <row r="3" spans="1:8">
      <c r="A3" t="s">
        <v>1</v>
      </c>
      <c r="B3" t="s">
        <v>73</v>
      </c>
      <c r="C3" t="s">
        <v>22</v>
      </c>
      <c r="D3" s="41" t="s">
        <v>74</v>
      </c>
      <c r="E3" s="46"/>
      <c r="F3" s="46"/>
      <c r="G3" s="46"/>
      <c r="H3" s="46"/>
    </row>
    <row r="4" spans="1:11">
      <c r="A4" t="s">
        <v>10</v>
      </c>
      <c r="C4">
        <v>37</v>
      </c>
      <c r="D4" s="53" t="s">
        <v>75</v>
      </c>
      <c r="E4" s="53"/>
      <c r="F4" s="53"/>
      <c r="G4" s="53"/>
      <c r="H4" s="53"/>
      <c r="I4" s="53"/>
      <c r="J4" s="53"/>
      <c r="K4" s="53"/>
    </row>
    <row r="5" spans="1:3">
      <c r="A5" t="s">
        <v>9</v>
      </c>
      <c r="C5">
        <v>186</v>
      </c>
    </row>
    <row r="6" spans="1:3">
      <c r="A6" t="s">
        <v>8</v>
      </c>
      <c r="C6">
        <v>192</v>
      </c>
    </row>
    <row r="7" spans="1:3">
      <c r="A7" t="s">
        <v>7</v>
      </c>
      <c r="C7">
        <v>194</v>
      </c>
    </row>
    <row r="8" spans="1:3">
      <c r="A8" t="s">
        <v>6</v>
      </c>
      <c r="C8">
        <v>194</v>
      </c>
    </row>
    <row r="9" spans="1:3">
      <c r="A9" t="s">
        <v>4</v>
      </c>
      <c r="C9">
        <v>197</v>
      </c>
    </row>
    <row r="10" spans="1:3">
      <c r="A10" t="s">
        <v>11</v>
      </c>
      <c r="C10">
        <v>1000</v>
      </c>
    </row>
  </sheetData>
  <mergeCells count="2">
    <mergeCell ref="D4:K4"/>
    <mergeCell ref="A1:I2"/>
  </mergeCells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I14" sqref="I14"/>
    </sheetView>
  </sheetViews>
  <sheetFormatPr defaultColWidth="8.88888888888889" defaultRowHeight="14.4"/>
  <cols>
    <col min="1" max="1" width="14.2222222222222"/>
    <col min="2" max="2" width="25.1111111111111"/>
  </cols>
  <sheetData>
    <row r="1" spans="1:1">
      <c r="A1" s="43" t="s">
        <v>76</v>
      </c>
    </row>
    <row r="3" spans="1:2">
      <c r="A3" t="s">
        <v>77</v>
      </c>
      <c r="B3" t="s">
        <v>55</v>
      </c>
    </row>
    <row r="4" spans="1:14">
      <c r="A4" s="46" t="s">
        <v>78</v>
      </c>
      <c r="B4" s="46">
        <v>5.24183673469388</v>
      </c>
      <c r="E4" s="49" t="s">
        <v>79</v>
      </c>
      <c r="F4" s="49"/>
      <c r="G4" s="49"/>
      <c r="H4" s="49"/>
      <c r="I4" s="49"/>
      <c r="J4" s="49"/>
      <c r="K4" s="49"/>
      <c r="L4" s="49"/>
      <c r="M4" s="49"/>
      <c r="N4" s="49"/>
    </row>
    <row r="5" spans="1:2">
      <c r="A5" t="s">
        <v>80</v>
      </c>
      <c r="B5">
        <v>5.27061611374407</v>
      </c>
    </row>
    <row r="6" spans="1:2">
      <c r="A6" t="s">
        <v>81</v>
      </c>
      <c r="B6">
        <v>5.43901098901099</v>
      </c>
    </row>
    <row r="7" spans="1:2">
      <c r="A7" t="s">
        <v>82</v>
      </c>
      <c r="B7">
        <v>5.51959798994974</v>
      </c>
    </row>
    <row r="8" spans="1:14">
      <c r="A8" s="50" t="s">
        <v>83</v>
      </c>
      <c r="B8" s="50">
        <v>5.53160377358491</v>
      </c>
      <c r="E8" s="51" t="s">
        <v>84</v>
      </c>
      <c r="F8" s="51"/>
      <c r="G8" s="51"/>
      <c r="H8" s="51"/>
      <c r="I8" s="51"/>
      <c r="J8" s="51"/>
      <c r="K8" s="51"/>
      <c r="L8" s="51"/>
      <c r="M8" s="51"/>
      <c r="N8" s="51"/>
    </row>
    <row r="9" spans="1:2">
      <c r="A9" t="s">
        <v>11</v>
      </c>
      <c r="B9">
        <v>5.4005</v>
      </c>
    </row>
  </sheetData>
  <mergeCells count="2">
    <mergeCell ref="E8:N8"/>
    <mergeCell ref="A1:H2"/>
  </mergeCells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L18" sqref="L18"/>
    </sheetView>
  </sheetViews>
  <sheetFormatPr defaultColWidth="8.88888888888889" defaultRowHeight="14.4"/>
  <cols>
    <col min="1" max="1" width="11.6666666666667"/>
    <col min="2" max="2" width="26.2222222222222"/>
    <col min="3" max="3" width="14.1111111111111"/>
  </cols>
  <sheetData>
    <row r="1" spans="1:1">
      <c r="A1" s="2" t="s">
        <v>85</v>
      </c>
    </row>
    <row r="3" spans="1:2">
      <c r="A3" t="s">
        <v>86</v>
      </c>
      <c r="B3" t="s">
        <v>87</v>
      </c>
    </row>
    <row r="4" spans="1:11">
      <c r="A4">
        <v>50</v>
      </c>
      <c r="B4">
        <v>245</v>
      </c>
      <c r="C4" s="46" cm="1">
        <f t="array" ref="C4">-CORREL(A4:A7,B4:B7)</f>
        <v>-0.0511309992564914</v>
      </c>
      <c r="D4" s="47" t="s">
        <v>88</v>
      </c>
      <c r="E4" s="47"/>
      <c r="F4" s="47"/>
      <c r="G4" s="47"/>
      <c r="H4" s="47"/>
      <c r="I4" s="47"/>
      <c r="J4" s="47"/>
      <c r="K4" s="47"/>
    </row>
    <row r="5" spans="1:10">
      <c r="A5">
        <v>100</v>
      </c>
      <c r="B5">
        <v>262</v>
      </c>
      <c r="C5" s="48" t="s">
        <v>89</v>
      </c>
      <c r="D5" s="4"/>
      <c r="E5" s="4"/>
      <c r="F5" s="4"/>
      <c r="G5" s="4"/>
      <c r="H5" s="4"/>
      <c r="I5" s="4"/>
      <c r="J5" s="4"/>
    </row>
    <row r="6" spans="1:10">
      <c r="A6">
        <v>150</v>
      </c>
      <c r="B6">
        <v>239</v>
      </c>
      <c r="C6" s="4"/>
      <c r="D6" s="4"/>
      <c r="E6" s="4"/>
      <c r="F6" s="4"/>
      <c r="G6" s="4"/>
      <c r="H6" s="4"/>
      <c r="I6" s="4"/>
      <c r="J6" s="4"/>
    </row>
    <row r="7" spans="1:10">
      <c r="A7">
        <v>200</v>
      </c>
      <c r="B7">
        <v>254</v>
      </c>
      <c r="C7" s="4"/>
      <c r="D7" s="4"/>
      <c r="E7" s="4"/>
      <c r="F7" s="4"/>
      <c r="G7" s="4"/>
      <c r="H7" s="4"/>
      <c r="I7" s="4"/>
      <c r="J7" s="4"/>
    </row>
    <row r="8" spans="1:10">
      <c r="A8" t="s">
        <v>11</v>
      </c>
      <c r="B8">
        <v>1000</v>
      </c>
      <c r="C8" s="4"/>
      <c r="D8" s="4"/>
      <c r="E8" s="4"/>
      <c r="F8" s="4"/>
      <c r="G8" s="4"/>
      <c r="H8" s="4"/>
      <c r="I8" s="4"/>
      <c r="J8" s="4"/>
    </row>
    <row r="9" spans="3:18">
      <c r="C9" s="48" t="s">
        <v>90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3:18"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</row>
    <row r="11" spans="3:18"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</row>
    <row r="12" spans="3:18"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 spans="3:10">
      <c r="C13" s="48"/>
      <c r="D13" s="4"/>
      <c r="E13" s="4"/>
      <c r="F13" s="4"/>
      <c r="G13" s="4"/>
      <c r="H13" s="4"/>
      <c r="I13" s="4"/>
      <c r="J13" s="4"/>
    </row>
    <row r="14" spans="3:10">
      <c r="C14" s="4"/>
      <c r="D14" s="4"/>
      <c r="E14" s="4"/>
      <c r="F14" s="4"/>
      <c r="G14" s="4"/>
      <c r="H14" s="4"/>
      <c r="I14" s="4"/>
      <c r="J14" s="4"/>
    </row>
    <row r="15" spans="3:10">
      <c r="C15" s="4"/>
      <c r="D15" s="4"/>
      <c r="E15" s="4"/>
      <c r="F15" s="4"/>
      <c r="G15" s="4"/>
      <c r="H15" s="4"/>
      <c r="I15" s="4"/>
      <c r="J15" s="4"/>
    </row>
    <row r="16" spans="3:10">
      <c r="C16" s="4"/>
      <c r="D16" s="4"/>
      <c r="E16" s="4"/>
      <c r="F16" s="4"/>
      <c r="G16" s="4"/>
      <c r="H16" s="4"/>
      <c r="I16" s="4"/>
      <c r="J16" s="4"/>
    </row>
    <row r="17" spans="3:10">
      <c r="C17" s="48"/>
      <c r="D17" s="4"/>
      <c r="E17" s="4"/>
      <c r="F17" s="4"/>
      <c r="G17" s="4"/>
      <c r="H17" s="4"/>
      <c r="I17" s="4"/>
      <c r="J17" s="4"/>
    </row>
    <row r="18" spans="3:10">
      <c r="C18" s="4"/>
      <c r="D18" s="4"/>
      <c r="E18" s="4"/>
      <c r="F18" s="4"/>
      <c r="G18" s="4"/>
      <c r="H18" s="4"/>
      <c r="I18" s="4"/>
      <c r="J18" s="4"/>
    </row>
    <row r="19" spans="3:10">
      <c r="C19" s="4"/>
      <c r="D19" s="4"/>
      <c r="E19" s="4"/>
      <c r="F19" s="4"/>
      <c r="G19" s="4"/>
      <c r="H19" s="4"/>
      <c r="I19" s="4"/>
      <c r="J19" s="4"/>
    </row>
    <row r="20" spans="3:10">
      <c r="C20" s="4"/>
      <c r="D20" s="4"/>
      <c r="E20" s="4"/>
      <c r="F20" s="4"/>
      <c r="G20" s="4"/>
      <c r="H20" s="4"/>
      <c r="I20" s="4"/>
      <c r="J20" s="4"/>
    </row>
  </sheetData>
  <mergeCells count="5">
    <mergeCell ref="A1:I2"/>
    <mergeCell ref="C5:J8"/>
    <mergeCell ref="C13:J16"/>
    <mergeCell ref="C17:J20"/>
    <mergeCell ref="C9:K12"/>
  </mergeCells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6"/>
  <sheetViews>
    <sheetView workbookViewId="0">
      <selection activeCell="G1064" sqref="G1064"/>
    </sheetView>
  </sheetViews>
  <sheetFormatPr defaultColWidth="8.88888888888889" defaultRowHeight="14.4"/>
  <cols>
    <col min="1" max="2" width="14.2222222222222"/>
    <col min="3" max="3" width="24.2222222222222"/>
  </cols>
  <sheetData>
    <row r="1" spans="1:1">
      <c r="A1" s="43" t="s">
        <v>91</v>
      </c>
    </row>
    <row r="3" spans="1:13">
      <c r="A3" t="s">
        <v>92</v>
      </c>
      <c r="B3" t="s">
        <v>77</v>
      </c>
      <c r="C3" t="s">
        <v>68</v>
      </c>
      <c r="E3" s="43"/>
      <c r="M3" s="45" t="e" cm="1">
        <f ca="1" t="array" ref="M3">E4CORREL(D3B4:B1175,C4:C1175)</f>
        <v>#NAME?</v>
      </c>
    </row>
    <row r="4" spans="1:4">
      <c r="A4">
        <v>1</v>
      </c>
      <c r="C4">
        <v>19.4</v>
      </c>
      <c r="D4" cm="1">
        <f t="array" ref="D4">IFERROR(CORREL(B4:B1175,C4:C1175),0)</f>
        <v>0</v>
      </c>
    </row>
    <row r="5" ht="18" spans="2:4">
      <c r="B5" t="s">
        <v>83</v>
      </c>
      <c r="C5">
        <v>19.4</v>
      </c>
      <c r="D5" s="35" t="s">
        <v>93</v>
      </c>
    </row>
    <row r="6" spans="1:3">
      <c r="A6">
        <v>1.02</v>
      </c>
      <c r="C6">
        <v>11.5</v>
      </c>
    </row>
    <row r="7" spans="2:4">
      <c r="B7" t="s">
        <v>81</v>
      </c>
      <c r="C7">
        <v>11.5</v>
      </c>
      <c r="D7" s="44" t="s">
        <v>94</v>
      </c>
    </row>
    <row r="8" spans="1:4">
      <c r="A8">
        <v>1.03</v>
      </c>
      <c r="C8">
        <v>11.425</v>
      </c>
      <c r="D8" s="44" t="s">
        <v>95</v>
      </c>
    </row>
    <row r="9" spans="2:4">
      <c r="B9" t="s">
        <v>78</v>
      </c>
      <c r="C9">
        <v>10.4</v>
      </c>
      <c r="D9" s="44" t="s">
        <v>96</v>
      </c>
    </row>
    <row r="10" spans="2:3">
      <c r="B10" t="s">
        <v>80</v>
      </c>
      <c r="C10">
        <v>6.7</v>
      </c>
    </row>
    <row r="11" spans="2:3">
      <c r="B11" t="s">
        <v>81</v>
      </c>
      <c r="C11">
        <v>14.3</v>
      </c>
    </row>
    <row r="12" spans="1:3">
      <c r="A12">
        <v>1.04</v>
      </c>
      <c r="C12">
        <v>19.45</v>
      </c>
    </row>
    <row r="13" spans="2:3">
      <c r="B13" t="s">
        <v>78</v>
      </c>
      <c r="C13">
        <v>17.2</v>
      </c>
    </row>
    <row r="14" spans="2:3">
      <c r="B14" t="s">
        <v>80</v>
      </c>
      <c r="C14">
        <v>21.7</v>
      </c>
    </row>
    <row r="15" spans="1:3">
      <c r="A15">
        <v>1.05</v>
      </c>
      <c r="C15">
        <v>20.4</v>
      </c>
    </row>
    <row r="16" spans="2:3">
      <c r="B16" t="s">
        <v>83</v>
      </c>
      <c r="C16">
        <v>18.95</v>
      </c>
    </row>
    <row r="17" spans="2:3">
      <c r="B17" t="s">
        <v>78</v>
      </c>
      <c r="C17">
        <v>23.3</v>
      </c>
    </row>
    <row r="18" spans="1:3">
      <c r="A18">
        <v>1.06</v>
      </c>
      <c r="C18">
        <v>20</v>
      </c>
    </row>
    <row r="19" spans="2:3">
      <c r="B19" t="s">
        <v>83</v>
      </c>
      <c r="C19">
        <v>22</v>
      </c>
    </row>
    <row r="20" spans="2:3">
      <c r="B20" t="s">
        <v>78</v>
      </c>
      <c r="C20">
        <v>18</v>
      </c>
    </row>
    <row r="21" spans="1:3">
      <c r="A21">
        <v>1.07</v>
      </c>
      <c r="C21">
        <v>8.9</v>
      </c>
    </row>
    <row r="22" spans="2:3">
      <c r="B22" t="s">
        <v>83</v>
      </c>
      <c r="C22">
        <v>8.9</v>
      </c>
    </row>
    <row r="23" spans="1:3">
      <c r="A23">
        <v>1.08</v>
      </c>
      <c r="C23">
        <v>15.1333333333333</v>
      </c>
    </row>
    <row r="24" spans="2:3">
      <c r="B24" t="s">
        <v>83</v>
      </c>
      <c r="C24">
        <v>14.9</v>
      </c>
    </row>
    <row r="25" spans="2:3">
      <c r="B25" t="s">
        <v>82</v>
      </c>
      <c r="C25">
        <v>15.25</v>
      </c>
    </row>
    <row r="26" spans="1:3">
      <c r="A26">
        <v>1.09</v>
      </c>
      <c r="C26">
        <v>12.9</v>
      </c>
    </row>
    <row r="27" spans="2:3">
      <c r="B27" t="s">
        <v>78</v>
      </c>
      <c r="C27">
        <v>8.4</v>
      </c>
    </row>
    <row r="28" spans="2:3">
      <c r="B28" t="s">
        <v>80</v>
      </c>
      <c r="C28">
        <v>17.4</v>
      </c>
    </row>
    <row r="29" spans="1:3">
      <c r="A29">
        <v>1.1</v>
      </c>
      <c r="C29">
        <v>17.4666666666667</v>
      </c>
    </row>
    <row r="30" spans="2:3">
      <c r="B30" t="s">
        <v>83</v>
      </c>
      <c r="C30">
        <v>18.55</v>
      </c>
    </row>
    <row r="31" spans="2:3">
      <c r="B31" t="s">
        <v>80</v>
      </c>
      <c r="C31">
        <v>15.3</v>
      </c>
    </row>
    <row r="32" spans="1:3">
      <c r="A32">
        <v>1.11</v>
      </c>
      <c r="C32">
        <v>23.1</v>
      </c>
    </row>
    <row r="33" spans="2:3">
      <c r="B33" t="s">
        <v>78</v>
      </c>
      <c r="C33">
        <v>23.1</v>
      </c>
    </row>
    <row r="34" spans="1:3">
      <c r="A34">
        <v>1.12</v>
      </c>
      <c r="C34">
        <v>16.2</v>
      </c>
    </row>
    <row r="35" spans="2:3">
      <c r="B35" t="s">
        <v>82</v>
      </c>
      <c r="C35">
        <v>9.6</v>
      </c>
    </row>
    <row r="36" spans="2:3">
      <c r="B36" t="s">
        <v>81</v>
      </c>
      <c r="C36">
        <v>22.8</v>
      </c>
    </row>
    <row r="37" spans="1:3">
      <c r="A37">
        <v>1.13</v>
      </c>
      <c r="C37">
        <v>12.1</v>
      </c>
    </row>
    <row r="38" spans="2:3">
      <c r="B38" t="s">
        <v>83</v>
      </c>
      <c r="C38">
        <v>15.7</v>
      </c>
    </row>
    <row r="39" spans="2:3">
      <c r="B39" t="s">
        <v>81</v>
      </c>
      <c r="C39">
        <v>8.5</v>
      </c>
    </row>
    <row r="40" spans="1:3">
      <c r="A40">
        <v>1.14</v>
      </c>
      <c r="C40">
        <v>11</v>
      </c>
    </row>
    <row r="41" spans="2:3">
      <c r="B41" t="s">
        <v>80</v>
      </c>
      <c r="C41">
        <v>12.5</v>
      </c>
    </row>
    <row r="42" spans="2:3">
      <c r="B42" t="s">
        <v>81</v>
      </c>
      <c r="C42">
        <v>9.5</v>
      </c>
    </row>
    <row r="43" spans="1:3">
      <c r="A43">
        <v>1.15</v>
      </c>
      <c r="C43">
        <v>14.1</v>
      </c>
    </row>
    <row r="44" spans="2:3">
      <c r="B44" t="s">
        <v>83</v>
      </c>
      <c r="C44">
        <v>8.2</v>
      </c>
    </row>
    <row r="45" spans="2:3">
      <c r="B45" t="s">
        <v>78</v>
      </c>
      <c r="C45">
        <v>17.5</v>
      </c>
    </row>
    <row r="46" spans="2:3">
      <c r="B46" t="s">
        <v>80</v>
      </c>
      <c r="C46">
        <v>22.6</v>
      </c>
    </row>
    <row r="47" spans="2:3">
      <c r="B47" t="s">
        <v>81</v>
      </c>
      <c r="C47">
        <v>8.1</v>
      </c>
    </row>
    <row r="48" spans="1:3">
      <c r="A48">
        <v>1.16</v>
      </c>
      <c r="C48">
        <v>15.55</v>
      </c>
    </row>
    <row r="49" spans="2:3">
      <c r="B49" t="s">
        <v>80</v>
      </c>
      <c r="C49">
        <v>15.55</v>
      </c>
    </row>
    <row r="50" spans="1:3">
      <c r="A50">
        <v>1.17</v>
      </c>
      <c r="C50">
        <v>12.2</v>
      </c>
    </row>
    <row r="51" spans="2:3">
      <c r="B51" t="s">
        <v>81</v>
      </c>
      <c r="C51">
        <v>12.2</v>
      </c>
    </row>
    <row r="52" spans="1:3">
      <c r="A52">
        <v>1.19</v>
      </c>
      <c r="C52">
        <v>21.7</v>
      </c>
    </row>
    <row r="53" spans="2:3">
      <c r="B53" t="s">
        <v>80</v>
      </c>
      <c r="C53">
        <v>21.7</v>
      </c>
    </row>
    <row r="54" spans="1:3">
      <c r="A54">
        <v>1.2</v>
      </c>
      <c r="C54">
        <v>20.3</v>
      </c>
    </row>
    <row r="55" spans="2:3">
      <c r="B55" t="s">
        <v>83</v>
      </c>
      <c r="C55">
        <v>20.3</v>
      </c>
    </row>
    <row r="56" spans="1:3">
      <c r="A56">
        <v>1.21</v>
      </c>
      <c r="C56">
        <v>21.3</v>
      </c>
    </row>
    <row r="57" spans="2:3">
      <c r="B57" t="s">
        <v>78</v>
      </c>
      <c r="C57">
        <v>21.3</v>
      </c>
    </row>
    <row r="58" spans="1:3">
      <c r="A58">
        <v>1.22</v>
      </c>
      <c r="C58">
        <v>12.5</v>
      </c>
    </row>
    <row r="59" spans="2:3">
      <c r="B59" t="s">
        <v>78</v>
      </c>
      <c r="C59">
        <v>12.3</v>
      </c>
    </row>
    <row r="60" spans="2:3">
      <c r="B60" t="s">
        <v>82</v>
      </c>
      <c r="C60">
        <v>12.9</v>
      </c>
    </row>
    <row r="61" spans="1:3">
      <c r="A61">
        <v>1.23</v>
      </c>
      <c r="C61">
        <v>16.7</v>
      </c>
    </row>
    <row r="62" spans="2:3">
      <c r="B62" t="s">
        <v>83</v>
      </c>
      <c r="C62">
        <v>8.7</v>
      </c>
    </row>
    <row r="63" spans="2:3">
      <c r="B63" t="s">
        <v>80</v>
      </c>
      <c r="C63">
        <v>18.7</v>
      </c>
    </row>
    <row r="64" spans="2:3">
      <c r="B64" t="s">
        <v>81</v>
      </c>
      <c r="C64">
        <v>22.7</v>
      </c>
    </row>
    <row r="65" spans="1:3">
      <c r="A65">
        <v>1.24</v>
      </c>
      <c r="C65">
        <v>14.5</v>
      </c>
    </row>
    <row r="66" spans="2:3">
      <c r="B66" t="s">
        <v>83</v>
      </c>
      <c r="C66">
        <v>14.55</v>
      </c>
    </row>
    <row r="67" spans="2:3">
      <c r="B67" t="s">
        <v>78</v>
      </c>
      <c r="C67">
        <v>15.4</v>
      </c>
    </row>
    <row r="68" spans="2:3">
      <c r="B68" t="s">
        <v>80</v>
      </c>
      <c r="C68">
        <v>13.5</v>
      </c>
    </row>
    <row r="69" spans="1:3">
      <c r="A69">
        <v>1.25</v>
      </c>
      <c r="C69">
        <v>16.6</v>
      </c>
    </row>
    <row r="70" spans="2:3">
      <c r="B70" t="s">
        <v>78</v>
      </c>
      <c r="C70">
        <v>15.7</v>
      </c>
    </row>
    <row r="71" spans="2:3">
      <c r="B71" t="s">
        <v>82</v>
      </c>
      <c r="C71">
        <v>20.7</v>
      </c>
    </row>
    <row r="72" spans="2:3">
      <c r="B72" t="s">
        <v>81</v>
      </c>
      <c r="C72">
        <v>14.3</v>
      </c>
    </row>
    <row r="73" spans="1:3">
      <c r="A73">
        <v>1.27</v>
      </c>
      <c r="C73">
        <v>16.3428571428571</v>
      </c>
    </row>
    <row r="74" spans="2:3">
      <c r="B74" t="s">
        <v>83</v>
      </c>
      <c r="C74">
        <v>22.2</v>
      </c>
    </row>
    <row r="75" spans="2:3">
      <c r="B75" t="s">
        <v>78</v>
      </c>
      <c r="C75">
        <v>15.2666666666667</v>
      </c>
    </row>
    <row r="76" spans="2:3">
      <c r="B76" t="s">
        <v>80</v>
      </c>
      <c r="C76">
        <v>11.9</v>
      </c>
    </row>
    <row r="77" spans="2:3">
      <c r="B77" t="s">
        <v>81</v>
      </c>
      <c r="C77">
        <v>17.25</v>
      </c>
    </row>
    <row r="78" spans="1:3">
      <c r="A78">
        <v>1.28</v>
      </c>
      <c r="C78">
        <v>17.3</v>
      </c>
    </row>
    <row r="79" spans="2:3">
      <c r="B79" t="s">
        <v>81</v>
      </c>
      <c r="C79">
        <v>17.3</v>
      </c>
    </row>
    <row r="80" spans="1:3">
      <c r="A80">
        <v>1.29</v>
      </c>
      <c r="C80">
        <v>16.8</v>
      </c>
    </row>
    <row r="81" spans="2:3">
      <c r="B81" t="s">
        <v>82</v>
      </c>
      <c r="C81">
        <v>16.8</v>
      </c>
    </row>
    <row r="82" spans="1:3">
      <c r="A82">
        <v>1.3</v>
      </c>
      <c r="C82">
        <v>15.375</v>
      </c>
    </row>
    <row r="83" spans="2:3">
      <c r="B83" t="s">
        <v>78</v>
      </c>
      <c r="C83">
        <v>14.3</v>
      </c>
    </row>
    <row r="84" spans="2:3">
      <c r="B84" t="s">
        <v>80</v>
      </c>
      <c r="C84">
        <v>18.45</v>
      </c>
    </row>
    <row r="85" spans="2:3">
      <c r="B85" t="s">
        <v>82</v>
      </c>
      <c r="C85">
        <v>10.3</v>
      </c>
    </row>
    <row r="86" spans="1:3">
      <c r="A86">
        <v>1.31</v>
      </c>
      <c r="C86">
        <v>17.2333333333333</v>
      </c>
    </row>
    <row r="87" spans="2:3">
      <c r="B87" t="s">
        <v>83</v>
      </c>
      <c r="C87">
        <v>17.6</v>
      </c>
    </row>
    <row r="88" spans="2:3">
      <c r="B88" t="s">
        <v>80</v>
      </c>
      <c r="C88">
        <v>20.8</v>
      </c>
    </row>
    <row r="89" spans="2:3">
      <c r="B89" t="s">
        <v>81</v>
      </c>
      <c r="C89">
        <v>13.3</v>
      </c>
    </row>
    <row r="90" spans="1:3">
      <c r="A90">
        <v>1.32</v>
      </c>
      <c r="C90">
        <v>15.94</v>
      </c>
    </row>
    <row r="91" spans="2:3">
      <c r="B91" t="s">
        <v>83</v>
      </c>
      <c r="C91">
        <v>7.6</v>
      </c>
    </row>
    <row r="92" spans="2:3">
      <c r="B92" t="s">
        <v>78</v>
      </c>
      <c r="C92">
        <v>20.9</v>
      </c>
    </row>
    <row r="93" spans="2:3">
      <c r="B93" t="s">
        <v>80</v>
      </c>
      <c r="C93">
        <v>15.25</v>
      </c>
    </row>
    <row r="94" spans="2:3">
      <c r="B94" t="s">
        <v>82</v>
      </c>
      <c r="C94">
        <v>20.7</v>
      </c>
    </row>
    <row r="95" spans="1:3">
      <c r="A95">
        <v>1.33</v>
      </c>
      <c r="C95">
        <v>9.95</v>
      </c>
    </row>
    <row r="96" spans="2:3">
      <c r="B96" t="s">
        <v>83</v>
      </c>
      <c r="C96">
        <v>6.9</v>
      </c>
    </row>
    <row r="97" spans="2:3">
      <c r="B97" t="s">
        <v>81</v>
      </c>
      <c r="C97">
        <v>13</v>
      </c>
    </row>
    <row r="98" spans="1:3">
      <c r="A98">
        <v>1.34</v>
      </c>
      <c r="C98">
        <v>16.7666666666667</v>
      </c>
    </row>
    <row r="99" spans="2:3">
      <c r="B99" t="s">
        <v>82</v>
      </c>
      <c r="C99">
        <v>21.9</v>
      </c>
    </row>
    <row r="100" spans="2:3">
      <c r="B100" t="s">
        <v>81</v>
      </c>
      <c r="C100">
        <v>14.2</v>
      </c>
    </row>
    <row r="101" spans="1:3">
      <c r="A101">
        <v>1.35</v>
      </c>
      <c r="C101">
        <v>14.98</v>
      </c>
    </row>
    <row r="102" spans="2:3">
      <c r="B102" t="s">
        <v>83</v>
      </c>
      <c r="C102">
        <v>20.3</v>
      </c>
    </row>
    <row r="103" spans="2:3">
      <c r="B103" t="s">
        <v>80</v>
      </c>
      <c r="C103">
        <v>8</v>
      </c>
    </row>
    <row r="104" spans="2:3">
      <c r="B104" t="s">
        <v>82</v>
      </c>
      <c r="C104">
        <v>19.2</v>
      </c>
    </row>
    <row r="105" spans="2:3">
      <c r="B105" t="s">
        <v>81</v>
      </c>
      <c r="C105">
        <v>19.4</v>
      </c>
    </row>
    <row r="106" spans="1:3">
      <c r="A106">
        <v>1.37</v>
      </c>
      <c r="C106">
        <v>18.1666666666667</v>
      </c>
    </row>
    <row r="107" spans="2:3">
      <c r="B107" t="s">
        <v>83</v>
      </c>
      <c r="C107">
        <v>23.1</v>
      </c>
    </row>
    <row r="108" spans="2:3">
      <c r="B108" t="s">
        <v>78</v>
      </c>
      <c r="C108">
        <v>13.8</v>
      </c>
    </row>
    <row r="109" spans="2:3">
      <c r="B109" t="s">
        <v>80</v>
      </c>
      <c r="C109">
        <v>17.6</v>
      </c>
    </row>
    <row r="110" spans="1:3">
      <c r="A110">
        <v>1.38</v>
      </c>
      <c r="C110">
        <v>18.9</v>
      </c>
    </row>
    <row r="111" spans="2:3">
      <c r="B111" t="s">
        <v>78</v>
      </c>
      <c r="C111">
        <v>18.9</v>
      </c>
    </row>
    <row r="112" spans="1:3">
      <c r="A112">
        <v>1.39</v>
      </c>
      <c r="C112">
        <v>19.1</v>
      </c>
    </row>
    <row r="113" spans="2:3">
      <c r="B113" t="s">
        <v>82</v>
      </c>
      <c r="C113">
        <v>19.1</v>
      </c>
    </row>
    <row r="114" spans="1:3">
      <c r="A114">
        <v>1.4</v>
      </c>
      <c r="C114">
        <v>9.7</v>
      </c>
    </row>
    <row r="115" spans="2:3">
      <c r="B115" t="s">
        <v>82</v>
      </c>
      <c r="C115">
        <v>9.7</v>
      </c>
    </row>
    <row r="116" spans="1:3">
      <c r="A116">
        <v>1.41</v>
      </c>
      <c r="C116">
        <v>17.3</v>
      </c>
    </row>
    <row r="117" spans="2:3">
      <c r="B117" t="s">
        <v>83</v>
      </c>
      <c r="C117">
        <v>12.6</v>
      </c>
    </row>
    <row r="118" spans="2:3">
      <c r="B118" t="s">
        <v>78</v>
      </c>
      <c r="C118">
        <v>21.2</v>
      </c>
    </row>
    <row r="119" spans="2:3">
      <c r="B119" t="s">
        <v>82</v>
      </c>
      <c r="C119">
        <v>18.1</v>
      </c>
    </row>
    <row r="120" spans="1:3">
      <c r="A120">
        <v>1.42</v>
      </c>
      <c r="C120">
        <v>12.36</v>
      </c>
    </row>
    <row r="121" spans="2:3">
      <c r="B121" t="s">
        <v>83</v>
      </c>
      <c r="C121">
        <v>8.1</v>
      </c>
    </row>
    <row r="122" spans="2:3">
      <c r="B122" t="s">
        <v>80</v>
      </c>
      <c r="C122">
        <v>10.2</v>
      </c>
    </row>
    <row r="123" spans="2:3">
      <c r="B123" t="s">
        <v>82</v>
      </c>
      <c r="C123">
        <v>13.15</v>
      </c>
    </row>
    <row r="124" spans="2:3">
      <c r="B124" t="s">
        <v>81</v>
      </c>
      <c r="C124">
        <v>17.2</v>
      </c>
    </row>
    <row r="125" spans="1:3">
      <c r="A125">
        <v>1.43</v>
      </c>
      <c r="C125">
        <v>15.6</v>
      </c>
    </row>
    <row r="126" spans="2:3">
      <c r="B126" t="s">
        <v>78</v>
      </c>
      <c r="C126">
        <v>19.8</v>
      </c>
    </row>
    <row r="127" spans="2:3">
      <c r="B127" t="s">
        <v>80</v>
      </c>
      <c r="C127">
        <v>11.4</v>
      </c>
    </row>
    <row r="128" spans="1:3">
      <c r="A128">
        <v>1.44</v>
      </c>
      <c r="C128">
        <v>14.9666666666667</v>
      </c>
    </row>
    <row r="129" spans="2:3">
      <c r="B129" t="s">
        <v>78</v>
      </c>
      <c r="C129">
        <v>21.2</v>
      </c>
    </row>
    <row r="130" spans="2:3">
      <c r="B130" t="s">
        <v>80</v>
      </c>
      <c r="C130">
        <v>10.5</v>
      </c>
    </row>
    <row r="131" spans="2:3">
      <c r="B131" t="s">
        <v>82</v>
      </c>
      <c r="C131">
        <v>13.2</v>
      </c>
    </row>
    <row r="132" spans="1:3">
      <c r="A132">
        <v>1.46</v>
      </c>
      <c r="C132">
        <v>13</v>
      </c>
    </row>
    <row r="133" spans="2:3">
      <c r="B133" t="s">
        <v>80</v>
      </c>
      <c r="C133">
        <v>13</v>
      </c>
    </row>
    <row r="134" spans="1:3">
      <c r="A134">
        <v>1.47</v>
      </c>
      <c r="C134">
        <v>14.05</v>
      </c>
    </row>
    <row r="135" spans="2:3">
      <c r="B135" t="s">
        <v>80</v>
      </c>
      <c r="C135">
        <v>15.9</v>
      </c>
    </row>
    <row r="136" spans="2:3">
      <c r="B136" t="s">
        <v>82</v>
      </c>
      <c r="C136">
        <v>12.2</v>
      </c>
    </row>
    <row r="137" spans="1:3">
      <c r="A137">
        <v>1.48</v>
      </c>
      <c r="C137">
        <v>16.74</v>
      </c>
    </row>
    <row r="138" spans="2:3">
      <c r="B138" t="s">
        <v>83</v>
      </c>
      <c r="C138">
        <v>22.1</v>
      </c>
    </row>
    <row r="139" spans="2:3">
      <c r="B139" t="s">
        <v>78</v>
      </c>
      <c r="C139">
        <v>13.4</v>
      </c>
    </row>
    <row r="140" spans="2:3">
      <c r="B140" t="s">
        <v>81</v>
      </c>
      <c r="C140">
        <v>12.7</v>
      </c>
    </row>
    <row r="141" spans="1:3">
      <c r="A141">
        <v>1.49</v>
      </c>
      <c r="C141">
        <v>11.9333333333333</v>
      </c>
    </row>
    <row r="142" spans="2:3">
      <c r="B142" t="s">
        <v>83</v>
      </c>
      <c r="C142">
        <v>11.7</v>
      </c>
    </row>
    <row r="143" spans="2:3">
      <c r="B143" t="s">
        <v>82</v>
      </c>
      <c r="C143">
        <v>12.4</v>
      </c>
    </row>
    <row r="144" spans="1:3">
      <c r="A144">
        <v>1.5</v>
      </c>
      <c r="C144">
        <v>9.4</v>
      </c>
    </row>
    <row r="145" spans="2:3">
      <c r="B145" t="s">
        <v>83</v>
      </c>
      <c r="C145">
        <v>9.4</v>
      </c>
    </row>
    <row r="146" spans="1:3">
      <c r="A146">
        <v>1.51</v>
      </c>
      <c r="C146">
        <v>15.55</v>
      </c>
    </row>
    <row r="147" spans="2:3">
      <c r="B147" t="s">
        <v>80</v>
      </c>
      <c r="C147">
        <v>17.6</v>
      </c>
    </row>
    <row r="148" spans="2:3">
      <c r="B148" t="s">
        <v>82</v>
      </c>
      <c r="C148">
        <v>13.5</v>
      </c>
    </row>
    <row r="149" spans="1:3">
      <c r="A149">
        <v>1.52</v>
      </c>
      <c r="C149">
        <v>18.1</v>
      </c>
    </row>
    <row r="150" spans="2:3">
      <c r="B150" t="s">
        <v>78</v>
      </c>
      <c r="C150">
        <v>18.1</v>
      </c>
    </row>
    <row r="151" spans="1:3">
      <c r="A151">
        <v>1.53</v>
      </c>
      <c r="C151">
        <v>11.4</v>
      </c>
    </row>
    <row r="152" spans="2:3">
      <c r="B152" t="s">
        <v>80</v>
      </c>
      <c r="C152">
        <v>9.2</v>
      </c>
    </row>
    <row r="153" spans="2:3">
      <c r="B153" t="s">
        <v>82</v>
      </c>
      <c r="C153">
        <v>13.6</v>
      </c>
    </row>
    <row r="154" spans="1:3">
      <c r="A154">
        <v>1.54</v>
      </c>
      <c r="C154">
        <v>13.7</v>
      </c>
    </row>
    <row r="155" spans="2:3">
      <c r="B155" t="s">
        <v>78</v>
      </c>
      <c r="C155">
        <v>13.7</v>
      </c>
    </row>
    <row r="156" spans="1:3">
      <c r="A156">
        <v>1.55</v>
      </c>
      <c r="C156">
        <v>13.7</v>
      </c>
    </row>
    <row r="157" spans="2:3">
      <c r="B157" t="s">
        <v>83</v>
      </c>
      <c r="C157">
        <v>13.7</v>
      </c>
    </row>
    <row r="158" spans="1:3">
      <c r="A158">
        <v>1.56</v>
      </c>
      <c r="C158">
        <v>15.35</v>
      </c>
    </row>
    <row r="159" spans="2:3">
      <c r="B159" t="s">
        <v>83</v>
      </c>
      <c r="C159">
        <v>22.1</v>
      </c>
    </row>
    <row r="160" spans="2:3">
      <c r="B160" t="s">
        <v>80</v>
      </c>
      <c r="C160">
        <v>12.2</v>
      </c>
    </row>
    <row r="161" spans="2:3">
      <c r="B161" t="s">
        <v>82</v>
      </c>
      <c r="C161">
        <v>13.25</v>
      </c>
    </row>
    <row r="162" spans="2:3">
      <c r="B162" t="s">
        <v>81</v>
      </c>
      <c r="C162">
        <v>15.65</v>
      </c>
    </row>
    <row r="163" spans="1:3">
      <c r="A163">
        <v>1.57</v>
      </c>
      <c r="C163">
        <v>10.45</v>
      </c>
    </row>
    <row r="164" spans="2:3">
      <c r="B164" t="s">
        <v>80</v>
      </c>
      <c r="C164">
        <v>7.8</v>
      </c>
    </row>
    <row r="165" spans="2:3">
      <c r="B165" t="s">
        <v>81</v>
      </c>
      <c r="C165">
        <v>13.1</v>
      </c>
    </row>
    <row r="166" spans="1:3">
      <c r="A166">
        <v>1.59</v>
      </c>
      <c r="C166">
        <v>18.75</v>
      </c>
    </row>
    <row r="167" spans="2:3">
      <c r="B167" t="s">
        <v>83</v>
      </c>
      <c r="C167">
        <v>14.1</v>
      </c>
    </row>
    <row r="168" spans="2:3">
      <c r="B168" t="s">
        <v>81</v>
      </c>
      <c r="C168">
        <v>23.4</v>
      </c>
    </row>
    <row r="169" spans="1:3">
      <c r="A169">
        <v>1.6</v>
      </c>
      <c r="C169">
        <v>17.4</v>
      </c>
    </row>
    <row r="170" spans="2:3">
      <c r="B170" t="s">
        <v>80</v>
      </c>
      <c r="C170">
        <v>15</v>
      </c>
    </row>
    <row r="171" spans="2:3">
      <c r="B171" t="s">
        <v>82</v>
      </c>
      <c r="C171">
        <v>18.6</v>
      </c>
    </row>
    <row r="172" spans="1:3">
      <c r="A172">
        <v>1.61</v>
      </c>
      <c r="C172">
        <v>15.6285714285714</v>
      </c>
    </row>
    <row r="173" spans="2:3">
      <c r="B173" t="s">
        <v>83</v>
      </c>
      <c r="C173">
        <v>14.3</v>
      </c>
    </row>
    <row r="174" spans="2:3">
      <c r="B174" t="s">
        <v>78</v>
      </c>
      <c r="C174">
        <v>19.8</v>
      </c>
    </row>
    <row r="175" spans="2:3">
      <c r="B175" t="s">
        <v>80</v>
      </c>
      <c r="C175">
        <v>19.2</v>
      </c>
    </row>
    <row r="176" spans="2:3">
      <c r="B176" t="s">
        <v>82</v>
      </c>
      <c r="C176">
        <v>19.4</v>
      </c>
    </row>
    <row r="177" spans="2:3">
      <c r="B177" t="s">
        <v>81</v>
      </c>
      <c r="C177">
        <v>8.45</v>
      </c>
    </row>
    <row r="178" spans="1:3">
      <c r="A178">
        <v>1.62</v>
      </c>
      <c r="C178">
        <v>11.5333333333333</v>
      </c>
    </row>
    <row r="179" spans="2:3">
      <c r="B179" t="s">
        <v>83</v>
      </c>
      <c r="C179">
        <v>16.7</v>
      </c>
    </row>
    <row r="180" spans="2:3">
      <c r="B180" t="s">
        <v>78</v>
      </c>
      <c r="C180">
        <v>11.4</v>
      </c>
    </row>
    <row r="181" spans="2:3">
      <c r="B181" t="s">
        <v>81</v>
      </c>
      <c r="C181">
        <v>6.5</v>
      </c>
    </row>
    <row r="182" spans="1:3">
      <c r="A182">
        <v>1.63</v>
      </c>
      <c r="C182">
        <v>10.9</v>
      </c>
    </row>
    <row r="183" spans="2:3">
      <c r="B183" t="s">
        <v>82</v>
      </c>
      <c r="C183">
        <v>10.9</v>
      </c>
    </row>
    <row r="184" spans="1:3">
      <c r="A184">
        <v>1.64</v>
      </c>
      <c r="C184">
        <v>14.8</v>
      </c>
    </row>
    <row r="185" spans="2:3">
      <c r="B185" t="s">
        <v>83</v>
      </c>
      <c r="C185">
        <v>14.3</v>
      </c>
    </row>
    <row r="186" spans="2:3">
      <c r="B186" t="s">
        <v>80</v>
      </c>
      <c r="C186">
        <v>11.6</v>
      </c>
    </row>
    <row r="187" spans="2:3">
      <c r="B187" t="s">
        <v>81</v>
      </c>
      <c r="C187">
        <v>18.5</v>
      </c>
    </row>
    <row r="188" spans="1:3">
      <c r="A188">
        <v>1.65</v>
      </c>
      <c r="C188">
        <v>15.3166666666667</v>
      </c>
    </row>
    <row r="189" spans="2:3">
      <c r="B189" t="s">
        <v>83</v>
      </c>
      <c r="C189">
        <v>13.05</v>
      </c>
    </row>
    <row r="190" spans="2:3">
      <c r="B190" t="s">
        <v>78</v>
      </c>
      <c r="C190">
        <v>19.3</v>
      </c>
    </row>
    <row r="191" spans="2:3">
      <c r="B191" t="s">
        <v>80</v>
      </c>
      <c r="C191">
        <v>16.3</v>
      </c>
    </row>
    <row r="192" spans="2:3">
      <c r="B192" t="s">
        <v>82</v>
      </c>
      <c r="C192">
        <v>15.1</v>
      </c>
    </row>
    <row r="193" spans="1:3">
      <c r="A193">
        <v>1.66</v>
      </c>
      <c r="C193">
        <v>16.4</v>
      </c>
    </row>
    <row r="194" spans="2:3">
      <c r="B194" t="s">
        <v>81</v>
      </c>
      <c r="C194">
        <v>16.4</v>
      </c>
    </row>
    <row r="195" spans="1:3">
      <c r="A195">
        <v>1.67</v>
      </c>
      <c r="C195">
        <v>17.575</v>
      </c>
    </row>
    <row r="196" spans="2:3">
      <c r="B196" t="s">
        <v>78</v>
      </c>
      <c r="C196">
        <v>9.4</v>
      </c>
    </row>
    <row r="197" spans="2:3">
      <c r="B197" t="s">
        <v>80</v>
      </c>
      <c r="C197">
        <v>20.8</v>
      </c>
    </row>
    <row r="198" spans="2:3">
      <c r="B198" t="s">
        <v>82</v>
      </c>
      <c r="C198">
        <v>19.3</v>
      </c>
    </row>
    <row r="199" spans="1:3">
      <c r="A199">
        <v>1.68</v>
      </c>
      <c r="C199">
        <v>11.4</v>
      </c>
    </row>
    <row r="200" spans="2:3">
      <c r="B200" t="s">
        <v>80</v>
      </c>
      <c r="C200">
        <v>15.2</v>
      </c>
    </row>
    <row r="201" spans="2:3">
      <c r="B201" t="s">
        <v>82</v>
      </c>
      <c r="C201">
        <v>7.6</v>
      </c>
    </row>
    <row r="202" spans="1:3">
      <c r="A202">
        <v>1.69</v>
      </c>
      <c r="C202">
        <v>16.0666666666667</v>
      </c>
    </row>
    <row r="203" spans="2:3">
      <c r="B203" t="s">
        <v>78</v>
      </c>
      <c r="C203">
        <v>11.1</v>
      </c>
    </row>
    <row r="204" spans="2:3">
      <c r="B204" t="s">
        <v>82</v>
      </c>
      <c r="C204">
        <v>21.7</v>
      </c>
    </row>
    <row r="205" spans="2:3">
      <c r="B205" t="s">
        <v>81</v>
      </c>
      <c r="C205">
        <v>15.4</v>
      </c>
    </row>
    <row r="206" spans="1:3">
      <c r="A206">
        <v>1.7</v>
      </c>
      <c r="C206">
        <v>14.8</v>
      </c>
    </row>
    <row r="207" spans="2:3">
      <c r="B207" t="s">
        <v>78</v>
      </c>
      <c r="C207">
        <v>18.5</v>
      </c>
    </row>
    <row r="208" spans="2:3">
      <c r="B208" t="s">
        <v>80</v>
      </c>
      <c r="C208">
        <v>17.3</v>
      </c>
    </row>
    <row r="209" spans="2:3">
      <c r="B209" t="s">
        <v>81</v>
      </c>
      <c r="C209">
        <v>8.6</v>
      </c>
    </row>
    <row r="210" spans="1:3">
      <c r="A210">
        <v>1.71</v>
      </c>
      <c r="C210">
        <v>15.94</v>
      </c>
    </row>
    <row r="211" spans="2:3">
      <c r="B211" t="s">
        <v>83</v>
      </c>
      <c r="C211">
        <v>11.7</v>
      </c>
    </row>
    <row r="212" spans="2:3">
      <c r="B212" t="s">
        <v>78</v>
      </c>
      <c r="C212">
        <v>13.3</v>
      </c>
    </row>
    <row r="213" spans="2:3">
      <c r="B213" t="s">
        <v>80</v>
      </c>
      <c r="C213">
        <v>23</v>
      </c>
    </row>
    <row r="214" spans="2:3">
      <c r="B214" t="s">
        <v>82</v>
      </c>
      <c r="C214">
        <v>20</v>
      </c>
    </row>
    <row r="215" spans="1:3">
      <c r="A215">
        <v>1.72</v>
      </c>
      <c r="C215">
        <v>13.2</v>
      </c>
    </row>
    <row r="216" spans="2:3">
      <c r="B216" t="s">
        <v>82</v>
      </c>
      <c r="C216">
        <v>13.3</v>
      </c>
    </row>
    <row r="217" spans="2:3">
      <c r="B217" t="s">
        <v>81</v>
      </c>
      <c r="C217">
        <v>13.1</v>
      </c>
    </row>
    <row r="218" spans="1:3">
      <c r="A218">
        <v>1.73</v>
      </c>
      <c r="C218">
        <v>22.7</v>
      </c>
    </row>
    <row r="219" spans="2:3">
      <c r="B219" t="s">
        <v>81</v>
      </c>
      <c r="C219">
        <v>22.7</v>
      </c>
    </row>
    <row r="220" spans="1:3">
      <c r="A220">
        <v>1.74</v>
      </c>
      <c r="C220">
        <v>15.22</v>
      </c>
    </row>
    <row r="221" spans="2:3">
      <c r="B221" t="s">
        <v>83</v>
      </c>
      <c r="C221">
        <v>10.75</v>
      </c>
    </row>
    <row r="222" spans="2:3">
      <c r="B222" t="s">
        <v>82</v>
      </c>
      <c r="C222">
        <v>17.7</v>
      </c>
    </row>
    <row r="223" spans="2:3">
      <c r="B223" t="s">
        <v>81</v>
      </c>
      <c r="C223">
        <v>19.2</v>
      </c>
    </row>
    <row r="224" spans="1:3">
      <c r="A224">
        <v>1.75</v>
      </c>
      <c r="C224">
        <v>14</v>
      </c>
    </row>
    <row r="225" spans="2:3">
      <c r="B225" t="s">
        <v>83</v>
      </c>
      <c r="C225">
        <v>14</v>
      </c>
    </row>
    <row r="226" spans="1:3">
      <c r="A226">
        <v>1.76</v>
      </c>
      <c r="C226">
        <v>14.95</v>
      </c>
    </row>
    <row r="227" spans="2:3">
      <c r="B227" t="s">
        <v>82</v>
      </c>
      <c r="C227">
        <v>13.7</v>
      </c>
    </row>
    <row r="228" spans="2:3">
      <c r="B228" t="s">
        <v>81</v>
      </c>
      <c r="C228">
        <v>16.2</v>
      </c>
    </row>
    <row r="229" spans="1:3">
      <c r="A229">
        <v>1.77</v>
      </c>
      <c r="C229">
        <v>17.075</v>
      </c>
    </row>
    <row r="230" spans="2:3">
      <c r="B230" t="s">
        <v>78</v>
      </c>
      <c r="C230">
        <v>16.2</v>
      </c>
    </row>
    <row r="231" spans="2:3">
      <c r="B231" t="s">
        <v>81</v>
      </c>
      <c r="C231">
        <v>17.95</v>
      </c>
    </row>
    <row r="232" spans="1:3">
      <c r="A232">
        <v>1.78</v>
      </c>
      <c r="C232">
        <v>23.6</v>
      </c>
    </row>
    <row r="233" spans="2:3">
      <c r="B233" t="s">
        <v>81</v>
      </c>
      <c r="C233">
        <v>23.6</v>
      </c>
    </row>
    <row r="234" spans="1:3">
      <c r="A234">
        <v>1.79</v>
      </c>
      <c r="C234">
        <v>14.5666666666667</v>
      </c>
    </row>
    <row r="235" spans="2:3">
      <c r="B235" t="s">
        <v>83</v>
      </c>
      <c r="C235">
        <v>7.5</v>
      </c>
    </row>
    <row r="236" spans="2:3">
      <c r="B236" t="s">
        <v>80</v>
      </c>
      <c r="C236">
        <v>12.7</v>
      </c>
    </row>
    <row r="237" spans="2:3">
      <c r="B237" t="s">
        <v>82</v>
      </c>
      <c r="C237">
        <v>23.5</v>
      </c>
    </row>
    <row r="238" spans="1:3">
      <c r="A238">
        <v>1.8</v>
      </c>
      <c r="C238">
        <v>13.7</v>
      </c>
    </row>
    <row r="239" spans="2:3">
      <c r="B239" t="s">
        <v>78</v>
      </c>
      <c r="C239">
        <v>17.5</v>
      </c>
    </row>
    <row r="240" spans="2:3">
      <c r="B240" t="s">
        <v>81</v>
      </c>
      <c r="C240">
        <v>11.8</v>
      </c>
    </row>
    <row r="241" spans="1:3">
      <c r="A241">
        <v>1.81</v>
      </c>
      <c r="C241">
        <v>13.2333333333333</v>
      </c>
    </row>
    <row r="242" spans="2:3">
      <c r="B242" t="s">
        <v>83</v>
      </c>
      <c r="C242">
        <v>13.2</v>
      </c>
    </row>
    <row r="243" spans="2:3">
      <c r="B243" t="s">
        <v>81</v>
      </c>
      <c r="C243">
        <v>13.25</v>
      </c>
    </row>
    <row r="244" spans="1:3">
      <c r="A244">
        <v>1.82</v>
      </c>
      <c r="C244">
        <v>10.4875</v>
      </c>
    </row>
    <row r="245" spans="2:3">
      <c r="B245" t="s">
        <v>83</v>
      </c>
      <c r="C245">
        <v>7</v>
      </c>
    </row>
    <row r="246" spans="2:3">
      <c r="B246" t="s">
        <v>80</v>
      </c>
      <c r="C246">
        <v>11.7</v>
      </c>
    </row>
    <row r="247" spans="2:3">
      <c r="B247" t="s">
        <v>82</v>
      </c>
      <c r="C247">
        <v>6.6</v>
      </c>
    </row>
    <row r="248" spans="2:3">
      <c r="B248" t="s">
        <v>81</v>
      </c>
      <c r="C248">
        <v>13.4333333333333</v>
      </c>
    </row>
    <row r="249" spans="1:3">
      <c r="A249">
        <v>1.83</v>
      </c>
      <c r="C249">
        <v>16.5</v>
      </c>
    </row>
    <row r="250" spans="2:3">
      <c r="B250" t="s">
        <v>82</v>
      </c>
      <c r="C250">
        <v>16.5</v>
      </c>
    </row>
    <row r="251" spans="1:3">
      <c r="A251">
        <v>1.84</v>
      </c>
      <c r="C251">
        <v>9.53333333333333</v>
      </c>
    </row>
    <row r="252" spans="2:3">
      <c r="B252" t="s">
        <v>83</v>
      </c>
      <c r="C252">
        <v>9.5</v>
      </c>
    </row>
    <row r="253" spans="2:3">
      <c r="B253" t="s">
        <v>80</v>
      </c>
      <c r="C253">
        <v>12.2</v>
      </c>
    </row>
    <row r="254" spans="2:3">
      <c r="B254" t="s">
        <v>81</v>
      </c>
      <c r="C254">
        <v>6.9</v>
      </c>
    </row>
    <row r="255" spans="1:3">
      <c r="A255">
        <v>1.85</v>
      </c>
      <c r="C255">
        <v>16.8</v>
      </c>
    </row>
    <row r="256" spans="2:3">
      <c r="B256" t="s">
        <v>78</v>
      </c>
      <c r="C256">
        <v>16.1</v>
      </c>
    </row>
    <row r="257" spans="2:3">
      <c r="B257" t="s">
        <v>80</v>
      </c>
      <c r="C257">
        <v>21.1</v>
      </c>
    </row>
    <row r="258" spans="2:3">
      <c r="B258" t="s">
        <v>82</v>
      </c>
      <c r="C258">
        <v>13.2</v>
      </c>
    </row>
    <row r="259" spans="1:3">
      <c r="A259">
        <v>1.86</v>
      </c>
      <c r="C259">
        <v>19.2</v>
      </c>
    </row>
    <row r="260" spans="2:3">
      <c r="B260" t="s">
        <v>83</v>
      </c>
      <c r="C260">
        <v>23.2</v>
      </c>
    </row>
    <row r="261" spans="2:3">
      <c r="B261" t="s">
        <v>82</v>
      </c>
      <c r="C261">
        <v>17.2</v>
      </c>
    </row>
    <row r="262" spans="1:3">
      <c r="A262">
        <v>1.87</v>
      </c>
      <c r="C262">
        <v>20.75</v>
      </c>
    </row>
    <row r="263" spans="2:3">
      <c r="B263" t="s">
        <v>83</v>
      </c>
      <c r="C263">
        <v>17.9</v>
      </c>
    </row>
    <row r="264" spans="2:3">
      <c r="B264" t="s">
        <v>81</v>
      </c>
      <c r="C264">
        <v>23.6</v>
      </c>
    </row>
    <row r="265" spans="1:3">
      <c r="A265">
        <v>1.88</v>
      </c>
      <c r="C265">
        <v>12.25</v>
      </c>
    </row>
    <row r="266" spans="2:3">
      <c r="B266" t="s">
        <v>80</v>
      </c>
      <c r="C266">
        <v>12.25</v>
      </c>
    </row>
    <row r="267" spans="1:3">
      <c r="A267">
        <v>1.9</v>
      </c>
      <c r="C267">
        <v>7.7</v>
      </c>
    </row>
    <row r="268" spans="2:3">
      <c r="B268" t="s">
        <v>80</v>
      </c>
      <c r="C268">
        <v>6.2</v>
      </c>
    </row>
    <row r="269" spans="2:3">
      <c r="B269" t="s">
        <v>82</v>
      </c>
      <c r="C269">
        <v>9.2</v>
      </c>
    </row>
    <row r="270" spans="1:3">
      <c r="A270">
        <v>1.91</v>
      </c>
      <c r="C270">
        <v>20.95</v>
      </c>
    </row>
    <row r="271" spans="2:3">
      <c r="B271" t="s">
        <v>83</v>
      </c>
      <c r="C271">
        <v>22.9</v>
      </c>
    </row>
    <row r="272" spans="2:3">
      <c r="B272" t="s">
        <v>78</v>
      </c>
      <c r="C272">
        <v>19</v>
      </c>
    </row>
    <row r="273" spans="1:3">
      <c r="A273">
        <v>1.92</v>
      </c>
      <c r="C273">
        <v>13.0333333333333</v>
      </c>
    </row>
    <row r="274" spans="2:3">
      <c r="B274" t="s">
        <v>83</v>
      </c>
      <c r="C274">
        <v>15.65</v>
      </c>
    </row>
    <row r="275" spans="2:3">
      <c r="B275" t="s">
        <v>78</v>
      </c>
      <c r="C275">
        <v>7.8</v>
      </c>
    </row>
    <row r="276" spans="1:3">
      <c r="A276">
        <v>1.93</v>
      </c>
      <c r="C276">
        <v>14.9</v>
      </c>
    </row>
    <row r="277" spans="2:3">
      <c r="B277" t="s">
        <v>80</v>
      </c>
      <c r="C277">
        <v>14.9</v>
      </c>
    </row>
    <row r="278" spans="1:3">
      <c r="A278">
        <v>1.94</v>
      </c>
      <c r="C278">
        <v>18.8</v>
      </c>
    </row>
    <row r="279" spans="2:3">
      <c r="B279" t="s">
        <v>81</v>
      </c>
      <c r="C279">
        <v>18.8</v>
      </c>
    </row>
    <row r="280" spans="1:3">
      <c r="A280">
        <v>1.95</v>
      </c>
      <c r="C280">
        <v>9.9</v>
      </c>
    </row>
    <row r="281" spans="2:3">
      <c r="B281" t="s">
        <v>78</v>
      </c>
      <c r="C281">
        <v>9.9</v>
      </c>
    </row>
    <row r="282" spans="1:3">
      <c r="A282">
        <v>1.96</v>
      </c>
      <c r="C282">
        <v>14.8</v>
      </c>
    </row>
    <row r="283" spans="2:3">
      <c r="B283" t="s">
        <v>83</v>
      </c>
      <c r="C283">
        <v>8.3</v>
      </c>
    </row>
    <row r="284" spans="2:3">
      <c r="B284" t="s">
        <v>80</v>
      </c>
      <c r="C284">
        <v>14.1</v>
      </c>
    </row>
    <row r="285" spans="2:3">
      <c r="B285" t="s">
        <v>82</v>
      </c>
      <c r="C285">
        <v>22</v>
      </c>
    </row>
    <row r="286" spans="1:3">
      <c r="A286">
        <v>1.97</v>
      </c>
      <c r="C286">
        <v>23.1</v>
      </c>
    </row>
    <row r="287" spans="2:3">
      <c r="B287" t="s">
        <v>80</v>
      </c>
      <c r="C287">
        <v>23.1</v>
      </c>
    </row>
    <row r="288" spans="1:3">
      <c r="A288">
        <v>1.98</v>
      </c>
      <c r="C288">
        <v>10.5</v>
      </c>
    </row>
    <row r="289" spans="2:3">
      <c r="B289" t="s">
        <v>83</v>
      </c>
      <c r="C289">
        <v>10.5</v>
      </c>
    </row>
    <row r="290" spans="1:3">
      <c r="A290">
        <v>1.99</v>
      </c>
      <c r="C290">
        <v>9.4</v>
      </c>
    </row>
    <row r="291" spans="2:3">
      <c r="B291" t="s">
        <v>81</v>
      </c>
      <c r="C291">
        <v>9.4</v>
      </c>
    </row>
    <row r="292" spans="1:3">
      <c r="A292">
        <v>2</v>
      </c>
      <c r="C292">
        <v>16.7</v>
      </c>
    </row>
    <row r="293" spans="2:3">
      <c r="B293" t="s">
        <v>78</v>
      </c>
      <c r="C293">
        <v>16.7</v>
      </c>
    </row>
    <row r="294" spans="1:3">
      <c r="A294">
        <v>2.01</v>
      </c>
      <c r="C294">
        <v>18.4</v>
      </c>
    </row>
    <row r="295" spans="2:3">
      <c r="B295" t="s">
        <v>83</v>
      </c>
      <c r="C295">
        <v>15.6</v>
      </c>
    </row>
    <row r="296" spans="2:3">
      <c r="B296" t="s">
        <v>82</v>
      </c>
      <c r="C296">
        <v>21.2</v>
      </c>
    </row>
    <row r="297" spans="1:3">
      <c r="A297">
        <v>2.02</v>
      </c>
      <c r="C297">
        <v>6.8</v>
      </c>
    </row>
    <row r="298" spans="2:3">
      <c r="B298" t="s">
        <v>80</v>
      </c>
      <c r="C298">
        <v>6.8</v>
      </c>
    </row>
    <row r="299" spans="1:3">
      <c r="A299">
        <v>2.03</v>
      </c>
      <c r="C299">
        <v>19.35</v>
      </c>
    </row>
    <row r="300" spans="2:3">
      <c r="B300" t="s">
        <v>83</v>
      </c>
      <c r="C300">
        <v>19.4</v>
      </c>
    </row>
    <row r="301" spans="2:3">
      <c r="B301" t="s">
        <v>78</v>
      </c>
      <c r="C301">
        <v>20.5</v>
      </c>
    </row>
    <row r="302" spans="2:3">
      <c r="B302" t="s">
        <v>81</v>
      </c>
      <c r="C302">
        <v>18.75</v>
      </c>
    </row>
    <row r="303" spans="1:3">
      <c r="A303">
        <v>2.04</v>
      </c>
      <c r="C303">
        <v>13.98</v>
      </c>
    </row>
    <row r="304" spans="2:3">
      <c r="B304" t="s">
        <v>83</v>
      </c>
      <c r="C304">
        <v>14.1333333333333</v>
      </c>
    </row>
    <row r="305" spans="2:3">
      <c r="B305" t="s">
        <v>78</v>
      </c>
      <c r="C305">
        <v>16.1</v>
      </c>
    </row>
    <row r="306" spans="2:3">
      <c r="B306" t="s">
        <v>80</v>
      </c>
      <c r="C306">
        <v>11.4</v>
      </c>
    </row>
    <row r="307" spans="1:3">
      <c r="A307">
        <v>2.05</v>
      </c>
      <c r="C307">
        <v>15.2333333333333</v>
      </c>
    </row>
    <row r="308" spans="2:3">
      <c r="B308" t="s">
        <v>78</v>
      </c>
      <c r="C308">
        <v>10.5</v>
      </c>
    </row>
    <row r="309" spans="2:3">
      <c r="B309" t="s">
        <v>80</v>
      </c>
      <c r="C309">
        <v>20.3</v>
      </c>
    </row>
    <row r="310" spans="2:3">
      <c r="B310" t="s">
        <v>82</v>
      </c>
      <c r="C310">
        <v>14.9</v>
      </c>
    </row>
    <row r="311" spans="1:3">
      <c r="A311">
        <v>2.06</v>
      </c>
      <c r="C311">
        <v>18.9</v>
      </c>
    </row>
    <row r="312" spans="2:3">
      <c r="B312" t="s">
        <v>78</v>
      </c>
      <c r="C312">
        <v>18.9</v>
      </c>
    </row>
    <row r="313" spans="1:3">
      <c r="A313">
        <v>2.07</v>
      </c>
      <c r="C313">
        <v>13.8333333333333</v>
      </c>
    </row>
    <row r="314" spans="2:3">
      <c r="B314" t="s">
        <v>83</v>
      </c>
      <c r="C314">
        <v>18.2</v>
      </c>
    </row>
    <row r="315" spans="2:3">
      <c r="B315" t="s">
        <v>82</v>
      </c>
      <c r="C315">
        <v>10.5</v>
      </c>
    </row>
    <row r="316" spans="2:3">
      <c r="B316" t="s">
        <v>81</v>
      </c>
      <c r="C316">
        <v>12.8</v>
      </c>
    </row>
    <row r="317" spans="1:3">
      <c r="A317">
        <v>2.08</v>
      </c>
      <c r="C317">
        <v>12.74</v>
      </c>
    </row>
    <row r="318" spans="2:3">
      <c r="B318" t="s">
        <v>83</v>
      </c>
      <c r="C318">
        <v>14.3</v>
      </c>
    </row>
    <row r="319" spans="2:3">
      <c r="B319" t="s">
        <v>78</v>
      </c>
      <c r="C319">
        <v>12.3</v>
      </c>
    </row>
    <row r="320" spans="2:3">
      <c r="B320" t="s">
        <v>80</v>
      </c>
      <c r="C320">
        <v>12.8</v>
      </c>
    </row>
    <row r="321" spans="2:3">
      <c r="B321" t="s">
        <v>82</v>
      </c>
      <c r="C321">
        <v>11.5</v>
      </c>
    </row>
    <row r="322" spans="1:3">
      <c r="A322">
        <v>2.09</v>
      </c>
      <c r="C322">
        <v>12.75</v>
      </c>
    </row>
    <row r="323" spans="2:3">
      <c r="B323" t="s">
        <v>82</v>
      </c>
      <c r="C323">
        <v>17.4</v>
      </c>
    </row>
    <row r="324" spans="2:3">
      <c r="B324" t="s">
        <v>81</v>
      </c>
      <c r="C324">
        <v>8.1</v>
      </c>
    </row>
    <row r="325" spans="1:3">
      <c r="A325">
        <v>2.1</v>
      </c>
      <c r="C325">
        <v>15.1</v>
      </c>
    </row>
    <row r="326" spans="2:3">
      <c r="B326" t="s">
        <v>83</v>
      </c>
      <c r="C326">
        <v>12.75</v>
      </c>
    </row>
    <row r="327" spans="2:3">
      <c r="B327" t="s">
        <v>78</v>
      </c>
      <c r="C327">
        <v>20.9</v>
      </c>
    </row>
    <row r="328" spans="2:3">
      <c r="B328" t="s">
        <v>80</v>
      </c>
      <c r="C328">
        <v>14</v>
      </c>
    </row>
    <row r="329" spans="1:3">
      <c r="A329">
        <v>2.11</v>
      </c>
      <c r="C329">
        <v>13.775</v>
      </c>
    </row>
    <row r="330" spans="2:3">
      <c r="B330" t="s">
        <v>78</v>
      </c>
      <c r="C330">
        <v>14.5</v>
      </c>
    </row>
    <row r="331" spans="2:3">
      <c r="B331" t="s">
        <v>80</v>
      </c>
      <c r="C331">
        <v>11.4</v>
      </c>
    </row>
    <row r="332" spans="2:3">
      <c r="B332" t="s">
        <v>81</v>
      </c>
      <c r="C332">
        <v>14.7</v>
      </c>
    </row>
    <row r="333" spans="1:3">
      <c r="A333">
        <v>2.12</v>
      </c>
      <c r="C333">
        <v>17.025</v>
      </c>
    </row>
    <row r="334" spans="2:3">
      <c r="B334" t="s">
        <v>83</v>
      </c>
      <c r="C334">
        <v>17.6</v>
      </c>
    </row>
    <row r="335" spans="2:3">
      <c r="B335" t="s">
        <v>80</v>
      </c>
      <c r="C335">
        <v>20.4</v>
      </c>
    </row>
    <row r="336" spans="2:3">
      <c r="B336" t="s">
        <v>82</v>
      </c>
      <c r="C336">
        <v>6.2</v>
      </c>
    </row>
    <row r="337" spans="2:3">
      <c r="B337" t="s">
        <v>81</v>
      </c>
      <c r="C337">
        <v>23.9</v>
      </c>
    </row>
    <row r="338" spans="1:3">
      <c r="A338">
        <v>2.13</v>
      </c>
      <c r="C338">
        <v>15.2</v>
      </c>
    </row>
    <row r="339" spans="2:3">
      <c r="B339" t="s">
        <v>83</v>
      </c>
      <c r="C339">
        <v>6.4</v>
      </c>
    </row>
    <row r="340" spans="2:3">
      <c r="B340" t="s">
        <v>80</v>
      </c>
      <c r="C340">
        <v>24</v>
      </c>
    </row>
    <row r="341" spans="1:3">
      <c r="A341">
        <v>2.14</v>
      </c>
      <c r="C341">
        <v>15.16</v>
      </c>
    </row>
    <row r="342" spans="2:3">
      <c r="B342" t="s">
        <v>83</v>
      </c>
      <c r="C342">
        <v>13.1</v>
      </c>
    </row>
    <row r="343" spans="2:3">
      <c r="B343" t="s">
        <v>78</v>
      </c>
      <c r="C343">
        <v>16.5</v>
      </c>
    </row>
    <row r="344" spans="2:3">
      <c r="B344" t="s">
        <v>82</v>
      </c>
      <c r="C344">
        <v>15.4</v>
      </c>
    </row>
    <row r="345" spans="1:3">
      <c r="A345">
        <v>2.15</v>
      </c>
      <c r="C345">
        <v>7.25</v>
      </c>
    </row>
    <row r="346" spans="2:3">
      <c r="B346" t="s">
        <v>82</v>
      </c>
      <c r="C346">
        <v>6.5</v>
      </c>
    </row>
    <row r="347" spans="2:3">
      <c r="B347" t="s">
        <v>81</v>
      </c>
      <c r="C347">
        <v>8</v>
      </c>
    </row>
    <row r="348" spans="1:3">
      <c r="A348">
        <v>2.16</v>
      </c>
      <c r="C348">
        <v>16.05</v>
      </c>
    </row>
    <row r="349" spans="2:3">
      <c r="B349" t="s">
        <v>78</v>
      </c>
      <c r="C349">
        <v>13.4</v>
      </c>
    </row>
    <row r="350" spans="2:3">
      <c r="B350" t="s">
        <v>80</v>
      </c>
      <c r="C350">
        <v>18.7</v>
      </c>
    </row>
    <row r="351" spans="1:3">
      <c r="A351">
        <v>2.17</v>
      </c>
      <c r="C351">
        <v>22.2</v>
      </c>
    </row>
    <row r="352" spans="2:3">
      <c r="B352" t="s">
        <v>81</v>
      </c>
      <c r="C352">
        <v>22.2</v>
      </c>
    </row>
    <row r="353" spans="1:3">
      <c r="A353">
        <v>2.18</v>
      </c>
      <c r="C353">
        <v>16.8</v>
      </c>
    </row>
    <row r="354" spans="2:3">
      <c r="B354" t="s">
        <v>83</v>
      </c>
      <c r="C354">
        <v>10.6</v>
      </c>
    </row>
    <row r="355" spans="2:3">
      <c r="B355" t="s">
        <v>78</v>
      </c>
      <c r="C355">
        <v>19.3</v>
      </c>
    </row>
    <row r="356" spans="2:3">
      <c r="B356" t="s">
        <v>80</v>
      </c>
      <c r="C356">
        <v>20.5</v>
      </c>
    </row>
    <row r="357" spans="1:3">
      <c r="A357">
        <v>2.19</v>
      </c>
      <c r="C357">
        <v>15.72</v>
      </c>
    </row>
    <row r="358" spans="2:3">
      <c r="B358" t="s">
        <v>83</v>
      </c>
      <c r="C358">
        <v>23.7</v>
      </c>
    </row>
    <row r="359" spans="2:3">
      <c r="B359" t="s">
        <v>78</v>
      </c>
      <c r="C359">
        <v>6.3</v>
      </c>
    </row>
    <row r="360" spans="2:3">
      <c r="B360" t="s">
        <v>80</v>
      </c>
      <c r="C360">
        <v>15.7</v>
      </c>
    </row>
    <row r="361" spans="2:3">
      <c r="B361" t="s">
        <v>82</v>
      </c>
      <c r="C361">
        <v>17.2</v>
      </c>
    </row>
    <row r="362" spans="1:3">
      <c r="A362">
        <v>2.2</v>
      </c>
      <c r="C362">
        <v>14.275</v>
      </c>
    </row>
    <row r="363" spans="2:3">
      <c r="B363" t="s">
        <v>80</v>
      </c>
      <c r="C363">
        <v>11.9666666666667</v>
      </c>
    </row>
    <row r="364" spans="2:3">
      <c r="B364" t="s">
        <v>81</v>
      </c>
      <c r="C364">
        <v>21.2</v>
      </c>
    </row>
    <row r="365" spans="1:3">
      <c r="A365">
        <v>2.21</v>
      </c>
      <c r="C365">
        <v>14.25</v>
      </c>
    </row>
    <row r="366" spans="2:3">
      <c r="B366" t="s">
        <v>83</v>
      </c>
      <c r="C366">
        <v>14.9</v>
      </c>
    </row>
    <row r="367" spans="2:3">
      <c r="B367" t="s">
        <v>82</v>
      </c>
      <c r="C367">
        <v>16.8</v>
      </c>
    </row>
    <row r="368" spans="2:3">
      <c r="B368" t="s">
        <v>81</v>
      </c>
      <c r="C368">
        <v>10.4</v>
      </c>
    </row>
    <row r="369" spans="1:3">
      <c r="A369">
        <v>2.22</v>
      </c>
      <c r="C369">
        <v>14.76</v>
      </c>
    </row>
    <row r="370" spans="2:3">
      <c r="B370" t="s">
        <v>83</v>
      </c>
      <c r="C370">
        <v>15.2</v>
      </c>
    </row>
    <row r="371" spans="2:3">
      <c r="B371" t="s">
        <v>80</v>
      </c>
      <c r="C371">
        <v>12.6</v>
      </c>
    </row>
    <row r="372" spans="2:3">
      <c r="B372" t="s">
        <v>82</v>
      </c>
      <c r="C372">
        <v>9.1</v>
      </c>
    </row>
    <row r="373" spans="2:3">
      <c r="B373" t="s">
        <v>81</v>
      </c>
      <c r="C373">
        <v>21.7</v>
      </c>
    </row>
    <row r="374" spans="1:3">
      <c r="A374">
        <v>2.23</v>
      </c>
      <c r="C374">
        <v>14.925</v>
      </c>
    </row>
    <row r="375" spans="2:3">
      <c r="B375" t="s">
        <v>80</v>
      </c>
      <c r="C375">
        <v>12.7</v>
      </c>
    </row>
    <row r="376" spans="2:3">
      <c r="B376" t="s">
        <v>82</v>
      </c>
      <c r="C376">
        <v>20.6</v>
      </c>
    </row>
    <row r="377" spans="2:3">
      <c r="B377" t="s">
        <v>81</v>
      </c>
      <c r="C377">
        <v>13.7</v>
      </c>
    </row>
    <row r="378" spans="1:3">
      <c r="A378">
        <v>2.24</v>
      </c>
      <c r="C378">
        <v>19.7</v>
      </c>
    </row>
    <row r="379" spans="2:3">
      <c r="B379" t="s">
        <v>80</v>
      </c>
      <c r="C379">
        <v>19.7</v>
      </c>
    </row>
    <row r="380" spans="1:3">
      <c r="A380">
        <v>2.25</v>
      </c>
      <c r="C380">
        <v>16.1666666666667</v>
      </c>
    </row>
    <row r="381" spans="2:3">
      <c r="B381" t="s">
        <v>80</v>
      </c>
      <c r="C381">
        <v>10.9</v>
      </c>
    </row>
    <row r="382" spans="2:3">
      <c r="B382" t="s">
        <v>81</v>
      </c>
      <c r="C382">
        <v>18.8</v>
      </c>
    </row>
    <row r="383" spans="1:3">
      <c r="A383">
        <v>2.26</v>
      </c>
      <c r="C383">
        <v>14.4</v>
      </c>
    </row>
    <row r="384" spans="2:3">
      <c r="B384" t="s">
        <v>83</v>
      </c>
      <c r="C384">
        <v>23.8</v>
      </c>
    </row>
    <row r="385" spans="2:3">
      <c r="B385" t="s">
        <v>80</v>
      </c>
      <c r="C385">
        <v>8.7</v>
      </c>
    </row>
    <row r="386" spans="2:3">
      <c r="B386" t="s">
        <v>82</v>
      </c>
      <c r="C386">
        <v>10.45</v>
      </c>
    </row>
    <row r="387" spans="2:3">
      <c r="B387" t="s">
        <v>81</v>
      </c>
      <c r="C387">
        <v>18.6</v>
      </c>
    </row>
    <row r="388" spans="1:3">
      <c r="A388">
        <v>2.27</v>
      </c>
      <c r="C388">
        <v>12.3666666666667</v>
      </c>
    </row>
    <row r="389" spans="2:3">
      <c r="B389" t="s">
        <v>78</v>
      </c>
      <c r="C389">
        <v>11.4</v>
      </c>
    </row>
    <row r="390" spans="2:3">
      <c r="B390" t="s">
        <v>80</v>
      </c>
      <c r="C390">
        <v>11</v>
      </c>
    </row>
    <row r="391" spans="2:3">
      <c r="B391" t="s">
        <v>82</v>
      </c>
      <c r="C391">
        <v>14.7</v>
      </c>
    </row>
    <row r="392" spans="1:3">
      <c r="A392">
        <v>2.28</v>
      </c>
      <c r="C392">
        <v>11</v>
      </c>
    </row>
    <row r="393" spans="2:3">
      <c r="B393" t="s">
        <v>83</v>
      </c>
      <c r="C393">
        <v>13.8</v>
      </c>
    </row>
    <row r="394" spans="2:3">
      <c r="B394" t="s">
        <v>80</v>
      </c>
      <c r="C394">
        <v>8.2</v>
      </c>
    </row>
    <row r="395" spans="1:3">
      <c r="A395">
        <v>2.29</v>
      </c>
      <c r="C395">
        <v>11.15</v>
      </c>
    </row>
    <row r="396" spans="2:3">
      <c r="B396" t="s">
        <v>83</v>
      </c>
      <c r="C396">
        <v>10.4</v>
      </c>
    </row>
    <row r="397" spans="2:3">
      <c r="B397" t="s">
        <v>81</v>
      </c>
      <c r="C397">
        <v>11.9</v>
      </c>
    </row>
    <row r="398" spans="1:3">
      <c r="A398">
        <v>2.3</v>
      </c>
      <c r="C398">
        <v>15.625</v>
      </c>
    </row>
    <row r="399" spans="2:3">
      <c r="B399" t="s">
        <v>83</v>
      </c>
      <c r="C399">
        <v>13.1</v>
      </c>
    </row>
    <row r="400" spans="2:3">
      <c r="B400" t="s">
        <v>78</v>
      </c>
      <c r="C400">
        <v>18.15</v>
      </c>
    </row>
    <row r="401" spans="1:3">
      <c r="A401">
        <v>2.31</v>
      </c>
      <c r="C401">
        <v>8.3</v>
      </c>
    </row>
    <row r="402" spans="2:3">
      <c r="B402" t="s">
        <v>80</v>
      </c>
      <c r="C402">
        <v>8.3</v>
      </c>
    </row>
    <row r="403" spans="1:3">
      <c r="A403">
        <v>2.33</v>
      </c>
      <c r="C403">
        <v>15.9333333333333</v>
      </c>
    </row>
    <row r="404" spans="2:3">
      <c r="B404" t="s">
        <v>83</v>
      </c>
      <c r="C404">
        <v>22.7</v>
      </c>
    </row>
    <row r="405" spans="2:3">
      <c r="B405" t="s">
        <v>81</v>
      </c>
      <c r="C405">
        <v>12.55</v>
      </c>
    </row>
    <row r="406" spans="1:3">
      <c r="A406">
        <v>2.34</v>
      </c>
      <c r="C406">
        <v>15.95</v>
      </c>
    </row>
    <row r="407" spans="2:3">
      <c r="B407" t="s">
        <v>83</v>
      </c>
      <c r="C407">
        <v>23.3</v>
      </c>
    </row>
    <row r="408" spans="2:3">
      <c r="B408" t="s">
        <v>80</v>
      </c>
      <c r="C408">
        <v>16.3</v>
      </c>
    </row>
    <row r="409" spans="2:3">
      <c r="B409" t="s">
        <v>82</v>
      </c>
      <c r="C409">
        <v>7.2</v>
      </c>
    </row>
    <row r="410" spans="1:3">
      <c r="A410">
        <v>2.35</v>
      </c>
      <c r="C410">
        <v>17.9</v>
      </c>
    </row>
    <row r="411" spans="2:3">
      <c r="B411" t="s">
        <v>82</v>
      </c>
      <c r="C411">
        <v>17.9</v>
      </c>
    </row>
    <row r="412" spans="1:3">
      <c r="A412">
        <v>2.36</v>
      </c>
      <c r="C412">
        <v>10.85</v>
      </c>
    </row>
    <row r="413" spans="2:3">
      <c r="B413" t="s">
        <v>78</v>
      </c>
      <c r="C413">
        <v>11.6</v>
      </c>
    </row>
    <row r="414" spans="2:3">
      <c r="B414" t="s">
        <v>80</v>
      </c>
      <c r="C414">
        <v>8.6</v>
      </c>
    </row>
    <row r="415" spans="2:3">
      <c r="B415" t="s">
        <v>82</v>
      </c>
      <c r="C415">
        <v>15.2</v>
      </c>
    </row>
    <row r="416" spans="2:3">
      <c r="B416" t="s">
        <v>81</v>
      </c>
      <c r="C416">
        <v>8</v>
      </c>
    </row>
    <row r="417" spans="1:3">
      <c r="A417">
        <v>2.37</v>
      </c>
      <c r="C417">
        <v>16.675</v>
      </c>
    </row>
    <row r="418" spans="2:3">
      <c r="B418" t="s">
        <v>78</v>
      </c>
      <c r="C418">
        <v>12.5</v>
      </c>
    </row>
    <row r="419" spans="2:3">
      <c r="B419" t="s">
        <v>82</v>
      </c>
      <c r="C419">
        <v>9.3</v>
      </c>
    </row>
    <row r="420" spans="2:3">
      <c r="B420" t="s">
        <v>81</v>
      </c>
      <c r="C420">
        <v>22.45</v>
      </c>
    </row>
    <row r="421" spans="1:3">
      <c r="A421">
        <v>2.38</v>
      </c>
      <c r="C421">
        <v>17.3</v>
      </c>
    </row>
    <row r="422" spans="2:3">
      <c r="B422" t="s">
        <v>80</v>
      </c>
      <c r="C422">
        <v>19.2</v>
      </c>
    </row>
    <row r="423" spans="2:3">
      <c r="B423" t="s">
        <v>82</v>
      </c>
      <c r="C423">
        <v>13.5</v>
      </c>
    </row>
    <row r="424" spans="1:3">
      <c r="A424">
        <v>2.4</v>
      </c>
      <c r="C424">
        <v>14.48</v>
      </c>
    </row>
    <row r="425" spans="2:3">
      <c r="B425" t="s">
        <v>78</v>
      </c>
      <c r="C425">
        <v>16.6</v>
      </c>
    </row>
    <row r="426" spans="2:3">
      <c r="B426" t="s">
        <v>80</v>
      </c>
      <c r="C426">
        <v>11.9</v>
      </c>
    </row>
    <row r="427" spans="2:3">
      <c r="B427" t="s">
        <v>82</v>
      </c>
      <c r="C427">
        <v>12.7</v>
      </c>
    </row>
    <row r="428" spans="2:3">
      <c r="B428" t="s">
        <v>81</v>
      </c>
      <c r="C428">
        <v>14.6</v>
      </c>
    </row>
    <row r="429" spans="1:3">
      <c r="A429">
        <v>2.41</v>
      </c>
      <c r="C429">
        <v>17.1666666666667</v>
      </c>
    </row>
    <row r="430" spans="2:3">
      <c r="B430" t="s">
        <v>83</v>
      </c>
      <c r="C430">
        <v>19.7</v>
      </c>
    </row>
    <row r="431" spans="2:3">
      <c r="B431" t="s">
        <v>78</v>
      </c>
      <c r="C431">
        <v>20.9</v>
      </c>
    </row>
    <row r="432" spans="2:3">
      <c r="B432" t="s">
        <v>82</v>
      </c>
      <c r="C432">
        <v>10.9</v>
      </c>
    </row>
    <row r="433" spans="1:3">
      <c r="A433">
        <v>2.42</v>
      </c>
      <c r="C433">
        <v>14.7666666666667</v>
      </c>
    </row>
    <row r="434" spans="2:3">
      <c r="B434" t="s">
        <v>83</v>
      </c>
      <c r="C434">
        <v>10.3</v>
      </c>
    </row>
    <row r="435" spans="2:3">
      <c r="B435" t="s">
        <v>80</v>
      </c>
      <c r="C435">
        <v>17.8</v>
      </c>
    </row>
    <row r="436" spans="2:3">
      <c r="B436" t="s">
        <v>82</v>
      </c>
      <c r="C436">
        <v>16.2</v>
      </c>
    </row>
    <row r="437" spans="1:3">
      <c r="A437">
        <v>2.43</v>
      </c>
      <c r="C437">
        <v>15.8</v>
      </c>
    </row>
    <row r="438" spans="2:3">
      <c r="B438" t="s">
        <v>80</v>
      </c>
      <c r="C438">
        <v>15.4</v>
      </c>
    </row>
    <row r="439" spans="2:3">
      <c r="B439" t="s">
        <v>82</v>
      </c>
      <c r="C439">
        <v>16.2</v>
      </c>
    </row>
    <row r="440" spans="1:3">
      <c r="A440">
        <v>2.44</v>
      </c>
      <c r="C440">
        <v>13.8</v>
      </c>
    </row>
    <row r="441" spans="2:3">
      <c r="B441" t="s">
        <v>83</v>
      </c>
      <c r="C441">
        <v>13.8</v>
      </c>
    </row>
    <row r="442" spans="1:3">
      <c r="A442">
        <v>2.45</v>
      </c>
      <c r="C442">
        <v>8</v>
      </c>
    </row>
    <row r="443" spans="2:3">
      <c r="B443" t="s">
        <v>83</v>
      </c>
      <c r="C443">
        <v>8</v>
      </c>
    </row>
    <row r="444" spans="1:3">
      <c r="A444">
        <v>2.46</v>
      </c>
      <c r="C444">
        <v>8.5</v>
      </c>
    </row>
    <row r="445" spans="2:3">
      <c r="B445" t="s">
        <v>82</v>
      </c>
      <c r="C445">
        <v>8.5</v>
      </c>
    </row>
    <row r="446" spans="1:3">
      <c r="A446">
        <v>2.47</v>
      </c>
      <c r="C446">
        <v>16.825</v>
      </c>
    </row>
    <row r="447" spans="2:3">
      <c r="B447" t="s">
        <v>82</v>
      </c>
      <c r="C447">
        <v>18.2</v>
      </c>
    </row>
    <row r="448" spans="2:3">
      <c r="B448" t="s">
        <v>81</v>
      </c>
      <c r="C448">
        <v>15.45</v>
      </c>
    </row>
    <row r="449" spans="1:3">
      <c r="A449">
        <v>2.48</v>
      </c>
      <c r="C449">
        <v>12.6</v>
      </c>
    </row>
    <row r="450" spans="2:3">
      <c r="B450" t="s">
        <v>78</v>
      </c>
      <c r="C450">
        <v>6.7</v>
      </c>
    </row>
    <row r="451" spans="2:3">
      <c r="B451" t="s">
        <v>80</v>
      </c>
      <c r="C451">
        <v>15.55</v>
      </c>
    </row>
    <row r="452" spans="1:3">
      <c r="A452">
        <v>2.49</v>
      </c>
      <c r="C452">
        <v>15.7</v>
      </c>
    </row>
    <row r="453" spans="2:3">
      <c r="B453" t="s">
        <v>78</v>
      </c>
      <c r="C453">
        <v>13.4</v>
      </c>
    </row>
    <row r="454" spans="2:3">
      <c r="B454" t="s">
        <v>80</v>
      </c>
      <c r="C454">
        <v>16.2</v>
      </c>
    </row>
    <row r="455" spans="2:3">
      <c r="B455" t="s">
        <v>81</v>
      </c>
      <c r="C455">
        <v>17</v>
      </c>
    </row>
    <row r="456" spans="1:3">
      <c r="A456">
        <v>2.5</v>
      </c>
      <c r="C456">
        <v>13.35</v>
      </c>
    </row>
    <row r="457" spans="2:3">
      <c r="B457" t="s">
        <v>83</v>
      </c>
      <c r="C457">
        <v>18.1</v>
      </c>
    </row>
    <row r="458" spans="2:3">
      <c r="B458" t="s">
        <v>81</v>
      </c>
      <c r="C458">
        <v>8.6</v>
      </c>
    </row>
    <row r="459" spans="1:3">
      <c r="A459">
        <v>2.51</v>
      </c>
      <c r="C459">
        <v>17.5</v>
      </c>
    </row>
    <row r="460" spans="2:3">
      <c r="B460" t="s">
        <v>83</v>
      </c>
      <c r="C460">
        <v>18.3</v>
      </c>
    </row>
    <row r="461" spans="2:3">
      <c r="B461" t="s">
        <v>80</v>
      </c>
      <c r="C461">
        <v>21.7</v>
      </c>
    </row>
    <row r="462" spans="2:3">
      <c r="B462" t="s">
        <v>82</v>
      </c>
      <c r="C462">
        <v>14.9</v>
      </c>
    </row>
    <row r="463" spans="2:3">
      <c r="B463" t="s">
        <v>81</v>
      </c>
      <c r="C463">
        <v>15.1</v>
      </c>
    </row>
    <row r="464" spans="1:3">
      <c r="A464">
        <v>2.52</v>
      </c>
      <c r="C464">
        <v>17.925</v>
      </c>
    </row>
    <row r="465" spans="2:3">
      <c r="B465" t="s">
        <v>83</v>
      </c>
      <c r="C465">
        <v>16.05</v>
      </c>
    </row>
    <row r="466" spans="2:3">
      <c r="B466" t="s">
        <v>78</v>
      </c>
      <c r="C466">
        <v>20.5</v>
      </c>
    </row>
    <row r="467" spans="2:3">
      <c r="B467" t="s">
        <v>82</v>
      </c>
      <c r="C467">
        <v>19.1</v>
      </c>
    </row>
    <row r="468" spans="1:3">
      <c r="A468">
        <v>2.53</v>
      </c>
      <c r="C468">
        <v>9.65</v>
      </c>
    </row>
    <row r="469" spans="2:3">
      <c r="B469" t="s">
        <v>80</v>
      </c>
      <c r="C469">
        <v>9</v>
      </c>
    </row>
    <row r="470" spans="2:3">
      <c r="B470" t="s">
        <v>81</v>
      </c>
      <c r="C470">
        <v>10.3</v>
      </c>
    </row>
    <row r="471" spans="1:3">
      <c r="A471">
        <v>2.54</v>
      </c>
      <c r="C471">
        <v>11.9333333333333</v>
      </c>
    </row>
    <row r="472" spans="2:3">
      <c r="B472" t="s">
        <v>83</v>
      </c>
      <c r="C472">
        <v>7.5</v>
      </c>
    </row>
    <row r="473" spans="2:3">
      <c r="B473" t="s">
        <v>82</v>
      </c>
      <c r="C473">
        <v>8.2</v>
      </c>
    </row>
    <row r="474" spans="2:3">
      <c r="B474" t="s">
        <v>81</v>
      </c>
      <c r="C474">
        <v>20.1</v>
      </c>
    </row>
    <row r="475" spans="1:3">
      <c r="A475">
        <v>2.55</v>
      </c>
      <c r="C475">
        <v>15.375</v>
      </c>
    </row>
    <row r="476" spans="2:3">
      <c r="B476" t="s">
        <v>83</v>
      </c>
      <c r="C476">
        <v>18.8</v>
      </c>
    </row>
    <row r="477" spans="2:3">
      <c r="B477" t="s">
        <v>81</v>
      </c>
      <c r="C477">
        <v>11.95</v>
      </c>
    </row>
    <row r="478" spans="1:3">
      <c r="A478">
        <v>2.56</v>
      </c>
      <c r="C478">
        <v>19.2</v>
      </c>
    </row>
    <row r="479" spans="2:3">
      <c r="B479" t="s">
        <v>78</v>
      </c>
      <c r="C479">
        <v>15.7</v>
      </c>
    </row>
    <row r="480" spans="2:3">
      <c r="B480" t="s">
        <v>82</v>
      </c>
      <c r="C480">
        <v>22.7</v>
      </c>
    </row>
    <row r="481" spans="1:3">
      <c r="A481">
        <v>2.57</v>
      </c>
      <c r="C481">
        <v>15.98</v>
      </c>
    </row>
    <row r="482" spans="2:3">
      <c r="B482" t="s">
        <v>83</v>
      </c>
      <c r="C482">
        <v>15.8</v>
      </c>
    </row>
    <row r="483" spans="2:3">
      <c r="B483" t="s">
        <v>78</v>
      </c>
      <c r="C483">
        <v>17.6</v>
      </c>
    </row>
    <row r="484" spans="2:3">
      <c r="B484" t="s">
        <v>80</v>
      </c>
      <c r="C484">
        <v>9.2</v>
      </c>
    </row>
    <row r="485" spans="2:3">
      <c r="B485" t="s">
        <v>81</v>
      </c>
      <c r="C485">
        <v>19.7</v>
      </c>
    </row>
    <row r="486" spans="1:3">
      <c r="A486">
        <v>2.58</v>
      </c>
      <c r="C486">
        <v>19.6</v>
      </c>
    </row>
    <row r="487" spans="2:3">
      <c r="B487" t="s">
        <v>78</v>
      </c>
      <c r="C487">
        <v>17.95</v>
      </c>
    </row>
    <row r="488" spans="2:3">
      <c r="B488" t="s">
        <v>80</v>
      </c>
      <c r="C488">
        <v>20.9</v>
      </c>
    </row>
    <row r="489" spans="2:3">
      <c r="B489" t="s">
        <v>82</v>
      </c>
      <c r="C489">
        <v>18.1</v>
      </c>
    </row>
    <row r="490" spans="2:3">
      <c r="B490" t="s">
        <v>81</v>
      </c>
      <c r="C490">
        <v>23.1</v>
      </c>
    </row>
    <row r="491" spans="1:3">
      <c r="A491">
        <v>2.59</v>
      </c>
      <c r="C491">
        <v>13.2</v>
      </c>
    </row>
    <row r="492" spans="2:3">
      <c r="B492" t="s">
        <v>83</v>
      </c>
      <c r="C492">
        <v>18.4</v>
      </c>
    </row>
    <row r="493" spans="2:3">
      <c r="B493" t="s">
        <v>78</v>
      </c>
      <c r="C493">
        <v>8</v>
      </c>
    </row>
    <row r="494" spans="1:3">
      <c r="A494">
        <v>2.6</v>
      </c>
      <c r="C494">
        <v>18.9</v>
      </c>
    </row>
    <row r="495" spans="2:3">
      <c r="B495" t="s">
        <v>82</v>
      </c>
      <c r="C495">
        <v>20.9</v>
      </c>
    </row>
    <row r="496" spans="2:3">
      <c r="B496" t="s">
        <v>81</v>
      </c>
      <c r="C496">
        <v>16.9</v>
      </c>
    </row>
    <row r="497" spans="1:3">
      <c r="A497">
        <v>2.61</v>
      </c>
      <c r="C497">
        <v>13.2333333333333</v>
      </c>
    </row>
    <row r="498" spans="2:3">
      <c r="B498" t="s">
        <v>83</v>
      </c>
      <c r="C498">
        <v>11.7</v>
      </c>
    </row>
    <row r="499" spans="2:3">
      <c r="B499" t="s">
        <v>78</v>
      </c>
      <c r="C499">
        <v>19.6</v>
      </c>
    </row>
    <row r="500" spans="2:3">
      <c r="B500" t="s">
        <v>81</v>
      </c>
      <c r="C500">
        <v>8.4</v>
      </c>
    </row>
    <row r="501" spans="1:3">
      <c r="A501">
        <v>2.62</v>
      </c>
      <c r="C501">
        <v>18</v>
      </c>
    </row>
    <row r="502" spans="2:3">
      <c r="B502" t="s">
        <v>81</v>
      </c>
      <c r="C502">
        <v>18</v>
      </c>
    </row>
    <row r="503" spans="1:3">
      <c r="A503">
        <v>2.63</v>
      </c>
      <c r="C503">
        <v>9.5</v>
      </c>
    </row>
    <row r="504" spans="2:3">
      <c r="B504" t="s">
        <v>80</v>
      </c>
      <c r="C504">
        <v>9.5</v>
      </c>
    </row>
    <row r="505" spans="1:3">
      <c r="A505">
        <v>2.64</v>
      </c>
      <c r="C505">
        <v>12.9</v>
      </c>
    </row>
    <row r="506" spans="2:3">
      <c r="B506" t="s">
        <v>83</v>
      </c>
      <c r="C506">
        <v>6.4</v>
      </c>
    </row>
    <row r="507" spans="2:3">
      <c r="B507" t="s">
        <v>82</v>
      </c>
      <c r="C507">
        <v>16.15</v>
      </c>
    </row>
    <row r="508" spans="1:3">
      <c r="A508">
        <v>2.65</v>
      </c>
      <c r="C508">
        <v>20.9</v>
      </c>
    </row>
    <row r="509" spans="2:3">
      <c r="B509" t="s">
        <v>82</v>
      </c>
      <c r="C509">
        <v>20.9</v>
      </c>
    </row>
    <row r="510" spans="1:3">
      <c r="A510">
        <v>2.66</v>
      </c>
      <c r="C510">
        <v>16.75</v>
      </c>
    </row>
    <row r="511" spans="2:3">
      <c r="B511" t="s">
        <v>83</v>
      </c>
      <c r="C511">
        <v>18.5</v>
      </c>
    </row>
    <row r="512" spans="2:3">
      <c r="B512" t="s">
        <v>80</v>
      </c>
      <c r="C512">
        <v>15</v>
      </c>
    </row>
    <row r="513" spans="1:3">
      <c r="A513">
        <v>2.67</v>
      </c>
      <c r="C513">
        <v>16.35</v>
      </c>
    </row>
    <row r="514" spans="2:3">
      <c r="B514" t="s">
        <v>78</v>
      </c>
      <c r="C514">
        <v>16.35</v>
      </c>
    </row>
    <row r="515" spans="1:3">
      <c r="A515">
        <v>2.68</v>
      </c>
      <c r="C515">
        <v>18.125</v>
      </c>
    </row>
    <row r="516" spans="2:3">
      <c r="B516" t="s">
        <v>83</v>
      </c>
      <c r="C516">
        <v>20.5</v>
      </c>
    </row>
    <row r="517" spans="2:3">
      <c r="B517" t="s">
        <v>78</v>
      </c>
      <c r="C517">
        <v>19.5</v>
      </c>
    </row>
    <row r="518" spans="2:3">
      <c r="B518" t="s">
        <v>82</v>
      </c>
      <c r="C518">
        <v>16.5</v>
      </c>
    </row>
    <row r="519" spans="2:3">
      <c r="B519" t="s">
        <v>81</v>
      </c>
      <c r="C519">
        <v>16</v>
      </c>
    </row>
    <row r="520" spans="1:3">
      <c r="A520">
        <v>2.69</v>
      </c>
      <c r="C520">
        <v>19</v>
      </c>
    </row>
    <row r="521" spans="2:3">
      <c r="B521" t="s">
        <v>80</v>
      </c>
      <c r="C521">
        <v>17.2</v>
      </c>
    </row>
    <row r="522" spans="2:3">
      <c r="B522" t="s">
        <v>82</v>
      </c>
      <c r="C522">
        <v>20.8</v>
      </c>
    </row>
    <row r="523" spans="1:3">
      <c r="A523">
        <v>2.7</v>
      </c>
      <c r="C523">
        <v>16.175</v>
      </c>
    </row>
    <row r="524" spans="2:3">
      <c r="B524" t="s">
        <v>83</v>
      </c>
      <c r="C524">
        <v>13.6333333333333</v>
      </c>
    </row>
    <row r="525" spans="2:3">
      <c r="B525" t="s">
        <v>82</v>
      </c>
      <c r="C525">
        <v>23.8</v>
      </c>
    </row>
    <row r="526" spans="1:3">
      <c r="A526">
        <v>2.71</v>
      </c>
      <c r="C526">
        <v>15.6</v>
      </c>
    </row>
    <row r="527" spans="2:3">
      <c r="B527" t="s">
        <v>78</v>
      </c>
      <c r="C527">
        <v>9.9</v>
      </c>
    </row>
    <row r="528" spans="2:3">
      <c r="B528" t="s">
        <v>80</v>
      </c>
      <c r="C528">
        <v>21.3</v>
      </c>
    </row>
    <row r="529" spans="1:3">
      <c r="A529">
        <v>2.72</v>
      </c>
      <c r="C529">
        <v>11.75</v>
      </c>
    </row>
    <row r="530" spans="2:3">
      <c r="B530" t="s">
        <v>78</v>
      </c>
      <c r="C530">
        <v>16.3</v>
      </c>
    </row>
    <row r="531" spans="2:3">
      <c r="B531" t="s">
        <v>81</v>
      </c>
      <c r="C531">
        <v>7.2</v>
      </c>
    </row>
    <row r="532" spans="1:3">
      <c r="A532">
        <v>2.73</v>
      </c>
      <c r="C532">
        <v>12.1</v>
      </c>
    </row>
    <row r="533" spans="2:3">
      <c r="B533" t="s">
        <v>83</v>
      </c>
      <c r="C533">
        <v>14</v>
      </c>
    </row>
    <row r="534" spans="2:3">
      <c r="B534" t="s">
        <v>80</v>
      </c>
      <c r="C534">
        <v>11.15</v>
      </c>
    </row>
    <row r="535" spans="1:3">
      <c r="A535">
        <v>2.74</v>
      </c>
      <c r="C535">
        <v>18.15</v>
      </c>
    </row>
    <row r="536" spans="2:3">
      <c r="B536" t="s">
        <v>82</v>
      </c>
      <c r="C536">
        <v>18.15</v>
      </c>
    </row>
    <row r="537" spans="1:3">
      <c r="A537">
        <v>2.75</v>
      </c>
      <c r="C537">
        <v>13.5666666666667</v>
      </c>
    </row>
    <row r="538" spans="2:3">
      <c r="B538" t="s">
        <v>83</v>
      </c>
      <c r="C538">
        <v>13.6</v>
      </c>
    </row>
    <row r="539" spans="2:3">
      <c r="B539" t="s">
        <v>80</v>
      </c>
      <c r="C539">
        <v>6.4</v>
      </c>
    </row>
    <row r="540" spans="2:3">
      <c r="B540" t="s">
        <v>81</v>
      </c>
      <c r="C540">
        <v>20.7</v>
      </c>
    </row>
    <row r="541" spans="1:3">
      <c r="A541">
        <v>2.77</v>
      </c>
      <c r="C541">
        <v>19</v>
      </c>
    </row>
    <row r="542" spans="2:3">
      <c r="B542" t="s">
        <v>80</v>
      </c>
      <c r="C542">
        <v>20.6</v>
      </c>
    </row>
    <row r="543" spans="2:3">
      <c r="B543" t="s">
        <v>82</v>
      </c>
      <c r="C543">
        <v>20.9</v>
      </c>
    </row>
    <row r="544" spans="2:3">
      <c r="B544" t="s">
        <v>81</v>
      </c>
      <c r="C544">
        <v>15.5</v>
      </c>
    </row>
    <row r="545" spans="1:3">
      <c r="A545">
        <v>2.78</v>
      </c>
      <c r="C545">
        <v>15</v>
      </c>
    </row>
    <row r="546" spans="2:3">
      <c r="B546" t="s">
        <v>81</v>
      </c>
      <c r="C546">
        <v>15</v>
      </c>
    </row>
    <row r="547" spans="1:3">
      <c r="A547">
        <v>2.79</v>
      </c>
      <c r="C547">
        <v>10.8666666666667</v>
      </c>
    </row>
    <row r="548" spans="2:3">
      <c r="B548" t="s">
        <v>83</v>
      </c>
      <c r="C548">
        <v>10.8</v>
      </c>
    </row>
    <row r="549" spans="2:3">
      <c r="B549" t="s">
        <v>78</v>
      </c>
      <c r="C549">
        <v>15.8</v>
      </c>
    </row>
    <row r="550" spans="2:3">
      <c r="B550" t="s">
        <v>81</v>
      </c>
      <c r="C550">
        <v>6</v>
      </c>
    </row>
    <row r="551" spans="1:3">
      <c r="A551">
        <v>2.8</v>
      </c>
      <c r="C551">
        <v>16.55</v>
      </c>
    </row>
    <row r="552" spans="2:3">
      <c r="B552" t="s">
        <v>82</v>
      </c>
      <c r="C552">
        <v>12</v>
      </c>
    </row>
    <row r="553" spans="2:3">
      <c r="B553" t="s">
        <v>81</v>
      </c>
      <c r="C553">
        <v>21.1</v>
      </c>
    </row>
    <row r="554" spans="1:3">
      <c r="A554">
        <v>2.81</v>
      </c>
      <c r="C554">
        <v>15.25</v>
      </c>
    </row>
    <row r="555" spans="2:3">
      <c r="B555" t="s">
        <v>83</v>
      </c>
      <c r="C555">
        <v>8.6</v>
      </c>
    </row>
    <row r="556" spans="2:3">
      <c r="B556" t="s">
        <v>80</v>
      </c>
      <c r="C556">
        <v>21.9</v>
      </c>
    </row>
    <row r="557" spans="1:3">
      <c r="A557">
        <v>2.82</v>
      </c>
      <c r="C557">
        <v>15.1666666666667</v>
      </c>
    </row>
    <row r="558" spans="2:3">
      <c r="B558" t="s">
        <v>83</v>
      </c>
      <c r="C558">
        <v>18</v>
      </c>
    </row>
    <row r="559" spans="2:3">
      <c r="B559" t="s">
        <v>78</v>
      </c>
      <c r="C559">
        <v>12.7</v>
      </c>
    </row>
    <row r="560" spans="2:3">
      <c r="B560" t="s">
        <v>82</v>
      </c>
      <c r="C560">
        <v>14.8</v>
      </c>
    </row>
    <row r="561" spans="1:3">
      <c r="A561">
        <v>2.83</v>
      </c>
      <c r="C561">
        <v>23</v>
      </c>
    </row>
    <row r="562" spans="2:3">
      <c r="B562" t="s">
        <v>80</v>
      </c>
      <c r="C562">
        <v>23</v>
      </c>
    </row>
    <row r="563" spans="1:3">
      <c r="A563">
        <v>2.84</v>
      </c>
      <c r="C563">
        <v>18.35</v>
      </c>
    </row>
    <row r="564" spans="2:3">
      <c r="B564" t="s">
        <v>83</v>
      </c>
      <c r="C564">
        <v>13.5</v>
      </c>
    </row>
    <row r="565" spans="2:3">
      <c r="B565" t="s">
        <v>78</v>
      </c>
      <c r="C565">
        <v>23.2</v>
      </c>
    </row>
    <row r="566" spans="2:3">
      <c r="B566" t="s">
        <v>81</v>
      </c>
      <c r="C566">
        <v>23.2</v>
      </c>
    </row>
    <row r="567" spans="1:3">
      <c r="A567">
        <v>2.85</v>
      </c>
      <c r="C567">
        <v>17.05</v>
      </c>
    </row>
    <row r="568" spans="2:3">
      <c r="B568" t="s">
        <v>83</v>
      </c>
      <c r="C568">
        <v>15</v>
      </c>
    </row>
    <row r="569" spans="2:3">
      <c r="B569" t="s">
        <v>82</v>
      </c>
      <c r="C569">
        <v>19.1</v>
      </c>
    </row>
    <row r="570" spans="1:3">
      <c r="A570">
        <v>2.86</v>
      </c>
      <c r="C570">
        <v>16.95</v>
      </c>
    </row>
    <row r="571" spans="2:3">
      <c r="B571" t="s">
        <v>78</v>
      </c>
      <c r="C571">
        <v>16.95</v>
      </c>
    </row>
    <row r="572" spans="1:3">
      <c r="A572">
        <v>2.87</v>
      </c>
      <c r="C572">
        <v>15.4</v>
      </c>
    </row>
    <row r="573" spans="2:3">
      <c r="B573" t="s">
        <v>78</v>
      </c>
      <c r="C573">
        <v>7</v>
      </c>
    </row>
    <row r="574" spans="2:3">
      <c r="B574" t="s">
        <v>80</v>
      </c>
      <c r="C574">
        <v>23.8</v>
      </c>
    </row>
    <row r="575" spans="1:3">
      <c r="A575">
        <v>2.88</v>
      </c>
      <c r="C575">
        <v>15.5</v>
      </c>
    </row>
    <row r="576" spans="2:3">
      <c r="B576" t="s">
        <v>78</v>
      </c>
      <c r="C576">
        <v>19.6</v>
      </c>
    </row>
    <row r="577" spans="2:3">
      <c r="B577" t="s">
        <v>82</v>
      </c>
      <c r="C577">
        <v>11.4</v>
      </c>
    </row>
    <row r="578" spans="1:3">
      <c r="A578">
        <v>2.89</v>
      </c>
      <c r="C578">
        <v>18.2</v>
      </c>
    </row>
    <row r="579" spans="2:3">
      <c r="B579" t="s">
        <v>78</v>
      </c>
      <c r="C579">
        <v>18.2</v>
      </c>
    </row>
    <row r="580" spans="1:3">
      <c r="A580">
        <v>2.9</v>
      </c>
      <c r="C580">
        <v>14.1</v>
      </c>
    </row>
    <row r="581" spans="2:3">
      <c r="B581" t="s">
        <v>78</v>
      </c>
      <c r="C581">
        <v>11.7</v>
      </c>
    </row>
    <row r="582" spans="2:3">
      <c r="B582" t="s">
        <v>80</v>
      </c>
      <c r="C582">
        <v>14.1</v>
      </c>
    </row>
    <row r="583" spans="2:3">
      <c r="B583" t="s">
        <v>82</v>
      </c>
      <c r="C583">
        <v>16.5</v>
      </c>
    </row>
    <row r="584" spans="1:3">
      <c r="A584">
        <v>2.91</v>
      </c>
      <c r="C584">
        <v>12.05</v>
      </c>
    </row>
    <row r="585" spans="2:3">
      <c r="B585" t="s">
        <v>78</v>
      </c>
      <c r="C585">
        <v>16.6</v>
      </c>
    </row>
    <row r="586" spans="2:3">
      <c r="B586" t="s">
        <v>80</v>
      </c>
      <c r="C586">
        <v>7.5</v>
      </c>
    </row>
    <row r="587" spans="1:3">
      <c r="A587">
        <v>2.92</v>
      </c>
      <c r="C587">
        <v>12.35</v>
      </c>
    </row>
    <row r="588" spans="2:3">
      <c r="B588" t="s">
        <v>83</v>
      </c>
      <c r="C588">
        <v>13.5</v>
      </c>
    </row>
    <row r="589" spans="2:3">
      <c r="B589" t="s">
        <v>80</v>
      </c>
      <c r="C589">
        <v>11.2</v>
      </c>
    </row>
    <row r="590" spans="1:3">
      <c r="A590">
        <v>2.93</v>
      </c>
      <c r="C590">
        <v>13.42</v>
      </c>
    </row>
    <row r="591" spans="2:3">
      <c r="B591" t="s">
        <v>83</v>
      </c>
      <c r="C591">
        <v>8.6</v>
      </c>
    </row>
    <row r="592" spans="2:3">
      <c r="B592" t="s">
        <v>78</v>
      </c>
      <c r="C592">
        <v>14.15</v>
      </c>
    </row>
    <row r="593" spans="2:3">
      <c r="B593" t="s">
        <v>80</v>
      </c>
      <c r="C593">
        <v>19.7</v>
      </c>
    </row>
    <row r="594" spans="2:3">
      <c r="B594" t="s">
        <v>82</v>
      </c>
      <c r="C594">
        <v>10.5</v>
      </c>
    </row>
    <row r="595" spans="1:3">
      <c r="A595">
        <v>2.94</v>
      </c>
      <c r="C595">
        <v>14.7333333333333</v>
      </c>
    </row>
    <row r="596" spans="2:3">
      <c r="B596" t="s">
        <v>83</v>
      </c>
      <c r="C596">
        <v>11.2</v>
      </c>
    </row>
    <row r="597" spans="2:3">
      <c r="B597" t="s">
        <v>82</v>
      </c>
      <c r="C597">
        <v>16.3</v>
      </c>
    </row>
    <row r="598" spans="2:3">
      <c r="B598" t="s">
        <v>81</v>
      </c>
      <c r="C598">
        <v>16.7</v>
      </c>
    </row>
    <row r="599" spans="1:3">
      <c r="A599">
        <v>2.95</v>
      </c>
      <c r="C599">
        <v>13.3</v>
      </c>
    </row>
    <row r="600" spans="2:3">
      <c r="B600" t="s">
        <v>83</v>
      </c>
      <c r="C600">
        <v>13.3</v>
      </c>
    </row>
    <row r="601" spans="1:3">
      <c r="A601">
        <v>2.96</v>
      </c>
      <c r="C601">
        <v>15.9</v>
      </c>
    </row>
    <row r="602" spans="2:3">
      <c r="B602" t="s">
        <v>78</v>
      </c>
      <c r="C602">
        <v>12</v>
      </c>
    </row>
    <row r="603" spans="2:3">
      <c r="B603" t="s">
        <v>82</v>
      </c>
      <c r="C603">
        <v>19.8</v>
      </c>
    </row>
    <row r="604" spans="1:3">
      <c r="A604">
        <v>2.97</v>
      </c>
      <c r="C604">
        <v>23.7</v>
      </c>
    </row>
    <row r="605" spans="2:3">
      <c r="B605" t="s">
        <v>80</v>
      </c>
      <c r="C605">
        <v>23.7</v>
      </c>
    </row>
    <row r="606" spans="1:3">
      <c r="A606">
        <v>2.98</v>
      </c>
      <c r="C606">
        <v>10.4</v>
      </c>
    </row>
    <row r="607" spans="2:3">
      <c r="B607" t="s">
        <v>83</v>
      </c>
      <c r="C607">
        <v>10.4</v>
      </c>
    </row>
    <row r="608" spans="1:3">
      <c r="A608">
        <v>2.99</v>
      </c>
      <c r="C608">
        <v>18.55</v>
      </c>
    </row>
    <row r="609" spans="2:3">
      <c r="B609" t="s">
        <v>78</v>
      </c>
      <c r="C609">
        <v>20.8</v>
      </c>
    </row>
    <row r="610" spans="2:3">
      <c r="B610" t="s">
        <v>82</v>
      </c>
      <c r="C610">
        <v>16.3</v>
      </c>
    </row>
    <row r="611" spans="1:3">
      <c r="A611">
        <v>3</v>
      </c>
      <c r="C611">
        <v>19.6</v>
      </c>
    </row>
    <row r="612" spans="2:3">
      <c r="B612" t="s">
        <v>81</v>
      </c>
      <c r="C612">
        <v>19.6</v>
      </c>
    </row>
    <row r="613" spans="1:3">
      <c r="A613">
        <v>3.01</v>
      </c>
      <c r="C613">
        <v>10</v>
      </c>
    </row>
    <row r="614" spans="2:3">
      <c r="B614" t="s">
        <v>83</v>
      </c>
      <c r="C614">
        <v>10</v>
      </c>
    </row>
    <row r="615" spans="1:3">
      <c r="A615">
        <v>3.02</v>
      </c>
      <c r="C615">
        <v>13</v>
      </c>
    </row>
    <row r="616" spans="2:3">
      <c r="B616" t="s">
        <v>80</v>
      </c>
      <c r="C616">
        <v>6.6</v>
      </c>
    </row>
    <row r="617" spans="2:3">
      <c r="B617" t="s">
        <v>82</v>
      </c>
      <c r="C617">
        <v>12.1</v>
      </c>
    </row>
    <row r="618" spans="2:3">
      <c r="B618" t="s">
        <v>81</v>
      </c>
      <c r="C618">
        <v>21.2</v>
      </c>
    </row>
    <row r="619" spans="1:3">
      <c r="A619">
        <v>3.03</v>
      </c>
      <c r="C619">
        <v>18.6</v>
      </c>
    </row>
    <row r="620" spans="2:3">
      <c r="B620" t="s">
        <v>82</v>
      </c>
      <c r="C620">
        <v>18.6</v>
      </c>
    </row>
    <row r="621" spans="1:3">
      <c r="A621">
        <v>3.04</v>
      </c>
      <c r="C621">
        <v>15.625</v>
      </c>
    </row>
    <row r="622" spans="2:3">
      <c r="B622" t="s">
        <v>83</v>
      </c>
      <c r="C622">
        <v>18.7</v>
      </c>
    </row>
    <row r="623" spans="2:3">
      <c r="B623" t="s">
        <v>81</v>
      </c>
      <c r="C623">
        <v>14.6</v>
      </c>
    </row>
    <row r="624" spans="1:3">
      <c r="A624">
        <v>3.05</v>
      </c>
      <c r="C624">
        <v>21.4</v>
      </c>
    </row>
    <row r="625" spans="2:3">
      <c r="B625" t="s">
        <v>80</v>
      </c>
      <c r="C625">
        <v>21.4</v>
      </c>
    </row>
    <row r="626" spans="1:3">
      <c r="A626">
        <v>3.06</v>
      </c>
      <c r="C626">
        <v>12.1</v>
      </c>
    </row>
    <row r="627" spans="2:3">
      <c r="B627" t="s">
        <v>78</v>
      </c>
      <c r="C627">
        <v>17.2</v>
      </c>
    </row>
    <row r="628" spans="2:3">
      <c r="B628" t="s">
        <v>82</v>
      </c>
      <c r="C628">
        <v>9.55</v>
      </c>
    </row>
    <row r="629" spans="1:3">
      <c r="A629">
        <v>3.07</v>
      </c>
      <c r="C629">
        <v>11.0666666666667</v>
      </c>
    </row>
    <row r="630" spans="2:3">
      <c r="B630" t="s">
        <v>83</v>
      </c>
      <c r="C630">
        <v>11.9</v>
      </c>
    </row>
    <row r="631" spans="2:3">
      <c r="B631" t="s">
        <v>82</v>
      </c>
      <c r="C631">
        <v>10.65</v>
      </c>
    </row>
    <row r="632" spans="1:3">
      <c r="A632">
        <v>3.08</v>
      </c>
      <c r="C632">
        <v>12.05</v>
      </c>
    </row>
    <row r="633" spans="2:3">
      <c r="B633" t="s">
        <v>83</v>
      </c>
      <c r="C633">
        <v>16.1</v>
      </c>
    </row>
    <row r="634" spans="2:3">
      <c r="B634" t="s">
        <v>78</v>
      </c>
      <c r="C634">
        <v>13.45</v>
      </c>
    </row>
    <row r="635" spans="2:3">
      <c r="B635" t="s">
        <v>80</v>
      </c>
      <c r="C635">
        <v>12.1</v>
      </c>
    </row>
    <row r="636" spans="2:3">
      <c r="B636" t="s">
        <v>81</v>
      </c>
      <c r="C636">
        <v>8.6</v>
      </c>
    </row>
    <row r="637" spans="1:3">
      <c r="A637">
        <v>3.09</v>
      </c>
      <c r="C637">
        <v>11.55</v>
      </c>
    </row>
    <row r="638" spans="2:3">
      <c r="B638" t="s">
        <v>83</v>
      </c>
      <c r="C638">
        <v>16.8</v>
      </c>
    </row>
    <row r="639" spans="2:3">
      <c r="B639" t="s">
        <v>82</v>
      </c>
      <c r="C639">
        <v>6.3</v>
      </c>
    </row>
    <row r="640" spans="1:3">
      <c r="A640">
        <v>3.11</v>
      </c>
      <c r="C640">
        <v>19.1</v>
      </c>
    </row>
    <row r="641" spans="2:3">
      <c r="B641" t="s">
        <v>80</v>
      </c>
      <c r="C641">
        <v>19.1</v>
      </c>
    </row>
    <row r="642" spans="1:3">
      <c r="A642">
        <v>3.12</v>
      </c>
      <c r="C642">
        <v>17.4</v>
      </c>
    </row>
    <row r="643" spans="2:3">
      <c r="B643" t="s">
        <v>83</v>
      </c>
      <c r="C643">
        <v>20.4</v>
      </c>
    </row>
    <row r="644" spans="2:3">
      <c r="B644" t="s">
        <v>82</v>
      </c>
      <c r="C644">
        <v>14.4</v>
      </c>
    </row>
    <row r="645" spans="1:3">
      <c r="A645">
        <v>3.13</v>
      </c>
      <c r="C645">
        <v>9.93333333333333</v>
      </c>
    </row>
    <row r="646" spans="2:3">
      <c r="B646" t="s">
        <v>83</v>
      </c>
      <c r="C646">
        <v>13.3</v>
      </c>
    </row>
    <row r="647" spans="2:3">
      <c r="B647" t="s">
        <v>78</v>
      </c>
      <c r="C647">
        <v>8.1</v>
      </c>
    </row>
    <row r="648" spans="2:3">
      <c r="B648" t="s">
        <v>80</v>
      </c>
      <c r="C648">
        <v>8.4</v>
      </c>
    </row>
    <row r="649" spans="1:3">
      <c r="A649">
        <v>3.14</v>
      </c>
      <c r="C649">
        <v>17.7333333333333</v>
      </c>
    </row>
    <row r="650" spans="2:3">
      <c r="B650" t="s">
        <v>83</v>
      </c>
      <c r="C650">
        <v>16.15</v>
      </c>
    </row>
    <row r="651" spans="2:3">
      <c r="B651" t="s">
        <v>81</v>
      </c>
      <c r="C651">
        <v>20.9</v>
      </c>
    </row>
    <row r="652" spans="1:3">
      <c r="A652">
        <v>3.15</v>
      </c>
      <c r="C652">
        <v>14.1</v>
      </c>
    </row>
    <row r="653" spans="2:3">
      <c r="B653" t="s">
        <v>82</v>
      </c>
      <c r="C653">
        <v>14.1</v>
      </c>
    </row>
    <row r="654" spans="1:3">
      <c r="A654">
        <v>3.16</v>
      </c>
      <c r="C654">
        <v>19.125</v>
      </c>
    </row>
    <row r="655" spans="2:3">
      <c r="B655" t="s">
        <v>78</v>
      </c>
      <c r="C655">
        <v>18.45</v>
      </c>
    </row>
    <row r="656" spans="2:3">
      <c r="B656" t="s">
        <v>82</v>
      </c>
      <c r="C656">
        <v>22.3</v>
      </c>
    </row>
    <row r="657" spans="2:3">
      <c r="B657" t="s">
        <v>81</v>
      </c>
      <c r="C657">
        <v>17.3</v>
      </c>
    </row>
    <row r="658" spans="1:3">
      <c r="A658">
        <v>3.17</v>
      </c>
      <c r="C658">
        <v>11.4</v>
      </c>
    </row>
    <row r="659" spans="2:3">
      <c r="B659" t="s">
        <v>83</v>
      </c>
      <c r="C659">
        <v>11.4</v>
      </c>
    </row>
    <row r="660" spans="1:3">
      <c r="A660">
        <v>3.18</v>
      </c>
      <c r="C660">
        <v>14.95</v>
      </c>
    </row>
    <row r="661" spans="2:3">
      <c r="B661" t="s">
        <v>80</v>
      </c>
      <c r="C661">
        <v>10.4</v>
      </c>
    </row>
    <row r="662" spans="2:3">
      <c r="B662" t="s">
        <v>82</v>
      </c>
      <c r="C662">
        <v>19.5</v>
      </c>
    </row>
    <row r="663" spans="1:3">
      <c r="A663">
        <v>3.19</v>
      </c>
      <c r="C663">
        <v>14.9333333333333</v>
      </c>
    </row>
    <row r="664" spans="2:3">
      <c r="B664" t="s">
        <v>80</v>
      </c>
      <c r="C664">
        <v>14.15</v>
      </c>
    </row>
    <row r="665" spans="2:3">
      <c r="B665" t="s">
        <v>81</v>
      </c>
      <c r="C665">
        <v>16.5</v>
      </c>
    </row>
    <row r="666" spans="1:3">
      <c r="A666">
        <v>3.2</v>
      </c>
      <c r="C666">
        <v>12.55</v>
      </c>
    </row>
    <row r="667" spans="2:3">
      <c r="B667" t="s">
        <v>82</v>
      </c>
      <c r="C667">
        <v>12.4</v>
      </c>
    </row>
    <row r="668" spans="2:3">
      <c r="B668" t="s">
        <v>81</v>
      </c>
      <c r="C668">
        <v>12.7</v>
      </c>
    </row>
    <row r="669" spans="1:3">
      <c r="A669">
        <v>3.21</v>
      </c>
      <c r="C669">
        <v>16.6666666666667</v>
      </c>
    </row>
    <row r="670" spans="2:3">
      <c r="B670" t="s">
        <v>80</v>
      </c>
      <c r="C670">
        <v>21.25</v>
      </c>
    </row>
    <row r="671" spans="2:3">
      <c r="B671" t="s">
        <v>82</v>
      </c>
      <c r="C671">
        <v>7.5</v>
      </c>
    </row>
    <row r="672" spans="1:3">
      <c r="A672">
        <v>3.22</v>
      </c>
      <c r="C672">
        <v>15.25</v>
      </c>
    </row>
    <row r="673" spans="2:3">
      <c r="B673" t="s">
        <v>83</v>
      </c>
      <c r="C673">
        <v>23.9</v>
      </c>
    </row>
    <row r="674" spans="2:3">
      <c r="B674" t="s">
        <v>81</v>
      </c>
      <c r="C674">
        <v>6.6</v>
      </c>
    </row>
    <row r="675" spans="1:3">
      <c r="A675">
        <v>3.23</v>
      </c>
      <c r="C675">
        <v>13.85</v>
      </c>
    </row>
    <row r="676" spans="2:3">
      <c r="B676" t="s">
        <v>82</v>
      </c>
      <c r="C676">
        <v>13.85</v>
      </c>
    </row>
    <row r="677" spans="1:3">
      <c r="A677">
        <v>3.24</v>
      </c>
      <c r="C677">
        <v>13.9</v>
      </c>
    </row>
    <row r="678" spans="2:3">
      <c r="B678" t="s">
        <v>78</v>
      </c>
      <c r="C678">
        <v>6.3</v>
      </c>
    </row>
    <row r="679" spans="2:3">
      <c r="B679" t="s">
        <v>82</v>
      </c>
      <c r="C679">
        <v>21.5</v>
      </c>
    </row>
    <row r="680" spans="1:3">
      <c r="A680">
        <v>3.26</v>
      </c>
      <c r="C680">
        <v>11.95</v>
      </c>
    </row>
    <row r="681" spans="2:3">
      <c r="B681" t="s">
        <v>83</v>
      </c>
      <c r="C681">
        <v>8.7</v>
      </c>
    </row>
    <row r="682" spans="2:3">
      <c r="B682" t="s">
        <v>80</v>
      </c>
      <c r="C682">
        <v>7.6</v>
      </c>
    </row>
    <row r="683" spans="2:3">
      <c r="B683" t="s">
        <v>82</v>
      </c>
      <c r="C683">
        <v>22.8</v>
      </c>
    </row>
    <row r="684" spans="1:3">
      <c r="A684">
        <v>3.27</v>
      </c>
      <c r="C684">
        <v>13.3</v>
      </c>
    </row>
    <row r="685" spans="2:3">
      <c r="B685" t="s">
        <v>83</v>
      </c>
      <c r="C685">
        <v>13.3</v>
      </c>
    </row>
    <row r="686" spans="1:3">
      <c r="A686">
        <v>3.28</v>
      </c>
      <c r="C686">
        <v>12.2</v>
      </c>
    </row>
    <row r="687" spans="2:3">
      <c r="B687" t="s">
        <v>83</v>
      </c>
      <c r="C687">
        <v>12.2</v>
      </c>
    </row>
    <row r="688" spans="1:3">
      <c r="A688">
        <v>3.29</v>
      </c>
      <c r="C688">
        <v>13.6333333333333</v>
      </c>
    </row>
    <row r="689" spans="2:3">
      <c r="B689" t="s">
        <v>78</v>
      </c>
      <c r="C689">
        <v>20.4</v>
      </c>
    </row>
    <row r="690" spans="2:3">
      <c r="B690" t="s">
        <v>81</v>
      </c>
      <c r="C690">
        <v>10.25</v>
      </c>
    </row>
    <row r="691" spans="1:3">
      <c r="A691">
        <v>3.3</v>
      </c>
      <c r="C691">
        <v>16.925</v>
      </c>
    </row>
    <row r="692" spans="2:3">
      <c r="B692" t="s">
        <v>83</v>
      </c>
      <c r="C692">
        <v>14.05</v>
      </c>
    </row>
    <row r="693" spans="2:3">
      <c r="B693" t="s">
        <v>80</v>
      </c>
      <c r="C693">
        <v>19.8</v>
      </c>
    </row>
    <row r="694" spans="2:3">
      <c r="B694" t="s">
        <v>81</v>
      </c>
      <c r="C694">
        <v>19.8</v>
      </c>
    </row>
    <row r="695" spans="1:3">
      <c r="A695">
        <v>3.31</v>
      </c>
      <c r="C695">
        <v>15.125</v>
      </c>
    </row>
    <row r="696" spans="2:3">
      <c r="B696" t="s">
        <v>83</v>
      </c>
      <c r="C696">
        <v>14.0666666666667</v>
      </c>
    </row>
    <row r="697" spans="2:3">
      <c r="B697" t="s">
        <v>78</v>
      </c>
      <c r="C697">
        <v>18.3</v>
      </c>
    </row>
    <row r="698" spans="1:3">
      <c r="A698">
        <v>3.32</v>
      </c>
      <c r="C698">
        <v>13.5</v>
      </c>
    </row>
    <row r="699" spans="2:3">
      <c r="B699" t="s">
        <v>80</v>
      </c>
      <c r="C699">
        <v>16.9</v>
      </c>
    </row>
    <row r="700" spans="2:3">
      <c r="B700" t="s">
        <v>82</v>
      </c>
      <c r="C700">
        <v>11.9666666666667</v>
      </c>
    </row>
    <row r="701" spans="2:3">
      <c r="B701" t="s">
        <v>81</v>
      </c>
      <c r="C701">
        <v>14.7</v>
      </c>
    </row>
    <row r="702" spans="1:3">
      <c r="A702">
        <v>3.33</v>
      </c>
      <c r="C702">
        <v>13.7333333333333</v>
      </c>
    </row>
    <row r="703" spans="2:3">
      <c r="B703" t="s">
        <v>83</v>
      </c>
      <c r="C703">
        <v>8.3</v>
      </c>
    </row>
    <row r="704" spans="2:3">
      <c r="B704" t="s">
        <v>82</v>
      </c>
      <c r="C704">
        <v>14.2</v>
      </c>
    </row>
    <row r="705" spans="2:3">
      <c r="B705" t="s">
        <v>81</v>
      </c>
      <c r="C705">
        <v>18.7</v>
      </c>
    </row>
    <row r="706" spans="1:3">
      <c r="A706">
        <v>3.35</v>
      </c>
      <c r="C706">
        <v>13.6666666666667</v>
      </c>
    </row>
    <row r="707" spans="2:3">
      <c r="B707" t="s">
        <v>83</v>
      </c>
      <c r="C707">
        <v>9.75</v>
      </c>
    </row>
    <row r="708" spans="2:3">
      <c r="B708" t="s">
        <v>78</v>
      </c>
      <c r="C708">
        <v>21.5</v>
      </c>
    </row>
    <row r="709" spans="1:3">
      <c r="A709">
        <v>3.36</v>
      </c>
      <c r="C709">
        <v>17.1666666666667</v>
      </c>
    </row>
    <row r="710" spans="2:3">
      <c r="B710" t="s">
        <v>83</v>
      </c>
      <c r="C710">
        <v>15.8</v>
      </c>
    </row>
    <row r="711" spans="2:3">
      <c r="B711" t="s">
        <v>78</v>
      </c>
      <c r="C711">
        <v>13.4</v>
      </c>
    </row>
    <row r="712" spans="2:3">
      <c r="B712" t="s">
        <v>82</v>
      </c>
      <c r="C712">
        <v>22.3</v>
      </c>
    </row>
    <row r="713" spans="1:3">
      <c r="A713">
        <v>3.37</v>
      </c>
      <c r="C713">
        <v>12.5666666666667</v>
      </c>
    </row>
    <row r="714" spans="2:3">
      <c r="B714" t="s">
        <v>83</v>
      </c>
      <c r="C714">
        <v>7.4</v>
      </c>
    </row>
    <row r="715" spans="2:3">
      <c r="B715" t="s">
        <v>80</v>
      </c>
      <c r="C715">
        <v>23.7</v>
      </c>
    </row>
    <row r="716" spans="2:3">
      <c r="B716" t="s">
        <v>81</v>
      </c>
      <c r="C716">
        <v>6.6</v>
      </c>
    </row>
    <row r="717" spans="1:3">
      <c r="A717">
        <v>3.38</v>
      </c>
      <c r="C717">
        <v>16.7</v>
      </c>
    </row>
    <row r="718" spans="2:3">
      <c r="B718" t="s">
        <v>78</v>
      </c>
      <c r="C718">
        <v>12.2</v>
      </c>
    </row>
    <row r="719" spans="2:3">
      <c r="B719" t="s">
        <v>80</v>
      </c>
      <c r="C719">
        <v>21.2</v>
      </c>
    </row>
    <row r="720" spans="1:3">
      <c r="A720">
        <v>3.4</v>
      </c>
      <c r="C720">
        <v>15.225</v>
      </c>
    </row>
    <row r="721" spans="2:3">
      <c r="B721" t="s">
        <v>78</v>
      </c>
      <c r="C721">
        <v>15.225</v>
      </c>
    </row>
    <row r="722" spans="1:3">
      <c r="A722">
        <v>3.41</v>
      </c>
      <c r="C722">
        <v>13.9</v>
      </c>
    </row>
    <row r="723" spans="2:3">
      <c r="B723" t="s">
        <v>83</v>
      </c>
      <c r="C723">
        <v>12</v>
      </c>
    </row>
    <row r="724" spans="2:3">
      <c r="B724" t="s">
        <v>78</v>
      </c>
      <c r="C724">
        <v>11.2</v>
      </c>
    </row>
    <row r="725" spans="2:3">
      <c r="B725" t="s">
        <v>80</v>
      </c>
      <c r="C725">
        <v>18.5</v>
      </c>
    </row>
    <row r="726" spans="1:3">
      <c r="A726">
        <v>3.42</v>
      </c>
      <c r="C726">
        <v>20.05</v>
      </c>
    </row>
    <row r="727" spans="2:3">
      <c r="B727" t="s">
        <v>78</v>
      </c>
      <c r="C727">
        <v>20.05</v>
      </c>
    </row>
    <row r="728" spans="1:3">
      <c r="A728">
        <v>3.43</v>
      </c>
      <c r="C728">
        <v>13.4666666666667</v>
      </c>
    </row>
    <row r="729" spans="2:3">
      <c r="B729" t="s">
        <v>78</v>
      </c>
      <c r="C729">
        <v>10.1</v>
      </c>
    </row>
    <row r="730" spans="2:3">
      <c r="B730" t="s">
        <v>82</v>
      </c>
      <c r="C730">
        <v>7.2</v>
      </c>
    </row>
    <row r="731" spans="2:3">
      <c r="B731" t="s">
        <v>81</v>
      </c>
      <c r="C731">
        <v>23.1</v>
      </c>
    </row>
    <row r="732" spans="1:3">
      <c r="A732">
        <v>3.44</v>
      </c>
      <c r="C732">
        <v>11.75</v>
      </c>
    </row>
    <row r="733" spans="2:3">
      <c r="B733" t="s">
        <v>83</v>
      </c>
      <c r="C733">
        <v>8.8</v>
      </c>
    </row>
    <row r="734" spans="2:3">
      <c r="B734" t="s">
        <v>80</v>
      </c>
      <c r="C734">
        <v>13</v>
      </c>
    </row>
    <row r="735" spans="2:3">
      <c r="B735" t="s">
        <v>81</v>
      </c>
      <c r="C735">
        <v>12.2</v>
      </c>
    </row>
    <row r="736" spans="1:3">
      <c r="A736">
        <v>3.45</v>
      </c>
      <c r="C736">
        <v>21.45</v>
      </c>
    </row>
    <row r="737" spans="2:3">
      <c r="B737" t="s">
        <v>80</v>
      </c>
      <c r="C737">
        <v>21.3</v>
      </c>
    </row>
    <row r="738" spans="2:3">
      <c r="B738" t="s">
        <v>82</v>
      </c>
      <c r="C738">
        <v>21.6</v>
      </c>
    </row>
    <row r="739" spans="1:3">
      <c r="A739">
        <v>3.46</v>
      </c>
      <c r="C739">
        <v>21.7</v>
      </c>
    </row>
    <row r="740" spans="2:3">
      <c r="B740" t="s">
        <v>82</v>
      </c>
      <c r="C740">
        <v>21.7</v>
      </c>
    </row>
    <row r="741" spans="1:3">
      <c r="A741">
        <v>3.47</v>
      </c>
      <c r="C741">
        <v>11.675</v>
      </c>
    </row>
    <row r="742" spans="2:3">
      <c r="B742" t="s">
        <v>83</v>
      </c>
      <c r="C742">
        <v>12.55</v>
      </c>
    </row>
    <row r="743" spans="2:3">
      <c r="B743" t="s">
        <v>80</v>
      </c>
      <c r="C743">
        <v>10.8</v>
      </c>
    </row>
    <row r="744" spans="1:3">
      <c r="A744">
        <v>3.48</v>
      </c>
      <c r="C744">
        <v>15.55</v>
      </c>
    </row>
    <row r="745" spans="2:3">
      <c r="B745" t="s">
        <v>80</v>
      </c>
      <c r="C745">
        <v>9.5</v>
      </c>
    </row>
    <row r="746" spans="2:3">
      <c r="B746" t="s">
        <v>82</v>
      </c>
      <c r="C746">
        <v>21.6</v>
      </c>
    </row>
    <row r="747" spans="1:3">
      <c r="A747">
        <v>3.49</v>
      </c>
      <c r="C747">
        <v>21.3</v>
      </c>
    </row>
    <row r="748" spans="2:3">
      <c r="B748" t="s">
        <v>83</v>
      </c>
      <c r="C748">
        <v>21.3</v>
      </c>
    </row>
    <row r="749" spans="1:3">
      <c r="A749">
        <v>3.5</v>
      </c>
      <c r="C749">
        <v>13.125</v>
      </c>
    </row>
    <row r="750" spans="2:3">
      <c r="B750" t="s">
        <v>78</v>
      </c>
      <c r="C750">
        <v>22.6</v>
      </c>
    </row>
    <row r="751" spans="2:3">
      <c r="B751" t="s">
        <v>80</v>
      </c>
      <c r="C751">
        <v>8.95</v>
      </c>
    </row>
    <row r="752" spans="2:3">
      <c r="B752" t="s">
        <v>81</v>
      </c>
      <c r="C752">
        <v>12</v>
      </c>
    </row>
    <row r="753" spans="1:3">
      <c r="A753">
        <v>3.52</v>
      </c>
      <c r="C753">
        <v>15</v>
      </c>
    </row>
    <row r="754" spans="2:3">
      <c r="B754" t="s">
        <v>83</v>
      </c>
      <c r="C754">
        <v>11.7</v>
      </c>
    </row>
    <row r="755" spans="2:3">
      <c r="B755" t="s">
        <v>80</v>
      </c>
      <c r="C755">
        <v>19.6</v>
      </c>
    </row>
    <row r="756" spans="2:3">
      <c r="B756" t="s">
        <v>82</v>
      </c>
      <c r="C756">
        <v>13.7</v>
      </c>
    </row>
    <row r="757" spans="1:3">
      <c r="A757">
        <v>3.53</v>
      </c>
      <c r="C757">
        <v>11.725</v>
      </c>
    </row>
    <row r="758" spans="2:3">
      <c r="B758" t="s">
        <v>78</v>
      </c>
      <c r="C758">
        <v>9</v>
      </c>
    </row>
    <row r="759" spans="2:3">
      <c r="B759" t="s">
        <v>80</v>
      </c>
      <c r="C759">
        <v>10.3</v>
      </c>
    </row>
    <row r="760" spans="2:3">
      <c r="B760" t="s">
        <v>82</v>
      </c>
      <c r="C760">
        <v>13.8</v>
      </c>
    </row>
    <row r="761" spans="1:3">
      <c r="A761">
        <v>3.54</v>
      </c>
      <c r="C761">
        <v>19.2</v>
      </c>
    </row>
    <row r="762" spans="2:3">
      <c r="B762" t="s">
        <v>83</v>
      </c>
      <c r="C762">
        <v>16.7</v>
      </c>
    </row>
    <row r="763" spans="2:3">
      <c r="B763" t="s">
        <v>78</v>
      </c>
      <c r="C763">
        <v>21.7</v>
      </c>
    </row>
    <row r="764" spans="1:3">
      <c r="A764">
        <v>3.55</v>
      </c>
      <c r="C764">
        <v>13.5666666666667</v>
      </c>
    </row>
    <row r="765" spans="2:3">
      <c r="B765" t="s">
        <v>78</v>
      </c>
      <c r="C765">
        <v>7.6</v>
      </c>
    </row>
    <row r="766" spans="2:3">
      <c r="B766" t="s">
        <v>82</v>
      </c>
      <c r="C766">
        <v>16.55</v>
      </c>
    </row>
    <row r="767" spans="1:3">
      <c r="A767">
        <v>3.56</v>
      </c>
      <c r="C767">
        <v>12.4</v>
      </c>
    </row>
    <row r="768" spans="2:3">
      <c r="B768" t="s">
        <v>82</v>
      </c>
      <c r="C768">
        <v>12.4</v>
      </c>
    </row>
    <row r="769" spans="1:3">
      <c r="A769">
        <v>3.57</v>
      </c>
      <c r="C769">
        <v>10</v>
      </c>
    </row>
    <row r="770" spans="2:3">
      <c r="B770" t="s">
        <v>78</v>
      </c>
      <c r="C770">
        <v>7.5</v>
      </c>
    </row>
    <row r="771" spans="2:3">
      <c r="B771" t="s">
        <v>82</v>
      </c>
      <c r="C771">
        <v>12.5</v>
      </c>
    </row>
    <row r="772" spans="1:3">
      <c r="A772">
        <v>3.58</v>
      </c>
      <c r="C772">
        <v>11.8666666666667</v>
      </c>
    </row>
    <row r="773" spans="2:3">
      <c r="B773" t="s">
        <v>78</v>
      </c>
      <c r="C773">
        <v>12.7</v>
      </c>
    </row>
    <row r="774" spans="2:3">
      <c r="B774" t="s">
        <v>82</v>
      </c>
      <c r="C774">
        <v>9.6</v>
      </c>
    </row>
    <row r="775" spans="2:3">
      <c r="B775" t="s">
        <v>81</v>
      </c>
      <c r="C775">
        <v>13.3</v>
      </c>
    </row>
    <row r="776" spans="1:3">
      <c r="A776">
        <v>3.6</v>
      </c>
      <c r="C776">
        <v>16.6</v>
      </c>
    </row>
    <row r="777" spans="2:3">
      <c r="B777" t="s">
        <v>83</v>
      </c>
      <c r="C777">
        <v>14.6</v>
      </c>
    </row>
    <row r="778" spans="2:3">
      <c r="B778" t="s">
        <v>78</v>
      </c>
      <c r="C778">
        <v>21.1</v>
      </c>
    </row>
    <row r="779" spans="2:3">
      <c r="B779" t="s">
        <v>80</v>
      </c>
      <c r="C779">
        <v>7.3</v>
      </c>
    </row>
    <row r="780" spans="2:3">
      <c r="B780" t="s">
        <v>82</v>
      </c>
      <c r="C780">
        <v>16.7</v>
      </c>
    </row>
    <row r="781" spans="2:3">
      <c r="B781" t="s">
        <v>81</v>
      </c>
      <c r="C781">
        <v>19.95</v>
      </c>
    </row>
    <row r="782" spans="1:3">
      <c r="A782">
        <v>3.61</v>
      </c>
      <c r="C782">
        <v>13.7</v>
      </c>
    </row>
    <row r="783" spans="2:3">
      <c r="B783" t="s">
        <v>83</v>
      </c>
      <c r="C783">
        <v>13.7</v>
      </c>
    </row>
    <row r="784" spans="1:3">
      <c r="A784">
        <v>3.62</v>
      </c>
      <c r="C784">
        <v>8.9</v>
      </c>
    </row>
    <row r="785" spans="2:3">
      <c r="B785" t="s">
        <v>80</v>
      </c>
      <c r="C785">
        <v>8.9</v>
      </c>
    </row>
    <row r="786" spans="1:3">
      <c r="A786">
        <v>3.63</v>
      </c>
      <c r="C786">
        <v>15.7</v>
      </c>
    </row>
    <row r="787" spans="2:3">
      <c r="B787" t="s">
        <v>83</v>
      </c>
      <c r="C787">
        <v>14.6666666666667</v>
      </c>
    </row>
    <row r="788" spans="2:3">
      <c r="B788" t="s">
        <v>78</v>
      </c>
      <c r="C788">
        <v>16</v>
      </c>
    </row>
    <row r="789" spans="2:3">
      <c r="B789" t="s">
        <v>80</v>
      </c>
      <c r="C789">
        <v>18.9</v>
      </c>
    </row>
    <row r="790" spans="2:3">
      <c r="B790" t="s">
        <v>82</v>
      </c>
      <c r="C790">
        <v>7</v>
      </c>
    </row>
    <row r="791" spans="2:3">
      <c r="B791" t="s">
        <v>81</v>
      </c>
      <c r="C791">
        <v>19.85</v>
      </c>
    </row>
    <row r="792" spans="1:3">
      <c r="A792">
        <v>3.64</v>
      </c>
      <c r="C792">
        <v>8.45</v>
      </c>
    </row>
    <row r="793" spans="2:3">
      <c r="B793" t="s">
        <v>83</v>
      </c>
      <c r="C793">
        <v>6.4</v>
      </c>
    </row>
    <row r="794" spans="2:3">
      <c r="B794" t="s">
        <v>80</v>
      </c>
      <c r="C794">
        <v>10.5</v>
      </c>
    </row>
    <row r="795" spans="1:3">
      <c r="A795">
        <v>3.65</v>
      </c>
      <c r="C795">
        <v>14.6666666666667</v>
      </c>
    </row>
    <row r="796" spans="2:3">
      <c r="B796" t="s">
        <v>80</v>
      </c>
      <c r="C796">
        <v>9.9</v>
      </c>
    </row>
    <row r="797" spans="2:3">
      <c r="B797" t="s">
        <v>81</v>
      </c>
      <c r="C797">
        <v>17.05</v>
      </c>
    </row>
    <row r="798" spans="1:3">
      <c r="A798">
        <v>3.66</v>
      </c>
      <c r="C798">
        <v>17.7</v>
      </c>
    </row>
    <row r="799" spans="2:3">
      <c r="B799" t="s">
        <v>78</v>
      </c>
      <c r="C799">
        <v>22</v>
      </c>
    </row>
    <row r="800" spans="2:3">
      <c r="B800" t="s">
        <v>80</v>
      </c>
      <c r="C800">
        <v>13.4</v>
      </c>
    </row>
    <row r="801" spans="1:3">
      <c r="A801">
        <v>3.67</v>
      </c>
      <c r="C801">
        <v>17.5285714285714</v>
      </c>
    </row>
    <row r="802" spans="2:3">
      <c r="B802" t="s">
        <v>83</v>
      </c>
      <c r="C802">
        <v>22.5</v>
      </c>
    </row>
    <row r="803" spans="2:3">
      <c r="B803" t="s">
        <v>78</v>
      </c>
      <c r="C803">
        <v>18.9</v>
      </c>
    </row>
    <row r="804" spans="2:3">
      <c r="B804" t="s">
        <v>82</v>
      </c>
      <c r="C804">
        <v>14.0333333333333</v>
      </c>
    </row>
    <row r="805" spans="2:3">
      <c r="B805" t="s">
        <v>81</v>
      </c>
      <c r="C805">
        <v>16.7</v>
      </c>
    </row>
    <row r="806" spans="1:3">
      <c r="A806">
        <v>3.68</v>
      </c>
      <c r="C806">
        <v>16.85</v>
      </c>
    </row>
    <row r="807" spans="2:3">
      <c r="B807" t="s">
        <v>83</v>
      </c>
      <c r="C807">
        <v>16</v>
      </c>
    </row>
    <row r="808" spans="2:3">
      <c r="B808" t="s">
        <v>82</v>
      </c>
      <c r="C808">
        <v>17.7</v>
      </c>
    </row>
    <row r="809" spans="1:3">
      <c r="A809">
        <v>3.69</v>
      </c>
      <c r="C809">
        <v>17.225</v>
      </c>
    </row>
    <row r="810" spans="2:3">
      <c r="B810" t="s">
        <v>78</v>
      </c>
      <c r="C810">
        <v>19.45</v>
      </c>
    </row>
    <row r="811" spans="2:3">
      <c r="B811" t="s">
        <v>82</v>
      </c>
      <c r="C811">
        <v>6.1</v>
      </c>
    </row>
    <row r="812" spans="2:3">
      <c r="B812" t="s">
        <v>81</v>
      </c>
      <c r="C812">
        <v>23.9</v>
      </c>
    </row>
    <row r="813" spans="1:3">
      <c r="A813">
        <v>3.7</v>
      </c>
      <c r="C813">
        <v>14.2</v>
      </c>
    </row>
    <row r="814" spans="2:3">
      <c r="B814" t="s">
        <v>81</v>
      </c>
      <c r="C814">
        <v>14.2</v>
      </c>
    </row>
    <row r="815" spans="1:3">
      <c r="A815">
        <v>3.71</v>
      </c>
      <c r="C815">
        <v>13.4</v>
      </c>
    </row>
    <row r="816" spans="2:3">
      <c r="B816" t="s">
        <v>83</v>
      </c>
      <c r="C816">
        <v>6.3</v>
      </c>
    </row>
    <row r="817" spans="2:3">
      <c r="B817" t="s">
        <v>78</v>
      </c>
      <c r="C817">
        <v>22.6</v>
      </c>
    </row>
    <row r="818" spans="2:3">
      <c r="B818" t="s">
        <v>81</v>
      </c>
      <c r="C818">
        <v>11.3</v>
      </c>
    </row>
    <row r="819" spans="1:3">
      <c r="A819">
        <v>3.72</v>
      </c>
      <c r="C819">
        <v>16.5</v>
      </c>
    </row>
    <row r="820" spans="2:3">
      <c r="B820" t="s">
        <v>78</v>
      </c>
      <c r="C820">
        <v>16.5</v>
      </c>
    </row>
    <row r="821" spans="1:3">
      <c r="A821">
        <v>3.73</v>
      </c>
      <c r="C821">
        <v>17.6</v>
      </c>
    </row>
    <row r="822" spans="2:3">
      <c r="B822" t="s">
        <v>82</v>
      </c>
      <c r="C822">
        <v>17.6</v>
      </c>
    </row>
    <row r="823" spans="1:3">
      <c r="A823">
        <v>3.74</v>
      </c>
      <c r="C823">
        <v>12.9</v>
      </c>
    </row>
    <row r="824" spans="2:3">
      <c r="B824" t="s">
        <v>78</v>
      </c>
      <c r="C824">
        <v>12.9</v>
      </c>
    </row>
    <row r="825" spans="1:3">
      <c r="A825">
        <v>3.75</v>
      </c>
      <c r="C825">
        <v>13.35</v>
      </c>
    </row>
    <row r="826" spans="2:3">
      <c r="B826" t="s">
        <v>83</v>
      </c>
      <c r="C826">
        <v>6.9</v>
      </c>
    </row>
    <row r="827" spans="2:3">
      <c r="B827" t="s">
        <v>78</v>
      </c>
      <c r="C827">
        <v>18.6</v>
      </c>
    </row>
    <row r="828" spans="2:3">
      <c r="B828" t="s">
        <v>80</v>
      </c>
      <c r="C828">
        <v>6.5</v>
      </c>
    </row>
    <row r="829" spans="2:3">
      <c r="B829" t="s">
        <v>82</v>
      </c>
      <c r="C829">
        <v>21.4</v>
      </c>
    </row>
    <row r="830" spans="1:3">
      <c r="A830">
        <v>3.76</v>
      </c>
      <c r="C830">
        <v>13.7</v>
      </c>
    </row>
    <row r="831" spans="2:3">
      <c r="B831" t="s">
        <v>80</v>
      </c>
      <c r="C831">
        <v>13.7</v>
      </c>
    </row>
    <row r="832" spans="1:3">
      <c r="A832">
        <v>3.77</v>
      </c>
      <c r="C832">
        <v>14.225</v>
      </c>
    </row>
    <row r="833" spans="2:3">
      <c r="B833" t="s">
        <v>78</v>
      </c>
      <c r="C833">
        <v>14.8</v>
      </c>
    </row>
    <row r="834" spans="2:3">
      <c r="B834" t="s">
        <v>80</v>
      </c>
      <c r="C834">
        <v>13.65</v>
      </c>
    </row>
    <row r="835" spans="1:3">
      <c r="A835">
        <v>3.78</v>
      </c>
      <c r="C835">
        <v>10.55</v>
      </c>
    </row>
    <row r="836" spans="2:3">
      <c r="B836" t="s">
        <v>83</v>
      </c>
      <c r="C836">
        <v>10.9</v>
      </c>
    </row>
    <row r="837" spans="2:3">
      <c r="B837" t="s">
        <v>80</v>
      </c>
      <c r="C837">
        <v>6.7</v>
      </c>
    </row>
    <row r="838" spans="2:3">
      <c r="B838" t="s">
        <v>82</v>
      </c>
      <c r="C838">
        <v>12.4</v>
      </c>
    </row>
    <row r="839" spans="2:3">
      <c r="B839" t="s">
        <v>81</v>
      </c>
      <c r="C839">
        <v>12.2</v>
      </c>
    </row>
    <row r="840" spans="1:3">
      <c r="A840">
        <v>3.79</v>
      </c>
      <c r="C840">
        <v>17.1</v>
      </c>
    </row>
    <row r="841" spans="2:3">
      <c r="B841" t="s">
        <v>78</v>
      </c>
      <c r="C841">
        <v>20.6</v>
      </c>
    </row>
    <row r="842" spans="2:3">
      <c r="B842" t="s">
        <v>80</v>
      </c>
      <c r="C842">
        <v>23.5</v>
      </c>
    </row>
    <row r="843" spans="2:3">
      <c r="B843" t="s">
        <v>82</v>
      </c>
      <c r="C843">
        <v>7.2</v>
      </c>
    </row>
    <row r="844" spans="1:3">
      <c r="A844">
        <v>3.8</v>
      </c>
      <c r="C844">
        <v>23</v>
      </c>
    </row>
    <row r="845" spans="2:3">
      <c r="B845" t="s">
        <v>83</v>
      </c>
      <c r="C845">
        <v>23</v>
      </c>
    </row>
    <row r="846" spans="1:3">
      <c r="A846">
        <v>3.81</v>
      </c>
      <c r="C846">
        <v>16.4</v>
      </c>
    </row>
    <row r="847" spans="2:3">
      <c r="B847" t="s">
        <v>78</v>
      </c>
      <c r="C847">
        <v>22.4</v>
      </c>
    </row>
    <row r="848" spans="2:3">
      <c r="B848" t="s">
        <v>80</v>
      </c>
      <c r="C848">
        <v>10.4</v>
      </c>
    </row>
    <row r="849" spans="1:3">
      <c r="A849">
        <v>3.82</v>
      </c>
      <c r="C849">
        <v>13.5333333333333</v>
      </c>
    </row>
    <row r="850" spans="2:3">
      <c r="B850" t="s">
        <v>83</v>
      </c>
      <c r="C850">
        <v>13.2</v>
      </c>
    </row>
    <row r="851" spans="2:3">
      <c r="B851" t="s">
        <v>81</v>
      </c>
      <c r="C851">
        <v>13.7</v>
      </c>
    </row>
    <row r="852" spans="1:3">
      <c r="A852">
        <v>3.83</v>
      </c>
      <c r="C852">
        <v>15.3333333333333</v>
      </c>
    </row>
    <row r="853" spans="2:3">
      <c r="B853" t="s">
        <v>78</v>
      </c>
      <c r="C853">
        <v>13.9</v>
      </c>
    </row>
    <row r="854" spans="2:3">
      <c r="B854" t="s">
        <v>81</v>
      </c>
      <c r="C854">
        <v>18.2</v>
      </c>
    </row>
    <row r="855" spans="1:3">
      <c r="A855">
        <v>3.84</v>
      </c>
      <c r="C855">
        <v>12.1333333333333</v>
      </c>
    </row>
    <row r="856" spans="2:3">
      <c r="B856" t="s">
        <v>83</v>
      </c>
      <c r="C856">
        <v>7.7</v>
      </c>
    </row>
    <row r="857" spans="2:3">
      <c r="B857" t="s">
        <v>78</v>
      </c>
      <c r="C857">
        <v>10.6</v>
      </c>
    </row>
    <row r="858" spans="2:3">
      <c r="B858" t="s">
        <v>81</v>
      </c>
      <c r="C858">
        <v>18.1</v>
      </c>
    </row>
    <row r="859" spans="1:3">
      <c r="A859">
        <v>3.85</v>
      </c>
      <c r="C859">
        <v>13.15</v>
      </c>
    </row>
    <row r="860" spans="2:3">
      <c r="B860" t="s">
        <v>80</v>
      </c>
      <c r="C860">
        <v>13.15</v>
      </c>
    </row>
    <row r="861" spans="1:3">
      <c r="A861">
        <v>3.87</v>
      </c>
      <c r="C861">
        <v>17.75</v>
      </c>
    </row>
    <row r="862" spans="2:3">
      <c r="B862" t="s">
        <v>78</v>
      </c>
      <c r="C862">
        <v>17.75</v>
      </c>
    </row>
    <row r="863" spans="1:3">
      <c r="A863">
        <v>3.88</v>
      </c>
      <c r="C863">
        <v>6.9</v>
      </c>
    </row>
    <row r="864" spans="2:3">
      <c r="B864" t="s">
        <v>78</v>
      </c>
      <c r="C864">
        <v>6.9</v>
      </c>
    </row>
    <row r="865" spans="1:3">
      <c r="A865">
        <v>3.89</v>
      </c>
      <c r="C865">
        <v>11.62</v>
      </c>
    </row>
    <row r="866" spans="2:3">
      <c r="B866" t="s">
        <v>83</v>
      </c>
      <c r="C866">
        <v>13.05</v>
      </c>
    </row>
    <row r="867" spans="2:3">
      <c r="B867" t="s">
        <v>78</v>
      </c>
      <c r="C867">
        <v>12.9</v>
      </c>
    </row>
    <row r="868" spans="2:3">
      <c r="B868" t="s">
        <v>82</v>
      </c>
      <c r="C868">
        <v>6.2</v>
      </c>
    </row>
    <row r="869" spans="1:3">
      <c r="A869">
        <v>3.9</v>
      </c>
      <c r="C869">
        <v>20</v>
      </c>
    </row>
    <row r="870" spans="2:3">
      <c r="B870" t="s">
        <v>78</v>
      </c>
      <c r="C870">
        <v>20</v>
      </c>
    </row>
    <row r="871" spans="1:3">
      <c r="A871">
        <v>3.92</v>
      </c>
      <c r="C871">
        <v>14.4</v>
      </c>
    </row>
    <row r="872" spans="2:3">
      <c r="B872" t="s">
        <v>83</v>
      </c>
      <c r="C872">
        <v>14.4</v>
      </c>
    </row>
    <row r="873" spans="1:3">
      <c r="A873">
        <v>3.93</v>
      </c>
      <c r="C873">
        <v>14.05</v>
      </c>
    </row>
    <row r="874" spans="2:3">
      <c r="B874" t="s">
        <v>83</v>
      </c>
      <c r="C874">
        <v>12.4</v>
      </c>
    </row>
    <row r="875" spans="2:3">
      <c r="B875" t="s">
        <v>81</v>
      </c>
      <c r="C875">
        <v>15.7</v>
      </c>
    </row>
    <row r="876" spans="1:3">
      <c r="A876">
        <v>3.94</v>
      </c>
      <c r="C876">
        <v>22.7</v>
      </c>
    </row>
    <row r="877" spans="2:3">
      <c r="B877" t="s">
        <v>80</v>
      </c>
      <c r="C877">
        <v>22.7</v>
      </c>
    </row>
    <row r="878" spans="1:3">
      <c r="A878">
        <v>3.95</v>
      </c>
      <c r="C878">
        <v>14.3666666666667</v>
      </c>
    </row>
    <row r="879" spans="2:3">
      <c r="B879" t="s">
        <v>82</v>
      </c>
      <c r="C879">
        <v>14.5</v>
      </c>
    </row>
    <row r="880" spans="2:3">
      <c r="B880" t="s">
        <v>81</v>
      </c>
      <c r="C880">
        <v>14.1</v>
      </c>
    </row>
    <row r="881" spans="1:3">
      <c r="A881">
        <v>3.96</v>
      </c>
      <c r="C881">
        <v>6.5</v>
      </c>
    </row>
    <row r="882" spans="2:3">
      <c r="B882" t="s">
        <v>81</v>
      </c>
      <c r="C882">
        <v>6.5</v>
      </c>
    </row>
    <row r="883" spans="1:3">
      <c r="A883">
        <v>3.97</v>
      </c>
      <c r="C883">
        <v>21</v>
      </c>
    </row>
    <row r="884" spans="2:3">
      <c r="B884" t="s">
        <v>83</v>
      </c>
      <c r="C884">
        <v>20</v>
      </c>
    </row>
    <row r="885" spans="2:3">
      <c r="B885" t="s">
        <v>80</v>
      </c>
      <c r="C885">
        <v>21.7</v>
      </c>
    </row>
    <row r="886" spans="2:3">
      <c r="B886" t="s">
        <v>82</v>
      </c>
      <c r="C886">
        <v>21.3</v>
      </c>
    </row>
    <row r="887" spans="1:3">
      <c r="A887">
        <v>3.99</v>
      </c>
      <c r="C887">
        <v>23.2</v>
      </c>
    </row>
    <row r="888" spans="2:3">
      <c r="B888" t="s">
        <v>82</v>
      </c>
      <c r="C888">
        <v>23.2</v>
      </c>
    </row>
    <row r="889" spans="1:3">
      <c r="A889">
        <v>4</v>
      </c>
      <c r="C889">
        <v>12.22</v>
      </c>
    </row>
    <row r="890" spans="2:3">
      <c r="B890" t="s">
        <v>83</v>
      </c>
      <c r="C890">
        <v>10.3</v>
      </c>
    </row>
    <row r="891" spans="2:3">
      <c r="B891" t="s">
        <v>78</v>
      </c>
      <c r="C891">
        <v>11.3666666666667</v>
      </c>
    </row>
    <row r="892" spans="2:3">
      <c r="B892" t="s">
        <v>82</v>
      </c>
      <c r="C892">
        <v>16.7</v>
      </c>
    </row>
    <row r="893" spans="1:3">
      <c r="A893">
        <v>4.01</v>
      </c>
      <c r="C893">
        <v>15.75</v>
      </c>
    </row>
    <row r="894" spans="2:3">
      <c r="B894" t="s">
        <v>83</v>
      </c>
      <c r="C894">
        <v>15.1</v>
      </c>
    </row>
    <row r="895" spans="2:3">
      <c r="B895" t="s">
        <v>80</v>
      </c>
      <c r="C895">
        <v>19.1</v>
      </c>
    </row>
    <row r="896" spans="2:3">
      <c r="B896" t="s">
        <v>81</v>
      </c>
      <c r="C896">
        <v>13.7</v>
      </c>
    </row>
    <row r="897" spans="1:3">
      <c r="A897">
        <v>4.02</v>
      </c>
      <c r="C897">
        <v>21.2333333333333</v>
      </c>
    </row>
    <row r="898" spans="2:3">
      <c r="B898" t="s">
        <v>83</v>
      </c>
      <c r="C898">
        <v>20.3</v>
      </c>
    </row>
    <row r="899" spans="2:3">
      <c r="B899" t="s">
        <v>80</v>
      </c>
      <c r="C899">
        <v>23.3</v>
      </c>
    </row>
    <row r="900" spans="2:3">
      <c r="B900" t="s">
        <v>82</v>
      </c>
      <c r="C900">
        <v>20.1</v>
      </c>
    </row>
    <row r="901" spans="1:3">
      <c r="A901">
        <v>4.03</v>
      </c>
      <c r="C901">
        <v>15.5666666666667</v>
      </c>
    </row>
    <row r="902" spans="2:3">
      <c r="B902" t="s">
        <v>80</v>
      </c>
      <c r="C902">
        <v>17.45</v>
      </c>
    </row>
    <row r="903" spans="2:3">
      <c r="B903" t="s">
        <v>81</v>
      </c>
      <c r="C903">
        <v>11.8</v>
      </c>
    </row>
    <row r="904" spans="1:3">
      <c r="A904">
        <v>4.04</v>
      </c>
      <c r="C904">
        <v>10.3</v>
      </c>
    </row>
    <row r="905" spans="2:3">
      <c r="B905" t="s">
        <v>83</v>
      </c>
      <c r="C905">
        <v>7.2</v>
      </c>
    </row>
    <row r="906" spans="2:3">
      <c r="B906" t="s">
        <v>82</v>
      </c>
      <c r="C906">
        <v>13.4</v>
      </c>
    </row>
    <row r="907" spans="1:3">
      <c r="A907">
        <v>4.05</v>
      </c>
      <c r="C907">
        <v>18</v>
      </c>
    </row>
    <row r="908" spans="2:3">
      <c r="B908" t="s">
        <v>80</v>
      </c>
      <c r="C908">
        <v>18</v>
      </c>
    </row>
    <row r="909" spans="1:3">
      <c r="A909">
        <v>4.06</v>
      </c>
      <c r="C909">
        <v>7.55</v>
      </c>
    </row>
    <row r="910" spans="2:3">
      <c r="B910" t="s">
        <v>82</v>
      </c>
      <c r="C910">
        <v>6.7</v>
      </c>
    </row>
    <row r="911" spans="2:3">
      <c r="B911" t="s">
        <v>81</v>
      </c>
      <c r="C911">
        <v>8.4</v>
      </c>
    </row>
    <row r="912" spans="1:3">
      <c r="A912">
        <v>4.08</v>
      </c>
      <c r="C912">
        <v>10</v>
      </c>
    </row>
    <row r="913" spans="2:3">
      <c r="B913" t="s">
        <v>78</v>
      </c>
      <c r="C913">
        <v>9.1</v>
      </c>
    </row>
    <row r="914" spans="2:3">
      <c r="B914" t="s">
        <v>82</v>
      </c>
      <c r="C914">
        <v>10.9</v>
      </c>
    </row>
    <row r="915" spans="1:3">
      <c r="A915">
        <v>4.09</v>
      </c>
      <c r="C915">
        <v>9.45</v>
      </c>
    </row>
    <row r="916" spans="2:3">
      <c r="B916" t="s">
        <v>83</v>
      </c>
      <c r="C916">
        <v>12.7</v>
      </c>
    </row>
    <row r="917" spans="2:3">
      <c r="B917" t="s">
        <v>80</v>
      </c>
      <c r="C917">
        <v>6.2</v>
      </c>
    </row>
    <row r="918" spans="1:3">
      <c r="A918">
        <v>4.1</v>
      </c>
      <c r="C918">
        <v>12.7</v>
      </c>
    </row>
    <row r="919" spans="2:3">
      <c r="B919" t="s">
        <v>83</v>
      </c>
      <c r="C919">
        <v>11.4</v>
      </c>
    </row>
    <row r="920" spans="2:3">
      <c r="B920" t="s">
        <v>78</v>
      </c>
      <c r="C920">
        <v>14.65</v>
      </c>
    </row>
    <row r="921" spans="1:3">
      <c r="A921">
        <v>4.11</v>
      </c>
      <c r="C921">
        <v>11.7</v>
      </c>
    </row>
    <row r="922" spans="2:3">
      <c r="B922" t="s">
        <v>83</v>
      </c>
      <c r="C922">
        <v>7.6</v>
      </c>
    </row>
    <row r="923" spans="2:3">
      <c r="B923" t="s">
        <v>81</v>
      </c>
      <c r="C923">
        <v>15.8</v>
      </c>
    </row>
    <row r="924" spans="1:3">
      <c r="A924">
        <v>4.13</v>
      </c>
      <c r="C924">
        <v>21.35</v>
      </c>
    </row>
    <row r="925" spans="2:3">
      <c r="B925" t="s">
        <v>83</v>
      </c>
      <c r="C925">
        <v>20.6</v>
      </c>
    </row>
    <row r="926" spans="2:3">
      <c r="B926" t="s">
        <v>82</v>
      </c>
      <c r="C926">
        <v>22.1</v>
      </c>
    </row>
    <row r="927" spans="1:3">
      <c r="A927">
        <v>4.14</v>
      </c>
      <c r="C927">
        <v>23.25</v>
      </c>
    </row>
    <row r="928" spans="2:3">
      <c r="B928" t="s">
        <v>83</v>
      </c>
      <c r="C928">
        <v>23.25</v>
      </c>
    </row>
    <row r="929" spans="1:3">
      <c r="A929">
        <v>4.15</v>
      </c>
      <c r="C929">
        <v>15.8</v>
      </c>
    </row>
    <row r="930" spans="2:3">
      <c r="B930" t="s">
        <v>78</v>
      </c>
      <c r="C930">
        <v>21.8</v>
      </c>
    </row>
    <row r="931" spans="2:3">
      <c r="B931" t="s">
        <v>80</v>
      </c>
      <c r="C931">
        <v>16.6</v>
      </c>
    </row>
    <row r="932" spans="2:3">
      <c r="B932" t="s">
        <v>82</v>
      </c>
      <c r="C932">
        <v>9</v>
      </c>
    </row>
    <row r="933" spans="1:3">
      <c r="A933">
        <v>4.16</v>
      </c>
      <c r="C933">
        <v>22.4</v>
      </c>
    </row>
    <row r="934" spans="2:3">
      <c r="B934" t="s">
        <v>78</v>
      </c>
      <c r="C934">
        <v>22.4</v>
      </c>
    </row>
    <row r="935" spans="1:3">
      <c r="A935">
        <v>4.17</v>
      </c>
      <c r="C935">
        <v>21.85</v>
      </c>
    </row>
    <row r="936" spans="2:3">
      <c r="B936" t="s">
        <v>82</v>
      </c>
      <c r="C936">
        <v>21.85</v>
      </c>
    </row>
    <row r="937" spans="1:3">
      <c r="A937">
        <v>4.18</v>
      </c>
      <c r="C937">
        <v>16.94</v>
      </c>
    </row>
    <row r="938" spans="2:3">
      <c r="B938" t="s">
        <v>78</v>
      </c>
      <c r="C938">
        <v>7.3</v>
      </c>
    </row>
    <row r="939" spans="2:3">
      <c r="B939" t="s">
        <v>80</v>
      </c>
      <c r="C939">
        <v>23.9</v>
      </c>
    </row>
    <row r="940" spans="2:3">
      <c r="B940" t="s">
        <v>82</v>
      </c>
      <c r="C940">
        <v>17.8333333333333</v>
      </c>
    </row>
    <row r="941" spans="1:3">
      <c r="A941">
        <v>4.19</v>
      </c>
      <c r="C941">
        <v>10.0333333333333</v>
      </c>
    </row>
    <row r="942" spans="2:3">
      <c r="B942" t="s">
        <v>78</v>
      </c>
      <c r="C942">
        <v>8.8</v>
      </c>
    </row>
    <row r="943" spans="2:3">
      <c r="B943" t="s">
        <v>82</v>
      </c>
      <c r="C943">
        <v>8.3</v>
      </c>
    </row>
    <row r="944" spans="2:3">
      <c r="B944" t="s">
        <v>81</v>
      </c>
      <c r="C944">
        <v>13</v>
      </c>
    </row>
    <row r="945" spans="1:3">
      <c r="A945">
        <v>4.2</v>
      </c>
      <c r="C945">
        <v>14.15</v>
      </c>
    </row>
    <row r="946" spans="2:3">
      <c r="B946" t="s">
        <v>83</v>
      </c>
      <c r="C946">
        <v>16.6</v>
      </c>
    </row>
    <row r="947" spans="2:3">
      <c r="B947" t="s">
        <v>81</v>
      </c>
      <c r="C947">
        <v>11.7</v>
      </c>
    </row>
    <row r="948" spans="1:3">
      <c r="A948">
        <v>4.21</v>
      </c>
      <c r="C948">
        <v>12.16</v>
      </c>
    </row>
    <row r="949" spans="2:3">
      <c r="B949" t="s">
        <v>80</v>
      </c>
      <c r="C949">
        <v>12.4</v>
      </c>
    </row>
    <row r="950" spans="2:3">
      <c r="B950" t="s">
        <v>82</v>
      </c>
      <c r="C950">
        <v>14</v>
      </c>
    </row>
    <row r="951" spans="2:3">
      <c r="B951" t="s">
        <v>81</v>
      </c>
      <c r="C951">
        <v>8</v>
      </c>
    </row>
    <row r="952" spans="1:3">
      <c r="A952">
        <v>4.22</v>
      </c>
      <c r="C952">
        <v>15.3</v>
      </c>
    </row>
    <row r="953" spans="2:3">
      <c r="B953" t="s">
        <v>83</v>
      </c>
      <c r="C953">
        <v>15.8</v>
      </c>
    </row>
    <row r="954" spans="2:3">
      <c r="B954" t="s">
        <v>78</v>
      </c>
      <c r="C954">
        <v>15</v>
      </c>
    </row>
    <row r="955" spans="2:3">
      <c r="B955" t="s">
        <v>81</v>
      </c>
      <c r="C955">
        <v>15.1</v>
      </c>
    </row>
    <row r="956" spans="1:3">
      <c r="A956">
        <v>4.23</v>
      </c>
      <c r="C956">
        <v>8.3</v>
      </c>
    </row>
    <row r="957" spans="2:3">
      <c r="B957" t="s">
        <v>80</v>
      </c>
      <c r="C957">
        <v>6.3</v>
      </c>
    </row>
    <row r="958" spans="2:3">
      <c r="B958" t="s">
        <v>82</v>
      </c>
      <c r="C958">
        <v>10.3</v>
      </c>
    </row>
    <row r="959" spans="1:3">
      <c r="A959">
        <v>4.24</v>
      </c>
      <c r="C959">
        <v>8.9</v>
      </c>
    </row>
    <row r="960" spans="2:3">
      <c r="B960" t="s">
        <v>80</v>
      </c>
      <c r="C960">
        <v>8.9</v>
      </c>
    </row>
    <row r="961" spans="1:3">
      <c r="A961">
        <v>4.25</v>
      </c>
      <c r="C961">
        <v>14.85</v>
      </c>
    </row>
    <row r="962" spans="2:3">
      <c r="B962" t="s">
        <v>80</v>
      </c>
      <c r="C962">
        <v>16</v>
      </c>
    </row>
    <row r="963" spans="2:3">
      <c r="B963" t="s">
        <v>81</v>
      </c>
      <c r="C963">
        <v>14.4666666666667</v>
      </c>
    </row>
    <row r="964" spans="1:3">
      <c r="A964">
        <v>4.26</v>
      </c>
      <c r="C964">
        <v>13.15</v>
      </c>
    </row>
    <row r="965" spans="2:3">
      <c r="B965" t="s">
        <v>78</v>
      </c>
      <c r="C965">
        <v>15.7</v>
      </c>
    </row>
    <row r="966" spans="2:3">
      <c r="B966" t="s">
        <v>82</v>
      </c>
      <c r="C966">
        <v>10.6</v>
      </c>
    </row>
    <row r="967" spans="1:3">
      <c r="A967">
        <v>4.27</v>
      </c>
      <c r="C967">
        <v>13.4</v>
      </c>
    </row>
    <row r="968" spans="2:3">
      <c r="B968" t="s">
        <v>83</v>
      </c>
      <c r="C968">
        <v>21.1</v>
      </c>
    </row>
    <row r="969" spans="2:3">
      <c r="B969" t="s">
        <v>78</v>
      </c>
      <c r="C969">
        <v>6.1</v>
      </c>
    </row>
    <row r="970" spans="2:3">
      <c r="B970" t="s">
        <v>80</v>
      </c>
      <c r="C970">
        <v>13.2666666666667</v>
      </c>
    </row>
    <row r="971" spans="1:3">
      <c r="A971">
        <v>4.28</v>
      </c>
      <c r="C971">
        <v>15.05</v>
      </c>
    </row>
    <row r="972" spans="2:3">
      <c r="B972" t="s">
        <v>83</v>
      </c>
      <c r="C972">
        <v>18.4</v>
      </c>
    </row>
    <row r="973" spans="2:3">
      <c r="B973" t="s">
        <v>78</v>
      </c>
      <c r="C973">
        <v>11.7</v>
      </c>
    </row>
    <row r="974" spans="1:3">
      <c r="A974">
        <v>4.29</v>
      </c>
      <c r="C974">
        <v>14.025</v>
      </c>
    </row>
    <row r="975" spans="2:3">
      <c r="B975" t="s">
        <v>83</v>
      </c>
      <c r="C975">
        <v>15.4</v>
      </c>
    </row>
    <row r="976" spans="2:3">
      <c r="B976" t="s">
        <v>78</v>
      </c>
      <c r="C976">
        <v>13.45</v>
      </c>
    </row>
    <row r="977" spans="2:3">
      <c r="B977" t="s">
        <v>82</v>
      </c>
      <c r="C977">
        <v>13.8</v>
      </c>
    </row>
    <row r="978" spans="1:3">
      <c r="A978">
        <v>4.3</v>
      </c>
      <c r="C978">
        <v>17.65</v>
      </c>
    </row>
    <row r="979" spans="2:3">
      <c r="B979" t="s">
        <v>83</v>
      </c>
      <c r="C979">
        <v>19.3</v>
      </c>
    </row>
    <row r="980" spans="2:3">
      <c r="B980" t="s">
        <v>80</v>
      </c>
      <c r="C980">
        <v>17.1</v>
      </c>
    </row>
    <row r="981" spans="1:3">
      <c r="A981">
        <v>4.31</v>
      </c>
      <c r="C981">
        <v>12.84</v>
      </c>
    </row>
    <row r="982" spans="2:3">
      <c r="B982" t="s">
        <v>83</v>
      </c>
      <c r="C982">
        <v>10.25</v>
      </c>
    </row>
    <row r="983" spans="2:3">
      <c r="B983" t="s">
        <v>78</v>
      </c>
      <c r="C983">
        <v>10.25</v>
      </c>
    </row>
    <row r="984" spans="2:3">
      <c r="B984" t="s">
        <v>81</v>
      </c>
      <c r="C984">
        <v>23.2</v>
      </c>
    </row>
    <row r="985" spans="1:3">
      <c r="A985">
        <v>4.32</v>
      </c>
      <c r="C985">
        <v>17.1</v>
      </c>
    </row>
    <row r="986" spans="2:3">
      <c r="B986" t="s">
        <v>83</v>
      </c>
      <c r="C986">
        <v>17.1</v>
      </c>
    </row>
    <row r="987" spans="1:3">
      <c r="A987">
        <v>4.33</v>
      </c>
      <c r="C987">
        <v>14.1</v>
      </c>
    </row>
    <row r="988" spans="2:3">
      <c r="B988" t="s">
        <v>78</v>
      </c>
      <c r="C988">
        <v>18.1</v>
      </c>
    </row>
    <row r="989" spans="2:3">
      <c r="B989" t="s">
        <v>80</v>
      </c>
      <c r="C989">
        <v>10.1</v>
      </c>
    </row>
    <row r="990" spans="1:3">
      <c r="A990">
        <v>4.34</v>
      </c>
      <c r="C990">
        <v>19.6</v>
      </c>
    </row>
    <row r="991" spans="2:3">
      <c r="B991" t="s">
        <v>82</v>
      </c>
      <c r="C991">
        <v>19.6</v>
      </c>
    </row>
    <row r="992" spans="1:3">
      <c r="A992">
        <v>4.35</v>
      </c>
      <c r="C992">
        <v>16.2</v>
      </c>
    </row>
    <row r="993" spans="2:3">
      <c r="B993" t="s">
        <v>82</v>
      </c>
      <c r="C993">
        <v>16.2</v>
      </c>
    </row>
    <row r="994" spans="1:3">
      <c r="A994">
        <v>4.36</v>
      </c>
      <c r="C994">
        <v>19.3</v>
      </c>
    </row>
    <row r="995" spans="2:3">
      <c r="B995" t="s">
        <v>80</v>
      </c>
      <c r="C995">
        <v>19.3</v>
      </c>
    </row>
    <row r="996" spans="1:3">
      <c r="A996">
        <v>4.37</v>
      </c>
      <c r="C996">
        <v>9.35</v>
      </c>
    </row>
    <row r="997" spans="2:3">
      <c r="B997" t="s">
        <v>78</v>
      </c>
      <c r="C997">
        <v>9.6</v>
      </c>
    </row>
    <row r="998" spans="2:3">
      <c r="B998" t="s">
        <v>80</v>
      </c>
      <c r="C998">
        <v>9.1</v>
      </c>
    </row>
    <row r="999" spans="1:3">
      <c r="A999">
        <v>4.39</v>
      </c>
      <c r="C999">
        <v>13.7</v>
      </c>
    </row>
    <row r="1000" spans="2:3">
      <c r="B1000" t="s">
        <v>82</v>
      </c>
      <c r="C1000">
        <v>13.7</v>
      </c>
    </row>
    <row r="1001" spans="1:3">
      <c r="A1001">
        <v>4.4</v>
      </c>
      <c r="C1001">
        <v>15.7</v>
      </c>
    </row>
    <row r="1002" spans="2:3">
      <c r="B1002" t="s">
        <v>82</v>
      </c>
      <c r="C1002">
        <v>23.3</v>
      </c>
    </row>
    <row r="1003" spans="2:3">
      <c r="B1003" t="s">
        <v>81</v>
      </c>
      <c r="C1003">
        <v>8.1</v>
      </c>
    </row>
    <row r="1004" spans="1:3">
      <c r="A1004">
        <v>4.41</v>
      </c>
      <c r="C1004">
        <v>8.1</v>
      </c>
    </row>
    <row r="1005" spans="2:3">
      <c r="B1005" t="s">
        <v>78</v>
      </c>
      <c r="C1005">
        <v>8.1</v>
      </c>
    </row>
    <row r="1006" spans="1:3">
      <c r="A1006">
        <v>4.43</v>
      </c>
      <c r="C1006">
        <v>18.4</v>
      </c>
    </row>
    <row r="1007" spans="2:3">
      <c r="B1007" t="s">
        <v>78</v>
      </c>
      <c r="C1007">
        <v>18.4</v>
      </c>
    </row>
    <row r="1008" spans="1:3">
      <c r="A1008">
        <v>4.45</v>
      </c>
      <c r="C1008">
        <v>16.8</v>
      </c>
    </row>
    <row r="1009" spans="2:3">
      <c r="B1009" t="s">
        <v>83</v>
      </c>
      <c r="C1009">
        <v>16.7</v>
      </c>
    </row>
    <row r="1010" spans="2:3">
      <c r="B1010" t="s">
        <v>80</v>
      </c>
      <c r="C1010">
        <v>16.9</v>
      </c>
    </row>
    <row r="1011" spans="1:3">
      <c r="A1011">
        <v>4.46</v>
      </c>
      <c r="C1011">
        <v>12.85</v>
      </c>
    </row>
    <row r="1012" spans="2:3">
      <c r="B1012" t="s">
        <v>78</v>
      </c>
      <c r="C1012">
        <v>10</v>
      </c>
    </row>
    <row r="1013" spans="2:3">
      <c r="B1013" t="s">
        <v>80</v>
      </c>
      <c r="C1013">
        <v>14.3</v>
      </c>
    </row>
    <row r="1014" spans="2:3">
      <c r="B1014" t="s">
        <v>81</v>
      </c>
      <c r="C1014">
        <v>17.1</v>
      </c>
    </row>
    <row r="1015" spans="1:3">
      <c r="A1015">
        <v>4.47</v>
      </c>
      <c r="C1015">
        <v>16.82</v>
      </c>
    </row>
    <row r="1016" spans="2:3">
      <c r="B1016" t="s">
        <v>83</v>
      </c>
      <c r="C1016">
        <v>14.05</v>
      </c>
    </row>
    <row r="1017" spans="2:3">
      <c r="B1017" t="s">
        <v>78</v>
      </c>
      <c r="C1017">
        <v>20.4</v>
      </c>
    </row>
    <row r="1018" spans="2:3">
      <c r="B1018" t="s">
        <v>80</v>
      </c>
      <c r="C1018">
        <v>16.5</v>
      </c>
    </row>
    <row r="1019" spans="2:3">
      <c r="B1019" t="s">
        <v>81</v>
      </c>
      <c r="C1019">
        <v>19.1</v>
      </c>
    </row>
    <row r="1020" spans="1:3">
      <c r="A1020">
        <v>4.48</v>
      </c>
      <c r="C1020">
        <v>14.125</v>
      </c>
    </row>
    <row r="1021" spans="2:3">
      <c r="B1021" t="s">
        <v>78</v>
      </c>
      <c r="C1021">
        <v>12.1</v>
      </c>
    </row>
    <row r="1022" spans="2:3">
      <c r="B1022" t="s">
        <v>80</v>
      </c>
      <c r="C1022">
        <v>12.5</v>
      </c>
    </row>
    <row r="1023" spans="2:3">
      <c r="B1023" t="s">
        <v>82</v>
      </c>
      <c r="C1023">
        <v>23.7</v>
      </c>
    </row>
    <row r="1024" spans="2:3">
      <c r="B1024" t="s">
        <v>81</v>
      </c>
      <c r="C1024">
        <v>8.2</v>
      </c>
    </row>
    <row r="1025" spans="1:3">
      <c r="A1025">
        <v>4.49</v>
      </c>
      <c r="C1025">
        <v>15.625</v>
      </c>
    </row>
    <row r="1026" spans="2:3">
      <c r="B1026" t="s">
        <v>83</v>
      </c>
      <c r="C1026">
        <v>18.5</v>
      </c>
    </row>
    <row r="1027" spans="2:3">
      <c r="B1027" t="s">
        <v>78</v>
      </c>
      <c r="C1027">
        <v>13.5</v>
      </c>
    </row>
    <row r="1028" spans="2:3">
      <c r="B1028" t="s">
        <v>81</v>
      </c>
      <c r="C1028">
        <v>15.25</v>
      </c>
    </row>
    <row r="1029" spans="1:3">
      <c r="A1029">
        <v>4.5</v>
      </c>
      <c r="C1029">
        <v>15.7666666666667</v>
      </c>
    </row>
    <row r="1030" spans="2:3">
      <c r="B1030" t="s">
        <v>83</v>
      </c>
      <c r="C1030">
        <v>13.45</v>
      </c>
    </row>
    <row r="1031" spans="2:3">
      <c r="B1031" t="s">
        <v>82</v>
      </c>
      <c r="C1031">
        <v>20.4</v>
      </c>
    </row>
    <row r="1032" spans="1:3">
      <c r="A1032">
        <v>4.51</v>
      </c>
      <c r="C1032">
        <v>15.2333333333333</v>
      </c>
    </row>
    <row r="1033" spans="2:3">
      <c r="B1033" t="s">
        <v>82</v>
      </c>
      <c r="C1033">
        <v>10.5</v>
      </c>
    </row>
    <row r="1034" spans="2:3">
      <c r="B1034" t="s">
        <v>81</v>
      </c>
      <c r="C1034">
        <v>17.6</v>
      </c>
    </row>
    <row r="1035" spans="1:3">
      <c r="A1035">
        <v>4.52</v>
      </c>
      <c r="C1035">
        <v>11.05</v>
      </c>
    </row>
    <row r="1036" spans="2:3">
      <c r="B1036" t="s">
        <v>83</v>
      </c>
      <c r="C1036">
        <v>11.8</v>
      </c>
    </row>
    <row r="1037" spans="2:3">
      <c r="B1037" t="s">
        <v>78</v>
      </c>
      <c r="C1037">
        <v>8.5</v>
      </c>
    </row>
    <row r="1038" spans="2:3">
      <c r="B1038" t="s">
        <v>82</v>
      </c>
      <c r="C1038">
        <v>6.7</v>
      </c>
    </row>
    <row r="1039" spans="2:3">
      <c r="B1039" t="s">
        <v>81</v>
      </c>
      <c r="C1039">
        <v>17.2</v>
      </c>
    </row>
    <row r="1040" spans="1:3">
      <c r="A1040">
        <v>4.53</v>
      </c>
      <c r="C1040">
        <v>6.5</v>
      </c>
    </row>
    <row r="1041" spans="2:3">
      <c r="B1041" t="s">
        <v>78</v>
      </c>
      <c r="C1041">
        <v>6.5</v>
      </c>
    </row>
    <row r="1042" spans="1:3">
      <c r="A1042">
        <v>4.54</v>
      </c>
      <c r="C1042">
        <v>10.3</v>
      </c>
    </row>
    <row r="1043" spans="2:3">
      <c r="B1043" t="s">
        <v>78</v>
      </c>
      <c r="C1043">
        <v>11.1</v>
      </c>
    </row>
    <row r="1044" spans="2:3">
      <c r="B1044" t="s">
        <v>81</v>
      </c>
      <c r="C1044">
        <v>9.5</v>
      </c>
    </row>
    <row r="1045" spans="1:3">
      <c r="A1045">
        <v>4.55</v>
      </c>
      <c r="C1045">
        <v>17.1333333333333</v>
      </c>
    </row>
    <row r="1046" spans="2:3">
      <c r="B1046" t="s">
        <v>83</v>
      </c>
      <c r="C1046">
        <v>20.6</v>
      </c>
    </row>
    <row r="1047" spans="2:3">
      <c r="B1047" t="s">
        <v>82</v>
      </c>
      <c r="C1047">
        <v>18.2</v>
      </c>
    </row>
    <row r="1048" spans="2:3">
      <c r="B1048" t="s">
        <v>81</v>
      </c>
      <c r="C1048">
        <v>12.6</v>
      </c>
    </row>
    <row r="1049" spans="1:3">
      <c r="A1049">
        <v>4.56</v>
      </c>
      <c r="C1049">
        <v>11.575</v>
      </c>
    </row>
    <row r="1050" spans="2:3">
      <c r="B1050" t="s">
        <v>81</v>
      </c>
      <c r="C1050">
        <v>11.575</v>
      </c>
    </row>
    <row r="1051" spans="1:3">
      <c r="A1051">
        <v>4.57</v>
      </c>
      <c r="C1051">
        <v>10.7</v>
      </c>
    </row>
    <row r="1052" spans="2:3">
      <c r="B1052" t="s">
        <v>82</v>
      </c>
      <c r="C1052">
        <v>10.7</v>
      </c>
    </row>
    <row r="1053" spans="1:3">
      <c r="A1053">
        <v>4.58</v>
      </c>
      <c r="C1053">
        <v>11.52</v>
      </c>
    </row>
    <row r="1054" spans="2:3">
      <c r="B1054" t="s">
        <v>83</v>
      </c>
      <c r="C1054">
        <v>9.2</v>
      </c>
    </row>
    <row r="1055" spans="2:3">
      <c r="B1055" t="s">
        <v>82</v>
      </c>
      <c r="C1055">
        <v>12.8</v>
      </c>
    </row>
    <row r="1056" spans="2:3">
      <c r="B1056" t="s">
        <v>81</v>
      </c>
      <c r="C1056">
        <v>13.6</v>
      </c>
    </row>
    <row r="1057" spans="1:3">
      <c r="A1057">
        <v>4.59</v>
      </c>
      <c r="C1057">
        <v>16.65</v>
      </c>
    </row>
    <row r="1058" spans="2:3">
      <c r="B1058" t="s">
        <v>83</v>
      </c>
      <c r="C1058">
        <v>23.2</v>
      </c>
    </row>
    <row r="1059" spans="2:3">
      <c r="B1059" t="s">
        <v>78</v>
      </c>
      <c r="C1059">
        <v>8.5</v>
      </c>
    </row>
    <row r="1060" spans="2:3">
      <c r="B1060" t="s">
        <v>80</v>
      </c>
      <c r="C1060">
        <v>14.2</v>
      </c>
    </row>
    <row r="1061" spans="2:3">
      <c r="B1061" t="s">
        <v>81</v>
      </c>
      <c r="C1061">
        <v>20.7</v>
      </c>
    </row>
    <row r="1062" spans="1:3">
      <c r="A1062">
        <v>4.6</v>
      </c>
      <c r="C1062">
        <v>17</v>
      </c>
    </row>
    <row r="1063" spans="2:3">
      <c r="B1063" t="s">
        <v>80</v>
      </c>
      <c r="C1063">
        <v>22.3</v>
      </c>
    </row>
    <row r="1064" spans="2:3">
      <c r="B1064" t="s">
        <v>81</v>
      </c>
      <c r="C1064">
        <v>11.7</v>
      </c>
    </row>
    <row r="1065" spans="1:3">
      <c r="A1065">
        <v>4.61</v>
      </c>
      <c r="C1065">
        <v>19.6</v>
      </c>
    </row>
    <row r="1066" spans="2:3">
      <c r="B1066" t="s">
        <v>81</v>
      </c>
      <c r="C1066">
        <v>19.6</v>
      </c>
    </row>
    <row r="1067" spans="1:3">
      <c r="A1067">
        <v>4.62</v>
      </c>
      <c r="C1067">
        <v>6.95</v>
      </c>
    </row>
    <row r="1068" spans="2:3">
      <c r="B1068" t="s">
        <v>80</v>
      </c>
      <c r="C1068">
        <v>7</v>
      </c>
    </row>
    <row r="1069" spans="2:3">
      <c r="B1069" t="s">
        <v>82</v>
      </c>
      <c r="C1069">
        <v>6.9</v>
      </c>
    </row>
    <row r="1070" spans="1:3">
      <c r="A1070">
        <v>4.63</v>
      </c>
      <c r="C1070">
        <v>12.7666666666667</v>
      </c>
    </row>
    <row r="1071" spans="2:3">
      <c r="B1071" t="s">
        <v>83</v>
      </c>
      <c r="C1071">
        <v>11.6</v>
      </c>
    </row>
    <row r="1072" spans="2:3">
      <c r="B1072" t="s">
        <v>78</v>
      </c>
      <c r="C1072">
        <v>14.3</v>
      </c>
    </row>
    <row r="1073" spans="2:3">
      <c r="B1073" t="s">
        <v>80</v>
      </c>
      <c r="C1073">
        <v>12.4</v>
      </c>
    </row>
    <row r="1074" spans="1:3">
      <c r="A1074">
        <v>4.65</v>
      </c>
      <c r="C1074">
        <v>17.4</v>
      </c>
    </row>
    <row r="1075" spans="2:3">
      <c r="B1075" t="s">
        <v>80</v>
      </c>
      <c r="C1075">
        <v>17.4</v>
      </c>
    </row>
    <row r="1076" spans="1:3">
      <c r="A1076">
        <v>4.66</v>
      </c>
      <c r="C1076">
        <v>18.5</v>
      </c>
    </row>
    <row r="1077" spans="2:3">
      <c r="B1077" t="s">
        <v>80</v>
      </c>
      <c r="C1077">
        <v>18.5</v>
      </c>
    </row>
    <row r="1078" spans="1:3">
      <c r="A1078">
        <v>4.67</v>
      </c>
      <c r="C1078">
        <v>15.5</v>
      </c>
    </row>
    <row r="1079" spans="2:3">
      <c r="B1079" t="s">
        <v>83</v>
      </c>
      <c r="C1079">
        <v>11.3</v>
      </c>
    </row>
    <row r="1080" spans="2:3">
      <c r="B1080" t="s">
        <v>80</v>
      </c>
      <c r="C1080">
        <v>19.7</v>
      </c>
    </row>
    <row r="1081" spans="1:3">
      <c r="A1081">
        <v>4.68</v>
      </c>
      <c r="C1081">
        <v>19.8333333333333</v>
      </c>
    </row>
    <row r="1082" spans="2:3">
      <c r="B1082" t="s">
        <v>78</v>
      </c>
      <c r="C1082">
        <v>19.3</v>
      </c>
    </row>
    <row r="1083" spans="2:3">
      <c r="B1083" t="s">
        <v>82</v>
      </c>
      <c r="C1083">
        <v>19.7</v>
      </c>
    </row>
    <row r="1084" spans="2:3">
      <c r="B1084" t="s">
        <v>81</v>
      </c>
      <c r="C1084">
        <v>20.5</v>
      </c>
    </row>
    <row r="1085" spans="1:3">
      <c r="A1085">
        <v>4.7</v>
      </c>
      <c r="C1085">
        <v>16.25</v>
      </c>
    </row>
    <row r="1086" spans="2:3">
      <c r="B1086" t="s">
        <v>78</v>
      </c>
      <c r="C1086">
        <v>22.5</v>
      </c>
    </row>
    <row r="1087" spans="2:3">
      <c r="B1087" t="s">
        <v>80</v>
      </c>
      <c r="C1087">
        <v>10</v>
      </c>
    </row>
    <row r="1088" spans="1:3">
      <c r="A1088">
        <v>4.71</v>
      </c>
      <c r="C1088">
        <v>13.65</v>
      </c>
    </row>
    <row r="1089" spans="2:3">
      <c r="B1089" t="s">
        <v>83</v>
      </c>
      <c r="C1089">
        <v>18.4</v>
      </c>
    </row>
    <row r="1090" spans="2:3">
      <c r="B1090" t="s">
        <v>78</v>
      </c>
      <c r="C1090">
        <v>8.9</v>
      </c>
    </row>
    <row r="1091" spans="1:3">
      <c r="A1091">
        <v>4.72</v>
      </c>
      <c r="C1091">
        <v>10.0666666666667</v>
      </c>
    </row>
    <row r="1092" spans="2:3">
      <c r="B1092" t="s">
        <v>83</v>
      </c>
      <c r="C1092">
        <v>12.1</v>
      </c>
    </row>
    <row r="1093" spans="2:3">
      <c r="B1093" t="s">
        <v>82</v>
      </c>
      <c r="C1093">
        <v>8.2</v>
      </c>
    </row>
    <row r="1094" spans="2:3">
      <c r="B1094" t="s">
        <v>81</v>
      </c>
      <c r="C1094">
        <v>9.9</v>
      </c>
    </row>
    <row r="1095" spans="1:3">
      <c r="A1095">
        <v>4.73</v>
      </c>
      <c r="C1095">
        <v>17.3</v>
      </c>
    </row>
    <row r="1096" spans="2:3">
      <c r="B1096" t="s">
        <v>78</v>
      </c>
      <c r="C1096">
        <v>17.3</v>
      </c>
    </row>
    <row r="1097" spans="1:3">
      <c r="A1097">
        <v>4.74</v>
      </c>
      <c r="C1097">
        <v>18.32</v>
      </c>
    </row>
    <row r="1098" spans="2:3">
      <c r="B1098" t="s">
        <v>83</v>
      </c>
      <c r="C1098">
        <v>22</v>
      </c>
    </row>
    <row r="1099" spans="2:3">
      <c r="B1099" t="s">
        <v>80</v>
      </c>
      <c r="C1099">
        <v>16.9</v>
      </c>
    </row>
    <row r="1100" spans="2:3">
      <c r="B1100" t="s">
        <v>82</v>
      </c>
      <c r="C1100">
        <v>17.9</v>
      </c>
    </row>
    <row r="1101" spans="1:3">
      <c r="A1101">
        <v>4.75</v>
      </c>
      <c r="C1101">
        <v>12.975</v>
      </c>
    </row>
    <row r="1102" spans="2:3">
      <c r="B1102" t="s">
        <v>83</v>
      </c>
      <c r="C1102">
        <v>13.5333333333333</v>
      </c>
    </row>
    <row r="1103" spans="2:3">
      <c r="B1103" t="s">
        <v>80</v>
      </c>
      <c r="C1103">
        <v>12.05</v>
      </c>
    </row>
    <row r="1104" spans="2:3">
      <c r="B1104" t="s">
        <v>82</v>
      </c>
      <c r="C1104">
        <v>19.3</v>
      </c>
    </row>
    <row r="1105" spans="2:3">
      <c r="B1105" t="s">
        <v>81</v>
      </c>
      <c r="C1105">
        <v>9.9</v>
      </c>
    </row>
    <row r="1106" spans="1:3">
      <c r="A1106">
        <v>4.76</v>
      </c>
      <c r="C1106">
        <v>20.9333333333333</v>
      </c>
    </row>
    <row r="1107" spans="2:3">
      <c r="B1107" t="s">
        <v>83</v>
      </c>
      <c r="C1107">
        <v>21.1</v>
      </c>
    </row>
    <row r="1108" spans="2:3">
      <c r="B1108" t="s">
        <v>78</v>
      </c>
      <c r="C1108">
        <v>20.6</v>
      </c>
    </row>
    <row r="1109" spans="1:3">
      <c r="A1109">
        <v>4.77</v>
      </c>
      <c r="C1109">
        <v>19.05</v>
      </c>
    </row>
    <row r="1110" spans="2:3">
      <c r="B1110" t="s">
        <v>80</v>
      </c>
      <c r="C1110">
        <v>15.2</v>
      </c>
    </row>
    <row r="1111" spans="2:3">
      <c r="B1111" t="s">
        <v>81</v>
      </c>
      <c r="C1111">
        <v>22.9</v>
      </c>
    </row>
    <row r="1112" spans="1:3">
      <c r="A1112">
        <v>4.78</v>
      </c>
      <c r="C1112">
        <v>14.9666666666667</v>
      </c>
    </row>
    <row r="1113" spans="2:3">
      <c r="B1113" t="s">
        <v>78</v>
      </c>
      <c r="C1113">
        <v>11.25</v>
      </c>
    </row>
    <row r="1114" spans="2:3">
      <c r="B1114" t="s">
        <v>82</v>
      </c>
      <c r="C1114">
        <v>22.4</v>
      </c>
    </row>
    <row r="1115" spans="1:3">
      <c r="A1115">
        <v>4.79</v>
      </c>
      <c r="C1115">
        <v>15.2</v>
      </c>
    </row>
    <row r="1116" spans="2:3">
      <c r="B1116" t="s">
        <v>83</v>
      </c>
      <c r="C1116">
        <v>19.6</v>
      </c>
    </row>
    <row r="1117" spans="2:3">
      <c r="B1117" t="s">
        <v>80</v>
      </c>
      <c r="C1117">
        <v>10.8</v>
      </c>
    </row>
    <row r="1118" spans="1:3">
      <c r="A1118">
        <v>4.8</v>
      </c>
      <c r="C1118">
        <v>15.1666666666667</v>
      </c>
    </row>
    <row r="1119" spans="2:3">
      <c r="B1119" t="s">
        <v>83</v>
      </c>
      <c r="C1119">
        <v>14.9</v>
      </c>
    </row>
    <row r="1120" spans="2:3">
      <c r="B1120" t="s">
        <v>78</v>
      </c>
      <c r="C1120">
        <v>7.6</v>
      </c>
    </row>
    <row r="1121" spans="2:3">
      <c r="B1121" t="s">
        <v>82</v>
      </c>
      <c r="C1121">
        <v>23</v>
      </c>
    </row>
    <row r="1122" spans="1:3">
      <c r="A1122">
        <v>4.81</v>
      </c>
      <c r="C1122">
        <v>19.925</v>
      </c>
    </row>
    <row r="1123" spans="2:3">
      <c r="B1123" t="s">
        <v>80</v>
      </c>
      <c r="C1123">
        <v>19.15</v>
      </c>
    </row>
    <row r="1124" spans="2:3">
      <c r="B1124" t="s">
        <v>82</v>
      </c>
      <c r="C1124">
        <v>21.9</v>
      </c>
    </row>
    <row r="1125" spans="2:3">
      <c r="B1125" t="s">
        <v>81</v>
      </c>
      <c r="C1125">
        <v>19.5</v>
      </c>
    </row>
    <row r="1126" spans="1:3">
      <c r="A1126">
        <v>4.82</v>
      </c>
      <c r="C1126">
        <v>12.45</v>
      </c>
    </row>
    <row r="1127" spans="2:3">
      <c r="B1127" t="s">
        <v>83</v>
      </c>
      <c r="C1127">
        <v>6.8</v>
      </c>
    </row>
    <row r="1128" spans="2:3">
      <c r="B1128" t="s">
        <v>78</v>
      </c>
      <c r="C1128">
        <v>7.4</v>
      </c>
    </row>
    <row r="1129" spans="2:3">
      <c r="B1129" t="s">
        <v>80</v>
      </c>
      <c r="C1129">
        <v>17.5</v>
      </c>
    </row>
    <row r="1130" spans="2:3">
      <c r="B1130" t="s">
        <v>82</v>
      </c>
      <c r="C1130">
        <v>18.1</v>
      </c>
    </row>
    <row r="1131" spans="1:3">
      <c r="A1131">
        <v>4.83</v>
      </c>
      <c r="C1131">
        <v>13.15</v>
      </c>
    </row>
    <row r="1132" spans="2:3">
      <c r="B1132" t="s">
        <v>83</v>
      </c>
      <c r="C1132">
        <v>15</v>
      </c>
    </row>
    <row r="1133" spans="2:3">
      <c r="B1133" t="s">
        <v>80</v>
      </c>
      <c r="C1133">
        <v>11.3</v>
      </c>
    </row>
    <row r="1134" spans="1:3">
      <c r="A1134">
        <v>4.85</v>
      </c>
      <c r="C1134">
        <v>14.85</v>
      </c>
    </row>
    <row r="1135" spans="2:3">
      <c r="B1135" t="s">
        <v>80</v>
      </c>
      <c r="C1135">
        <v>22.8</v>
      </c>
    </row>
    <row r="1136" spans="2:3">
      <c r="B1136" t="s">
        <v>81</v>
      </c>
      <c r="C1136">
        <v>6.9</v>
      </c>
    </row>
    <row r="1137" spans="1:3">
      <c r="A1137">
        <v>4.86</v>
      </c>
      <c r="C1137">
        <v>14.44</v>
      </c>
    </row>
    <row r="1138" spans="2:3">
      <c r="B1138" t="s">
        <v>78</v>
      </c>
      <c r="C1138">
        <v>17.5</v>
      </c>
    </row>
    <row r="1139" spans="2:3">
      <c r="B1139" t="s">
        <v>80</v>
      </c>
      <c r="C1139">
        <v>13.675</v>
      </c>
    </row>
    <row r="1140" spans="1:3">
      <c r="A1140">
        <v>4.87</v>
      </c>
      <c r="C1140">
        <v>14.5</v>
      </c>
    </row>
    <row r="1141" spans="2:3">
      <c r="B1141" t="s">
        <v>80</v>
      </c>
      <c r="C1141">
        <v>18.9</v>
      </c>
    </row>
    <row r="1142" spans="2:3">
      <c r="B1142" t="s">
        <v>81</v>
      </c>
      <c r="C1142">
        <v>12.3</v>
      </c>
    </row>
    <row r="1143" spans="1:3">
      <c r="A1143">
        <v>4.88</v>
      </c>
      <c r="C1143">
        <v>13.1666666666667</v>
      </c>
    </row>
    <row r="1144" spans="2:3">
      <c r="B1144" t="s">
        <v>83</v>
      </c>
      <c r="C1144">
        <v>6.9</v>
      </c>
    </row>
    <row r="1145" spans="2:3">
      <c r="B1145" t="s">
        <v>80</v>
      </c>
      <c r="C1145">
        <v>18.6</v>
      </c>
    </row>
    <row r="1146" spans="2:3">
      <c r="B1146" t="s">
        <v>82</v>
      </c>
      <c r="C1146">
        <v>14</v>
      </c>
    </row>
    <row r="1147" spans="1:3">
      <c r="A1147">
        <v>4.89</v>
      </c>
      <c r="C1147">
        <v>14.9</v>
      </c>
    </row>
    <row r="1148" spans="2:3">
      <c r="B1148" t="s">
        <v>81</v>
      </c>
      <c r="C1148">
        <v>14.9</v>
      </c>
    </row>
    <row r="1149" spans="1:3">
      <c r="A1149">
        <v>4.9</v>
      </c>
      <c r="C1149">
        <v>18.25</v>
      </c>
    </row>
    <row r="1150" spans="2:3">
      <c r="B1150" t="s">
        <v>80</v>
      </c>
      <c r="C1150">
        <v>18.8</v>
      </c>
    </row>
    <row r="1151" spans="2:3">
      <c r="B1151" t="s">
        <v>81</v>
      </c>
      <c r="C1151">
        <v>17.7</v>
      </c>
    </row>
    <row r="1152" spans="1:3">
      <c r="A1152">
        <v>4.91</v>
      </c>
      <c r="C1152">
        <v>13.625</v>
      </c>
    </row>
    <row r="1153" spans="2:3">
      <c r="B1153" t="s">
        <v>83</v>
      </c>
      <c r="C1153">
        <v>6.8</v>
      </c>
    </row>
    <row r="1154" spans="2:3">
      <c r="B1154" t="s">
        <v>78</v>
      </c>
      <c r="C1154">
        <v>12</v>
      </c>
    </row>
    <row r="1155" spans="2:3">
      <c r="B1155" t="s">
        <v>80</v>
      </c>
      <c r="C1155">
        <v>17.85</v>
      </c>
    </row>
    <row r="1156" spans="1:3">
      <c r="A1156">
        <v>4.92</v>
      </c>
      <c r="C1156">
        <v>19.175</v>
      </c>
    </row>
    <row r="1157" spans="2:3">
      <c r="B1157" t="s">
        <v>83</v>
      </c>
      <c r="C1157">
        <v>16.6</v>
      </c>
    </row>
    <row r="1158" spans="2:3">
      <c r="B1158" t="s">
        <v>78</v>
      </c>
      <c r="C1158">
        <v>18.2</v>
      </c>
    </row>
    <row r="1159" spans="2:3">
      <c r="B1159" t="s">
        <v>82</v>
      </c>
      <c r="C1159">
        <v>20.95</v>
      </c>
    </row>
    <row r="1160" spans="1:3">
      <c r="A1160">
        <v>4.93</v>
      </c>
      <c r="C1160">
        <v>17.85</v>
      </c>
    </row>
    <row r="1161" spans="2:3">
      <c r="B1161" t="s">
        <v>82</v>
      </c>
      <c r="C1161">
        <v>23.5</v>
      </c>
    </row>
    <row r="1162" spans="2:3">
      <c r="B1162" t="s">
        <v>81</v>
      </c>
      <c r="C1162">
        <v>12.2</v>
      </c>
    </row>
    <row r="1163" spans="1:3">
      <c r="A1163">
        <v>4.94</v>
      </c>
      <c r="C1163">
        <v>16.15</v>
      </c>
    </row>
    <row r="1164" spans="2:3">
      <c r="B1164" t="s">
        <v>82</v>
      </c>
      <c r="C1164">
        <v>16.15</v>
      </c>
    </row>
    <row r="1165" spans="1:3">
      <c r="A1165">
        <v>4.95</v>
      </c>
      <c r="C1165">
        <v>18.9666666666667</v>
      </c>
    </row>
    <row r="1166" spans="2:3">
      <c r="B1166" t="s">
        <v>78</v>
      </c>
      <c r="C1166">
        <v>17</v>
      </c>
    </row>
    <row r="1167" spans="2:3">
      <c r="B1167" t="s">
        <v>80</v>
      </c>
      <c r="C1167">
        <v>19.95</v>
      </c>
    </row>
    <row r="1168" spans="1:3">
      <c r="A1168">
        <v>4.96</v>
      </c>
      <c r="C1168">
        <v>15.25</v>
      </c>
    </row>
    <row r="1169" spans="2:3">
      <c r="B1169" t="s">
        <v>83</v>
      </c>
      <c r="C1169">
        <v>10.6</v>
      </c>
    </row>
    <row r="1170" spans="2:3">
      <c r="B1170" t="s">
        <v>78</v>
      </c>
      <c r="C1170">
        <v>19.9</v>
      </c>
    </row>
    <row r="1171" spans="1:3">
      <c r="A1171">
        <v>4.97</v>
      </c>
      <c r="C1171">
        <v>18.7</v>
      </c>
    </row>
    <row r="1172" spans="2:3">
      <c r="B1172" t="s">
        <v>80</v>
      </c>
      <c r="C1172">
        <v>18.7</v>
      </c>
    </row>
    <row r="1173" spans="1:3">
      <c r="A1173">
        <v>4.98</v>
      </c>
      <c r="C1173">
        <v>15.575</v>
      </c>
    </row>
    <row r="1174" spans="2:3">
      <c r="B1174" t="s">
        <v>78</v>
      </c>
      <c r="C1174">
        <v>17.1</v>
      </c>
    </row>
    <row r="1175" spans="2:3">
      <c r="B1175" t="s">
        <v>82</v>
      </c>
      <c r="C1175">
        <v>14.05</v>
      </c>
    </row>
    <row r="1176" spans="1:3">
      <c r="A1176" t="s">
        <v>11</v>
      </c>
      <c r="C1176">
        <v>14.9593</v>
      </c>
    </row>
  </sheetData>
  <mergeCells count="2">
    <mergeCell ref="E3:L3"/>
    <mergeCell ref="A1:K2"/>
  </mergeCells>
  <conditionalFormatting sqref="M3">
    <cfRule type="containsErrors" dxfId="272" priority="1">
      <formula>ISERROR(M3)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9"/>
  <sheetViews>
    <sheetView workbookViewId="0">
      <selection activeCell="H14" sqref="H14"/>
    </sheetView>
  </sheetViews>
  <sheetFormatPr defaultColWidth="8.88888888888889" defaultRowHeight="14.4"/>
  <cols>
    <col min="1" max="1" width="26.7777777777778"/>
    <col min="2" max="2" width="36.1111111111111"/>
  </cols>
  <sheetData>
    <row r="1" spans="1:1">
      <c r="A1" s="38" t="s">
        <v>97</v>
      </c>
    </row>
    <row r="3" spans="1:10">
      <c r="A3" t="s">
        <v>98</v>
      </c>
      <c r="B3" t="s">
        <v>60</v>
      </c>
      <c r="D3" s="39" t="s">
        <v>99</v>
      </c>
      <c r="E3" s="39"/>
      <c r="F3" s="39"/>
      <c r="G3" s="39"/>
      <c r="H3" s="39"/>
      <c r="I3" s="39"/>
      <c r="J3" s="39"/>
    </row>
    <row r="4" spans="1:10">
      <c r="A4" s="40" t="s">
        <v>100</v>
      </c>
      <c r="B4" s="40">
        <v>4.53333333333333</v>
      </c>
      <c r="D4" s="41" t="s">
        <v>101</v>
      </c>
      <c r="E4" s="41"/>
      <c r="F4" s="41"/>
      <c r="G4" s="41"/>
      <c r="H4" s="41"/>
      <c r="I4" s="41"/>
      <c r="J4" s="41"/>
    </row>
    <row r="5" spans="1:2">
      <c r="A5" t="s">
        <v>102</v>
      </c>
      <c r="B5">
        <v>6.1</v>
      </c>
    </row>
    <row r="6" spans="1:2">
      <c r="A6" t="s">
        <v>103</v>
      </c>
      <c r="B6">
        <v>6.6</v>
      </c>
    </row>
    <row r="7" spans="1:2">
      <c r="A7" t="s">
        <v>104</v>
      </c>
      <c r="B7">
        <v>8.26666666666667</v>
      </c>
    </row>
    <row r="8" spans="1:2">
      <c r="A8" t="s">
        <v>105</v>
      </c>
      <c r="B8">
        <v>8.3</v>
      </c>
    </row>
    <row r="9" spans="1:2">
      <c r="A9" t="s">
        <v>106</v>
      </c>
      <c r="B9">
        <v>8.36</v>
      </c>
    </row>
    <row r="10" spans="1:2">
      <c r="A10" t="s">
        <v>107</v>
      </c>
      <c r="B10">
        <v>8.45</v>
      </c>
    </row>
    <row r="11" spans="1:2">
      <c r="A11" t="s">
        <v>108</v>
      </c>
      <c r="B11">
        <v>8.7</v>
      </c>
    </row>
    <row r="12" spans="1:2">
      <c r="A12" t="s">
        <v>109</v>
      </c>
      <c r="B12">
        <v>8.725</v>
      </c>
    </row>
    <row r="13" spans="1:2">
      <c r="A13" t="s">
        <v>110</v>
      </c>
      <c r="B13">
        <v>8.85</v>
      </c>
    </row>
    <row r="14" spans="1:2">
      <c r="A14" t="s">
        <v>111</v>
      </c>
      <c r="B14">
        <v>8.9125</v>
      </c>
    </row>
    <row r="15" spans="1:2">
      <c r="A15" t="s">
        <v>112</v>
      </c>
      <c r="B15">
        <v>9.14</v>
      </c>
    </row>
    <row r="16" spans="1:2">
      <c r="A16" t="s">
        <v>113</v>
      </c>
      <c r="B16">
        <v>9.25</v>
      </c>
    </row>
    <row r="17" spans="1:2">
      <c r="A17" t="s">
        <v>114</v>
      </c>
      <c r="B17">
        <v>9.42142857142857</v>
      </c>
    </row>
    <row r="18" spans="1:2">
      <c r="A18" t="s">
        <v>115</v>
      </c>
      <c r="B18">
        <v>9.8</v>
      </c>
    </row>
    <row r="19" spans="1:2">
      <c r="A19" t="s">
        <v>116</v>
      </c>
      <c r="B19">
        <v>10.025</v>
      </c>
    </row>
    <row r="20" spans="1:2">
      <c r="A20" t="s">
        <v>117</v>
      </c>
      <c r="B20">
        <v>10.1111111111111</v>
      </c>
    </row>
    <row r="21" spans="1:2">
      <c r="A21" t="s">
        <v>118</v>
      </c>
      <c r="B21">
        <v>10.175</v>
      </c>
    </row>
    <row r="22" spans="1:2">
      <c r="A22" t="s">
        <v>119</v>
      </c>
      <c r="B22">
        <v>10.2111111111111</v>
      </c>
    </row>
    <row r="23" spans="1:2">
      <c r="A23" t="s">
        <v>120</v>
      </c>
      <c r="B23">
        <v>10.22</v>
      </c>
    </row>
    <row r="24" spans="1:2">
      <c r="A24" t="s">
        <v>121</v>
      </c>
      <c r="B24">
        <v>10.3666666666667</v>
      </c>
    </row>
    <row r="25" spans="1:2">
      <c r="A25" t="s">
        <v>122</v>
      </c>
      <c r="B25">
        <v>10.3875</v>
      </c>
    </row>
    <row r="26" spans="1:2">
      <c r="A26" t="s">
        <v>123</v>
      </c>
      <c r="B26">
        <v>10.45</v>
      </c>
    </row>
    <row r="27" spans="1:2">
      <c r="A27" t="s">
        <v>124</v>
      </c>
      <c r="B27">
        <v>10.4714285714286</v>
      </c>
    </row>
    <row r="28" spans="1:2">
      <c r="A28" t="s">
        <v>125</v>
      </c>
      <c r="B28">
        <v>10.4818181818182</v>
      </c>
    </row>
    <row r="29" spans="1:2">
      <c r="A29" t="s">
        <v>126</v>
      </c>
      <c r="B29">
        <v>10.5619047619048</v>
      </c>
    </row>
    <row r="30" spans="1:2">
      <c r="A30" t="s">
        <v>127</v>
      </c>
      <c r="B30">
        <v>10.7285714285714</v>
      </c>
    </row>
    <row r="31" spans="1:2">
      <c r="A31" t="s">
        <v>128</v>
      </c>
      <c r="B31">
        <v>10.7875</v>
      </c>
    </row>
    <row r="32" spans="1:2">
      <c r="A32" t="s">
        <v>129</v>
      </c>
      <c r="B32">
        <v>10.82</v>
      </c>
    </row>
    <row r="33" spans="1:2">
      <c r="A33" t="s">
        <v>130</v>
      </c>
      <c r="B33">
        <v>10.8333333333333</v>
      </c>
    </row>
    <row r="34" spans="1:2">
      <c r="A34" t="s">
        <v>131</v>
      </c>
      <c r="B34">
        <v>10.8666666666667</v>
      </c>
    </row>
    <row r="35" spans="1:2">
      <c r="A35" t="s">
        <v>132</v>
      </c>
      <c r="B35">
        <v>10.9375</v>
      </c>
    </row>
    <row r="36" spans="1:2">
      <c r="A36" t="s">
        <v>133</v>
      </c>
      <c r="B36">
        <v>10.9625</v>
      </c>
    </row>
    <row r="37" spans="1:2">
      <c r="A37" t="s">
        <v>134</v>
      </c>
      <c r="B37">
        <v>11</v>
      </c>
    </row>
    <row r="38" spans="1:2">
      <c r="A38" t="s">
        <v>135</v>
      </c>
      <c r="B38">
        <v>11.02</v>
      </c>
    </row>
    <row r="39" spans="1:2">
      <c r="A39" t="s">
        <v>25</v>
      </c>
      <c r="B39">
        <v>11.0957142857143</v>
      </c>
    </row>
    <row r="40" spans="1:2">
      <c r="A40" t="s">
        <v>136</v>
      </c>
      <c r="B40">
        <v>11.1857142857143</v>
      </c>
    </row>
    <row r="41" spans="1:2">
      <c r="A41" t="s">
        <v>137</v>
      </c>
      <c r="B41">
        <v>11.225</v>
      </c>
    </row>
    <row r="42" spans="1:2">
      <c r="A42" t="s">
        <v>138</v>
      </c>
      <c r="B42">
        <v>11.2285714285714</v>
      </c>
    </row>
    <row r="43" spans="1:2">
      <c r="A43" t="s">
        <v>139</v>
      </c>
      <c r="B43">
        <v>11.25</v>
      </c>
    </row>
    <row r="44" spans="1:2">
      <c r="A44" t="s">
        <v>140</v>
      </c>
      <c r="B44">
        <v>11.2545454545455</v>
      </c>
    </row>
    <row r="45" spans="1:2">
      <c r="A45" t="s">
        <v>141</v>
      </c>
      <c r="B45">
        <v>11.28</v>
      </c>
    </row>
    <row r="46" spans="1:2">
      <c r="A46" t="s">
        <v>142</v>
      </c>
      <c r="B46">
        <v>11.3235294117647</v>
      </c>
    </row>
    <row r="47" spans="1:2">
      <c r="A47" t="s">
        <v>143</v>
      </c>
      <c r="B47">
        <v>11.3625</v>
      </c>
    </row>
    <row r="48" spans="1:2">
      <c r="A48" t="s">
        <v>144</v>
      </c>
      <c r="B48">
        <v>11.4066666666667</v>
      </c>
    </row>
    <row r="49" spans="1:2">
      <c r="A49" t="s">
        <v>145</v>
      </c>
      <c r="B49">
        <v>11.4142857142857</v>
      </c>
    </row>
    <row r="50" spans="1:2">
      <c r="A50" t="s">
        <v>146</v>
      </c>
      <c r="B50">
        <v>11.6714285714286</v>
      </c>
    </row>
    <row r="51" spans="1:2">
      <c r="A51" t="s">
        <v>147</v>
      </c>
      <c r="B51">
        <v>11.7</v>
      </c>
    </row>
    <row r="52" spans="1:2">
      <c r="A52" t="s">
        <v>26</v>
      </c>
      <c r="B52">
        <v>11.7671641791045</v>
      </c>
    </row>
    <row r="53" spans="1:2">
      <c r="A53" t="s">
        <v>148</v>
      </c>
      <c r="B53">
        <v>11.7866666666667</v>
      </c>
    </row>
    <row r="54" spans="1:2">
      <c r="A54" t="s">
        <v>149</v>
      </c>
      <c r="B54">
        <v>11.835</v>
      </c>
    </row>
    <row r="55" spans="1:2">
      <c r="A55" t="s">
        <v>27</v>
      </c>
      <c r="B55">
        <v>11.8506666666667</v>
      </c>
    </row>
    <row r="56" spans="1:2">
      <c r="A56" t="s">
        <v>150</v>
      </c>
      <c r="B56">
        <v>11.8716049382716</v>
      </c>
    </row>
    <row r="57" spans="1:2">
      <c r="A57" t="s">
        <v>151</v>
      </c>
      <c r="B57">
        <v>11.9692307692308</v>
      </c>
    </row>
    <row r="58" spans="1:2">
      <c r="A58" t="s">
        <v>152</v>
      </c>
      <c r="B58">
        <v>11.975</v>
      </c>
    </row>
    <row r="59" spans="1:2">
      <c r="A59" t="s">
        <v>153</v>
      </c>
      <c r="B59">
        <v>12</v>
      </c>
    </row>
    <row r="60" spans="1:2">
      <c r="A60" t="s">
        <v>154</v>
      </c>
      <c r="B60">
        <v>12.0333333333333</v>
      </c>
    </row>
    <row r="61" spans="1:2">
      <c r="A61" t="s">
        <v>155</v>
      </c>
      <c r="B61">
        <v>12.0428571428571</v>
      </c>
    </row>
    <row r="62" spans="1:2">
      <c r="A62" t="s">
        <v>156</v>
      </c>
      <c r="B62">
        <v>12.0526315789474</v>
      </c>
    </row>
    <row r="63" spans="1:2">
      <c r="A63" t="s">
        <v>157</v>
      </c>
      <c r="B63">
        <v>12.125</v>
      </c>
    </row>
    <row r="64" spans="1:2">
      <c r="A64" t="s">
        <v>158</v>
      </c>
      <c r="B64">
        <v>12.24</v>
      </c>
    </row>
    <row r="65" spans="1:2">
      <c r="A65" t="s">
        <v>159</v>
      </c>
      <c r="B65">
        <v>12.275</v>
      </c>
    </row>
    <row r="66" spans="1:2">
      <c r="A66" t="s">
        <v>28</v>
      </c>
      <c r="B66">
        <v>12.3551724137931</v>
      </c>
    </row>
    <row r="67" spans="1:2">
      <c r="A67" t="s">
        <v>160</v>
      </c>
      <c r="B67">
        <v>12.4</v>
      </c>
    </row>
    <row r="68" spans="1:2">
      <c r="A68" t="s">
        <v>161</v>
      </c>
      <c r="B68">
        <v>12.52</v>
      </c>
    </row>
    <row r="69" spans="1:2">
      <c r="A69" t="s">
        <v>162</v>
      </c>
      <c r="B69">
        <v>12.64</v>
      </c>
    </row>
    <row r="70" spans="1:2">
      <c r="A70" t="s">
        <v>163</v>
      </c>
      <c r="B70">
        <v>12.7235294117647</v>
      </c>
    </row>
    <row r="71" spans="1:2">
      <c r="A71" t="s">
        <v>164</v>
      </c>
      <c r="B71">
        <v>12.8</v>
      </c>
    </row>
    <row r="72" spans="1:2">
      <c r="A72" t="s">
        <v>165</v>
      </c>
      <c r="B72">
        <v>12.8333333333333</v>
      </c>
    </row>
    <row r="73" spans="1:2">
      <c r="A73" t="s">
        <v>166</v>
      </c>
      <c r="B73">
        <v>12.84</v>
      </c>
    </row>
    <row r="74" spans="1:2">
      <c r="A74" t="s">
        <v>167</v>
      </c>
      <c r="B74">
        <v>12.84</v>
      </c>
    </row>
    <row r="75" spans="1:2">
      <c r="A75" t="s">
        <v>168</v>
      </c>
      <c r="B75">
        <v>12.8666666666667</v>
      </c>
    </row>
    <row r="76" spans="1:2">
      <c r="A76" t="s">
        <v>169</v>
      </c>
      <c r="B76">
        <v>13.1421052631579</v>
      </c>
    </row>
    <row r="77" spans="1:2">
      <c r="A77" t="s">
        <v>170</v>
      </c>
      <c r="B77">
        <v>13.5444444444444</v>
      </c>
    </row>
    <row r="78" spans="1:2">
      <c r="A78" t="s">
        <v>171</v>
      </c>
      <c r="B78">
        <v>13.58</v>
      </c>
    </row>
    <row r="79" spans="1:2">
      <c r="A79" t="s">
        <v>172</v>
      </c>
      <c r="B79">
        <v>13.625</v>
      </c>
    </row>
    <row r="80" spans="1:2">
      <c r="A80" t="s">
        <v>173</v>
      </c>
      <c r="B80">
        <v>13.65</v>
      </c>
    </row>
    <row r="81" spans="1:2">
      <c r="A81" t="s">
        <v>174</v>
      </c>
      <c r="B81">
        <v>13.7529411764706</v>
      </c>
    </row>
    <row r="82" spans="1:2">
      <c r="A82" t="s">
        <v>175</v>
      </c>
      <c r="B82">
        <v>14.1</v>
      </c>
    </row>
    <row r="83" spans="1:2">
      <c r="A83" t="s">
        <v>176</v>
      </c>
      <c r="B83">
        <v>14.62</v>
      </c>
    </row>
    <row r="84" spans="1:2">
      <c r="A84" t="s">
        <v>177</v>
      </c>
      <c r="B84">
        <v>14.6714285714286</v>
      </c>
    </row>
    <row r="85" spans="1:2">
      <c r="A85" t="s">
        <v>178</v>
      </c>
      <c r="B85">
        <v>15.225</v>
      </c>
    </row>
    <row r="86" spans="1:2">
      <c r="A86" t="s">
        <v>179</v>
      </c>
      <c r="B86">
        <v>15.66</v>
      </c>
    </row>
    <row r="87" spans="1:2">
      <c r="A87" t="s">
        <v>180</v>
      </c>
      <c r="B87">
        <v>17.1666666666667</v>
      </c>
    </row>
    <row r="88" spans="1:2">
      <c r="A88" s="42" t="s">
        <v>181</v>
      </c>
      <c r="B88" s="42">
        <v>18.4</v>
      </c>
    </row>
    <row r="89" spans="1:2">
      <c r="A89" t="s">
        <v>11</v>
      </c>
      <c r="B89">
        <v>11.5923</v>
      </c>
    </row>
  </sheetData>
  <mergeCells count="3">
    <mergeCell ref="D3:J3"/>
    <mergeCell ref="D4:J4"/>
    <mergeCell ref="A1:H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5"/>
  <sheetViews>
    <sheetView workbookViewId="0">
      <selection activeCell="C4" sqref="C4"/>
    </sheetView>
  </sheetViews>
  <sheetFormatPr defaultColWidth="8.88888888888889" defaultRowHeight="14.4" outlineLevelCol="7"/>
  <cols>
    <col min="1" max="1" width="25"/>
    <col min="2" max="2" width="25.1111111111111"/>
  </cols>
  <sheetData>
    <row r="1" spans="1:1">
      <c r="A1" s="2" t="s">
        <v>182</v>
      </c>
    </row>
    <row r="3" spans="1:2">
      <c r="A3" t="s">
        <v>183</v>
      </c>
      <c r="B3" t="s">
        <v>55</v>
      </c>
    </row>
    <row r="4" spans="1:2">
      <c r="A4">
        <v>30</v>
      </c>
      <c r="B4" s="37">
        <v>4.02222222222222</v>
      </c>
    </row>
    <row r="5" spans="1:2">
      <c r="A5">
        <v>31</v>
      </c>
      <c r="B5">
        <v>4.38</v>
      </c>
    </row>
    <row r="6" spans="1:2">
      <c r="A6">
        <v>32</v>
      </c>
      <c r="B6">
        <v>5.78571428571429</v>
      </c>
    </row>
    <row r="7" spans="1:2">
      <c r="A7">
        <v>33</v>
      </c>
      <c r="B7">
        <v>6.03333333333333</v>
      </c>
    </row>
    <row r="8" spans="1:2">
      <c r="A8">
        <v>34</v>
      </c>
      <c r="B8">
        <v>4.44444444444444</v>
      </c>
    </row>
    <row r="9" spans="1:2">
      <c r="A9">
        <v>35</v>
      </c>
      <c r="B9">
        <v>5.6</v>
      </c>
    </row>
    <row r="10" spans="1:2">
      <c r="A10">
        <v>36</v>
      </c>
      <c r="B10">
        <v>3.7</v>
      </c>
    </row>
    <row r="11" spans="1:2">
      <c r="A11">
        <v>37</v>
      </c>
      <c r="B11">
        <v>5.1125</v>
      </c>
    </row>
    <row r="12" spans="1:2">
      <c r="A12">
        <v>38</v>
      </c>
      <c r="B12">
        <v>5.4625</v>
      </c>
    </row>
    <row r="13" spans="1:2">
      <c r="A13">
        <v>39</v>
      </c>
      <c r="B13">
        <v>5.75</v>
      </c>
    </row>
    <row r="14" spans="1:2">
      <c r="A14">
        <v>40</v>
      </c>
      <c r="B14">
        <v>5.37777777777778</v>
      </c>
    </row>
    <row r="15" spans="1:2">
      <c r="A15">
        <v>41</v>
      </c>
      <c r="B15">
        <v>8.1</v>
      </c>
    </row>
    <row r="16" spans="1:2">
      <c r="A16">
        <v>42</v>
      </c>
      <c r="B16">
        <v>4.05</v>
      </c>
    </row>
    <row r="17" spans="1:2">
      <c r="A17">
        <v>43</v>
      </c>
      <c r="B17">
        <v>6.75</v>
      </c>
    </row>
    <row r="18" spans="1:2">
      <c r="A18">
        <v>44</v>
      </c>
      <c r="B18">
        <v>8.46</v>
      </c>
    </row>
    <row r="19" spans="1:2">
      <c r="A19">
        <v>45</v>
      </c>
      <c r="B19">
        <v>6.8</v>
      </c>
    </row>
    <row r="20" spans="1:2">
      <c r="A20">
        <v>46</v>
      </c>
      <c r="B20">
        <v>4.41111111111111</v>
      </c>
    </row>
    <row r="21" spans="1:2">
      <c r="A21">
        <v>47</v>
      </c>
      <c r="B21">
        <v>3.7</v>
      </c>
    </row>
    <row r="22" spans="1:2">
      <c r="A22">
        <v>48</v>
      </c>
      <c r="B22">
        <v>8.2</v>
      </c>
    </row>
    <row r="23" spans="1:2">
      <c r="A23">
        <v>49</v>
      </c>
      <c r="B23">
        <v>5.65</v>
      </c>
    </row>
    <row r="24" spans="1:2">
      <c r="A24">
        <v>50</v>
      </c>
      <c r="B24">
        <v>6.125</v>
      </c>
    </row>
    <row r="25" spans="1:2">
      <c r="A25">
        <v>51</v>
      </c>
      <c r="B25">
        <v>7.64</v>
      </c>
    </row>
    <row r="26" spans="1:2">
      <c r="A26">
        <v>52</v>
      </c>
      <c r="B26">
        <v>5.47142857142857</v>
      </c>
    </row>
    <row r="27" spans="1:2">
      <c r="A27">
        <v>53</v>
      </c>
      <c r="B27">
        <v>4.99166666666667</v>
      </c>
    </row>
    <row r="28" spans="1:2">
      <c r="A28">
        <v>54</v>
      </c>
      <c r="B28">
        <v>4.51428571428571</v>
      </c>
    </row>
    <row r="29" spans="1:2">
      <c r="A29">
        <v>55</v>
      </c>
      <c r="B29">
        <v>5.38</v>
      </c>
    </row>
    <row r="30" spans="1:2">
      <c r="A30">
        <v>56</v>
      </c>
      <c r="B30">
        <v>5.1875</v>
      </c>
    </row>
    <row r="31" spans="1:2">
      <c r="A31">
        <v>57</v>
      </c>
      <c r="B31">
        <v>5.22666666666667</v>
      </c>
    </row>
    <row r="32" spans="1:2">
      <c r="A32">
        <v>58</v>
      </c>
      <c r="B32">
        <v>5.15</v>
      </c>
    </row>
    <row r="33" spans="1:2">
      <c r="A33">
        <v>59</v>
      </c>
      <c r="B33">
        <v>5.725</v>
      </c>
    </row>
    <row r="34" spans="1:2">
      <c r="A34">
        <v>60</v>
      </c>
      <c r="B34">
        <v>4.01428571428572</v>
      </c>
    </row>
    <row r="35" spans="1:2">
      <c r="A35">
        <v>61</v>
      </c>
      <c r="B35">
        <v>6.4</v>
      </c>
    </row>
    <row r="36" spans="1:2">
      <c r="A36">
        <v>62</v>
      </c>
      <c r="B36">
        <v>6.15555555555556</v>
      </c>
    </row>
    <row r="37" spans="1:2">
      <c r="A37">
        <v>63</v>
      </c>
      <c r="B37">
        <v>7.05714285714286</v>
      </c>
    </row>
    <row r="38" spans="1:2">
      <c r="A38">
        <v>64</v>
      </c>
      <c r="B38">
        <v>5.96666666666667</v>
      </c>
    </row>
    <row r="39" spans="1:2">
      <c r="A39">
        <v>65</v>
      </c>
      <c r="B39">
        <v>4.05</v>
      </c>
    </row>
    <row r="40" spans="1:2">
      <c r="A40">
        <v>66</v>
      </c>
      <c r="B40">
        <v>5.825</v>
      </c>
    </row>
    <row r="41" spans="1:2">
      <c r="A41">
        <v>67</v>
      </c>
      <c r="B41">
        <v>5.68571428571429</v>
      </c>
    </row>
    <row r="42" spans="1:2">
      <c r="A42">
        <v>68</v>
      </c>
      <c r="B42">
        <v>5.2</v>
      </c>
    </row>
    <row r="43" spans="1:2">
      <c r="A43">
        <v>69</v>
      </c>
      <c r="B43">
        <v>3.78</v>
      </c>
    </row>
    <row r="44" spans="1:2">
      <c r="A44">
        <v>70</v>
      </c>
      <c r="B44">
        <v>5.5</v>
      </c>
    </row>
    <row r="45" spans="1:2">
      <c r="A45">
        <v>71</v>
      </c>
      <c r="B45">
        <v>6.4</v>
      </c>
    </row>
    <row r="46" spans="1:2">
      <c r="A46">
        <v>72</v>
      </c>
      <c r="B46">
        <v>6.22857142857143</v>
      </c>
    </row>
    <row r="47" spans="1:2">
      <c r="A47">
        <v>73</v>
      </c>
      <c r="B47">
        <v>4.85</v>
      </c>
    </row>
    <row r="48" spans="1:2">
      <c r="A48">
        <v>74</v>
      </c>
      <c r="B48">
        <v>5.32</v>
      </c>
    </row>
    <row r="49" spans="1:2">
      <c r="A49">
        <v>75</v>
      </c>
      <c r="B49">
        <v>5.96666666666667</v>
      </c>
    </row>
    <row r="50" spans="1:2">
      <c r="A50">
        <v>76</v>
      </c>
      <c r="B50">
        <v>4.32</v>
      </c>
    </row>
    <row r="51" spans="1:2">
      <c r="A51">
        <v>77</v>
      </c>
      <c r="B51">
        <v>5.25454545454545</v>
      </c>
    </row>
    <row r="52" spans="1:2">
      <c r="A52">
        <v>78</v>
      </c>
      <c r="B52">
        <v>4.53333333333333</v>
      </c>
    </row>
    <row r="53" spans="1:2">
      <c r="A53">
        <v>79</v>
      </c>
      <c r="B53">
        <v>5.2</v>
      </c>
    </row>
    <row r="54" spans="1:2">
      <c r="A54">
        <v>80</v>
      </c>
      <c r="B54">
        <v>6.2625</v>
      </c>
    </row>
    <row r="55" spans="1:2">
      <c r="A55">
        <v>81</v>
      </c>
      <c r="B55">
        <v>5.61</v>
      </c>
    </row>
    <row r="56" spans="1:2">
      <c r="A56">
        <v>82</v>
      </c>
      <c r="B56">
        <v>5.2</v>
      </c>
    </row>
    <row r="57" spans="1:2">
      <c r="A57">
        <v>83</v>
      </c>
      <c r="B57">
        <v>8.23333333333333</v>
      </c>
    </row>
    <row r="58" spans="1:2">
      <c r="A58">
        <v>84</v>
      </c>
      <c r="B58">
        <v>6.43333333333333</v>
      </c>
    </row>
    <row r="59" spans="1:2">
      <c r="A59">
        <v>85</v>
      </c>
      <c r="B59">
        <v>5.925</v>
      </c>
    </row>
    <row r="60" spans="1:2">
      <c r="A60">
        <v>86</v>
      </c>
      <c r="B60">
        <v>3.98571428571429</v>
      </c>
    </row>
    <row r="61" spans="1:2">
      <c r="A61">
        <v>87</v>
      </c>
      <c r="B61">
        <v>6.68571428571429</v>
      </c>
    </row>
    <row r="62" spans="1:2">
      <c r="A62">
        <v>88</v>
      </c>
      <c r="B62">
        <v>6.7125</v>
      </c>
    </row>
    <row r="63" spans="1:2">
      <c r="A63">
        <v>89</v>
      </c>
      <c r="B63">
        <v>5.38571428571429</v>
      </c>
    </row>
    <row r="64" spans="1:2">
      <c r="A64">
        <v>90</v>
      </c>
      <c r="B64">
        <v>7.12857142857143</v>
      </c>
    </row>
    <row r="65" spans="1:2">
      <c r="A65">
        <v>91</v>
      </c>
      <c r="B65">
        <v>5.37142857142857</v>
      </c>
    </row>
    <row r="66" spans="1:2">
      <c r="A66">
        <v>92</v>
      </c>
      <c r="B66">
        <v>4.575</v>
      </c>
    </row>
    <row r="67" spans="1:2">
      <c r="A67">
        <v>93</v>
      </c>
      <c r="B67">
        <v>5.31666666666667</v>
      </c>
    </row>
    <row r="68" spans="1:2">
      <c r="A68">
        <v>94</v>
      </c>
      <c r="B68">
        <v>5.67692307692308</v>
      </c>
    </row>
    <row r="69" spans="1:2">
      <c r="A69">
        <v>95</v>
      </c>
      <c r="B69">
        <v>5.42</v>
      </c>
    </row>
    <row r="70" spans="1:2">
      <c r="A70">
        <v>96</v>
      </c>
      <c r="B70">
        <v>7.15</v>
      </c>
    </row>
    <row r="71" spans="1:2">
      <c r="A71">
        <v>97</v>
      </c>
      <c r="B71">
        <v>3.45</v>
      </c>
    </row>
    <row r="72" spans="1:2">
      <c r="A72">
        <v>98</v>
      </c>
      <c r="B72">
        <v>2.22</v>
      </c>
    </row>
    <row r="73" spans="1:2">
      <c r="A73">
        <v>99</v>
      </c>
      <c r="B73">
        <v>4.4</v>
      </c>
    </row>
    <row r="74" spans="1:2">
      <c r="A74">
        <v>100</v>
      </c>
      <c r="B74">
        <v>3.56666666666667</v>
      </c>
    </row>
    <row r="75" spans="1:2">
      <c r="A75">
        <v>101</v>
      </c>
      <c r="B75">
        <v>5.475</v>
      </c>
    </row>
    <row r="76" spans="1:2">
      <c r="A76">
        <v>102</v>
      </c>
      <c r="B76">
        <v>5.62857142857143</v>
      </c>
    </row>
    <row r="77" spans="1:2">
      <c r="A77">
        <v>103</v>
      </c>
      <c r="B77">
        <v>4.98</v>
      </c>
    </row>
    <row r="78" spans="1:2">
      <c r="A78">
        <v>104</v>
      </c>
      <c r="B78">
        <v>4.67777777777778</v>
      </c>
    </row>
    <row r="79" spans="1:2">
      <c r="A79">
        <v>105</v>
      </c>
      <c r="B79">
        <v>4.2</v>
      </c>
    </row>
    <row r="80" spans="1:2">
      <c r="A80">
        <v>106</v>
      </c>
      <c r="B80">
        <v>5.75555555555556</v>
      </c>
    </row>
    <row r="81" spans="1:2">
      <c r="A81">
        <v>107</v>
      </c>
      <c r="B81">
        <v>4.17142857142857</v>
      </c>
    </row>
    <row r="82" spans="1:2">
      <c r="A82">
        <v>108</v>
      </c>
      <c r="B82">
        <v>5.25555555555556</v>
      </c>
    </row>
    <row r="83" spans="1:2">
      <c r="A83">
        <v>109</v>
      </c>
      <c r="B83">
        <v>3.25</v>
      </c>
    </row>
    <row r="84" spans="1:2">
      <c r="A84">
        <v>110</v>
      </c>
      <c r="B84">
        <v>6.2625</v>
      </c>
    </row>
    <row r="85" spans="1:2">
      <c r="A85">
        <v>111</v>
      </c>
      <c r="B85">
        <v>5.3</v>
      </c>
    </row>
    <row r="86" spans="1:2">
      <c r="A86">
        <v>112</v>
      </c>
      <c r="B86">
        <v>5.64</v>
      </c>
    </row>
    <row r="87" spans="1:2">
      <c r="A87">
        <v>113</v>
      </c>
      <c r="B87">
        <v>4.75</v>
      </c>
    </row>
    <row r="88" spans="1:2">
      <c r="A88">
        <v>114</v>
      </c>
      <c r="B88">
        <v>5.78571428571429</v>
      </c>
    </row>
    <row r="89" spans="1:2">
      <c r="A89">
        <v>115</v>
      </c>
      <c r="B89">
        <v>5.46</v>
      </c>
    </row>
    <row r="90" spans="1:2">
      <c r="A90">
        <v>116</v>
      </c>
      <c r="B90">
        <v>5.3</v>
      </c>
    </row>
    <row r="91" spans="1:2">
      <c r="A91">
        <v>117</v>
      </c>
      <c r="B91">
        <v>5.9</v>
      </c>
    </row>
    <row r="92" spans="1:2">
      <c r="A92">
        <v>118</v>
      </c>
      <c r="B92">
        <v>5.35</v>
      </c>
    </row>
    <row r="93" spans="1:2">
      <c r="A93">
        <v>119</v>
      </c>
      <c r="B93">
        <v>4.23333333333333</v>
      </c>
    </row>
    <row r="94" spans="1:2">
      <c r="A94">
        <v>120</v>
      </c>
      <c r="B94">
        <v>3.525</v>
      </c>
    </row>
    <row r="95" spans="1:2">
      <c r="A95">
        <v>121</v>
      </c>
      <c r="B95">
        <v>5.43333333333333</v>
      </c>
    </row>
    <row r="96" spans="1:2">
      <c r="A96">
        <v>122</v>
      </c>
      <c r="B96">
        <v>5.13333333333333</v>
      </c>
    </row>
    <row r="97" spans="1:2">
      <c r="A97">
        <v>123</v>
      </c>
      <c r="B97">
        <v>6.1</v>
      </c>
    </row>
    <row r="98" spans="1:2">
      <c r="A98">
        <v>124</v>
      </c>
      <c r="B98">
        <v>4.35</v>
      </c>
    </row>
    <row r="99" spans="1:2">
      <c r="A99">
        <v>125</v>
      </c>
      <c r="B99">
        <v>4.8</v>
      </c>
    </row>
    <row r="100" spans="1:2">
      <c r="A100">
        <v>126</v>
      </c>
      <c r="B100">
        <v>3.31428571428571</v>
      </c>
    </row>
    <row r="101" spans="1:2">
      <c r="A101">
        <v>127</v>
      </c>
      <c r="B101">
        <v>4.1</v>
      </c>
    </row>
    <row r="102" spans="1:2">
      <c r="A102">
        <v>128</v>
      </c>
      <c r="B102">
        <v>5.58</v>
      </c>
    </row>
    <row r="103" spans="1:2">
      <c r="A103">
        <v>129</v>
      </c>
      <c r="B103">
        <v>4.86666666666667</v>
      </c>
    </row>
    <row r="104" spans="1:2">
      <c r="A104">
        <v>130</v>
      </c>
      <c r="B104">
        <v>6.34285714285714</v>
      </c>
    </row>
    <row r="105" spans="1:2">
      <c r="A105">
        <v>131</v>
      </c>
      <c r="B105">
        <v>6.0125</v>
      </c>
    </row>
    <row r="106" spans="1:2">
      <c r="A106">
        <v>132</v>
      </c>
      <c r="B106">
        <v>5.14285714285714</v>
      </c>
    </row>
    <row r="107" spans="1:2">
      <c r="A107">
        <v>133</v>
      </c>
      <c r="B107">
        <v>4.56</v>
      </c>
    </row>
    <row r="108" spans="1:2">
      <c r="A108">
        <v>134</v>
      </c>
      <c r="B108">
        <v>5.39090909090909</v>
      </c>
    </row>
    <row r="109" spans="1:2">
      <c r="A109">
        <v>135</v>
      </c>
      <c r="B109">
        <v>6.2</v>
      </c>
    </row>
    <row r="110" spans="1:2">
      <c r="A110">
        <v>136</v>
      </c>
      <c r="B110">
        <v>6.58</v>
      </c>
    </row>
    <row r="111" spans="1:2">
      <c r="A111">
        <v>137</v>
      </c>
      <c r="B111">
        <v>4.32</v>
      </c>
    </row>
    <row r="112" spans="1:2">
      <c r="A112">
        <v>138</v>
      </c>
      <c r="B112">
        <v>4.98571428571429</v>
      </c>
    </row>
    <row r="113" spans="1:2">
      <c r="A113">
        <v>139</v>
      </c>
      <c r="B113">
        <v>5.26666666666667</v>
      </c>
    </row>
    <row r="114" spans="1:2">
      <c r="A114">
        <v>140</v>
      </c>
      <c r="B114">
        <v>5.04</v>
      </c>
    </row>
    <row r="115" spans="1:2">
      <c r="A115">
        <v>141</v>
      </c>
      <c r="B115">
        <v>5.11428571428571</v>
      </c>
    </row>
    <row r="116" spans="1:2">
      <c r="A116">
        <v>142</v>
      </c>
      <c r="B116">
        <v>5.45</v>
      </c>
    </row>
    <row r="117" spans="1:2">
      <c r="A117">
        <v>143</v>
      </c>
      <c r="B117">
        <v>4.76666666666667</v>
      </c>
    </row>
    <row r="118" spans="1:2">
      <c r="A118">
        <v>144</v>
      </c>
      <c r="B118">
        <v>6.28</v>
      </c>
    </row>
    <row r="119" spans="1:2">
      <c r="A119">
        <v>145</v>
      </c>
      <c r="B119">
        <v>4.99166666666667</v>
      </c>
    </row>
    <row r="120" spans="1:2">
      <c r="A120">
        <v>146</v>
      </c>
      <c r="B120">
        <v>5.43333333333333</v>
      </c>
    </row>
    <row r="121" spans="1:2">
      <c r="A121">
        <v>147</v>
      </c>
      <c r="B121">
        <v>5.55714285714286</v>
      </c>
    </row>
    <row r="122" spans="1:2">
      <c r="A122">
        <v>148</v>
      </c>
      <c r="B122">
        <v>4.87142857142857</v>
      </c>
    </row>
    <row r="123" spans="1:2">
      <c r="A123">
        <v>149</v>
      </c>
      <c r="B123">
        <v>4.75</v>
      </c>
    </row>
    <row r="124" spans="1:2">
      <c r="A124">
        <v>150</v>
      </c>
      <c r="B124">
        <v>5.575</v>
      </c>
    </row>
    <row r="125" spans="1:2">
      <c r="A125">
        <v>151</v>
      </c>
      <c r="B125">
        <v>4.82727272727273</v>
      </c>
    </row>
    <row r="126" spans="1:2">
      <c r="A126">
        <v>152</v>
      </c>
      <c r="B126">
        <v>4.56666666666667</v>
      </c>
    </row>
    <row r="127" spans="1:2">
      <c r="A127">
        <v>153</v>
      </c>
      <c r="B127">
        <v>6.46666666666667</v>
      </c>
    </row>
    <row r="128" spans="1:2">
      <c r="A128">
        <v>154</v>
      </c>
      <c r="B128">
        <v>5.7</v>
      </c>
    </row>
    <row r="129" spans="1:2">
      <c r="A129">
        <v>155</v>
      </c>
      <c r="B129">
        <v>6.56666666666667</v>
      </c>
    </row>
    <row r="130" spans="1:2">
      <c r="A130">
        <v>156</v>
      </c>
      <c r="B130">
        <v>5.54285714285714</v>
      </c>
    </row>
    <row r="131" spans="1:2">
      <c r="A131">
        <v>157</v>
      </c>
      <c r="B131">
        <v>8.02857142857143</v>
      </c>
    </row>
    <row r="132" spans="1:2">
      <c r="A132">
        <v>158</v>
      </c>
      <c r="B132">
        <v>5.05</v>
      </c>
    </row>
    <row r="133" spans="1:2">
      <c r="A133">
        <v>159</v>
      </c>
      <c r="B133">
        <v>5.28571428571429</v>
      </c>
    </row>
    <row r="134" spans="1:2">
      <c r="A134">
        <v>160</v>
      </c>
      <c r="B134">
        <v>5.58888888888889</v>
      </c>
    </row>
    <row r="135" spans="1:2">
      <c r="A135">
        <v>161</v>
      </c>
      <c r="B135">
        <v>6.70909090909091</v>
      </c>
    </row>
    <row r="136" spans="1:2">
      <c r="A136">
        <v>162</v>
      </c>
      <c r="B136">
        <v>1.86666666666667</v>
      </c>
    </row>
    <row r="137" spans="1:2">
      <c r="A137">
        <v>163</v>
      </c>
      <c r="B137">
        <v>3.975</v>
      </c>
    </row>
    <row r="138" spans="1:2">
      <c r="A138">
        <v>164</v>
      </c>
      <c r="B138">
        <v>6.38333333333333</v>
      </c>
    </row>
    <row r="139" spans="1:2">
      <c r="A139">
        <v>165</v>
      </c>
      <c r="B139">
        <v>5.62857142857143</v>
      </c>
    </row>
    <row r="140" spans="1:2">
      <c r="A140">
        <v>166</v>
      </c>
      <c r="B140">
        <v>5.9</v>
      </c>
    </row>
    <row r="141" spans="1:2">
      <c r="A141">
        <v>167</v>
      </c>
      <c r="B141">
        <v>4.75714285714286</v>
      </c>
    </row>
    <row r="142" spans="1:2">
      <c r="A142">
        <v>168</v>
      </c>
      <c r="B142">
        <v>5.83333333333333</v>
      </c>
    </row>
    <row r="143" spans="1:2">
      <c r="A143">
        <v>169</v>
      </c>
      <c r="B143">
        <v>4.03333333333333</v>
      </c>
    </row>
    <row r="144" spans="1:2">
      <c r="A144">
        <v>170</v>
      </c>
      <c r="B144">
        <v>6.27142857142857</v>
      </c>
    </row>
    <row r="145" spans="1:2">
      <c r="A145">
        <v>171</v>
      </c>
      <c r="B145">
        <v>5.5</v>
      </c>
    </row>
    <row r="146" spans="1:2">
      <c r="A146">
        <v>172</v>
      </c>
      <c r="B146">
        <v>5.55</v>
      </c>
    </row>
    <row r="147" spans="1:2">
      <c r="A147">
        <v>173</v>
      </c>
      <c r="B147">
        <v>8.4</v>
      </c>
    </row>
    <row r="148" spans="1:2">
      <c r="A148">
        <v>174</v>
      </c>
      <c r="B148">
        <v>6.82857142857143</v>
      </c>
    </row>
    <row r="149" spans="1:2">
      <c r="A149">
        <v>175</v>
      </c>
      <c r="B149">
        <v>4.38333333333333</v>
      </c>
    </row>
    <row r="150" spans="1:2">
      <c r="A150">
        <v>176</v>
      </c>
      <c r="B150">
        <v>5.57</v>
      </c>
    </row>
    <row r="151" spans="1:2">
      <c r="A151">
        <v>177</v>
      </c>
      <c r="B151">
        <v>4.56666666666667</v>
      </c>
    </row>
    <row r="152" spans="1:2">
      <c r="A152">
        <v>178</v>
      </c>
      <c r="B152">
        <v>7.73333333333333</v>
      </c>
    </row>
    <row r="153" spans="1:2">
      <c r="A153">
        <v>179</v>
      </c>
      <c r="B153">
        <v>4.53333333333333</v>
      </c>
    </row>
    <row r="154" spans="1:2">
      <c r="A154">
        <v>180</v>
      </c>
      <c r="B154">
        <v>5.42</v>
      </c>
    </row>
    <row r="155" spans="1:2">
      <c r="A155" t="s">
        <v>11</v>
      </c>
      <c r="B155">
        <v>5.4005</v>
      </c>
    </row>
  </sheetData>
  <mergeCells count="1">
    <mergeCell ref="A1:H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0"/>
  <sheetViews>
    <sheetView workbookViewId="0">
      <selection activeCell="C4" sqref="C4"/>
    </sheetView>
  </sheetViews>
  <sheetFormatPr defaultColWidth="8.88888888888889" defaultRowHeight="14.4"/>
  <cols>
    <col min="1" max="1" width="18.4444444444444"/>
    <col min="2" max="2" width="28.2222222222222"/>
    <col min="3" max="3" width="12.8888888888889"/>
  </cols>
  <sheetData>
    <row r="1" spans="1:1">
      <c r="A1" s="4" t="s">
        <v>184</v>
      </c>
    </row>
    <row r="3" spans="1:3">
      <c r="A3" t="s">
        <v>185</v>
      </c>
      <c r="B3" t="s">
        <v>186</v>
      </c>
      <c r="C3" s="3" cm="1">
        <f t="array" ref="C3">CORREL(A4:A369,B4:B369)</f>
        <v>-0.0318925797283285</v>
      </c>
    </row>
    <row r="4" spans="1:10">
      <c r="A4">
        <v>1</v>
      </c>
      <c r="B4">
        <v>0</v>
      </c>
      <c r="C4" t="s">
        <v>187</v>
      </c>
      <c r="J4" t="s">
        <v>188</v>
      </c>
    </row>
    <row r="5" spans="1:2">
      <c r="A5">
        <v>1.01</v>
      </c>
      <c r="B5">
        <v>0.5</v>
      </c>
    </row>
    <row r="6" ht="18" spans="1:3">
      <c r="A6">
        <v>1.02</v>
      </c>
      <c r="B6">
        <v>0</v>
      </c>
      <c r="C6" s="35" t="s">
        <v>189</v>
      </c>
    </row>
    <row r="7" spans="1:2">
      <c r="A7">
        <v>1.03</v>
      </c>
      <c r="B7">
        <v>1</v>
      </c>
    </row>
    <row r="8" spans="1:3">
      <c r="A8">
        <v>1.04</v>
      </c>
      <c r="B8">
        <v>0.75</v>
      </c>
      <c r="C8" s="36" t="s">
        <v>190</v>
      </c>
    </row>
    <row r="9" spans="1:3">
      <c r="A9">
        <v>1.05</v>
      </c>
      <c r="B9">
        <v>1</v>
      </c>
      <c r="C9" s="36" t="s">
        <v>191</v>
      </c>
    </row>
    <row r="10" spans="1:3">
      <c r="A10">
        <v>1.06</v>
      </c>
      <c r="B10">
        <v>0.333333333333333</v>
      </c>
      <c r="C10" s="36" t="s">
        <v>192</v>
      </c>
    </row>
    <row r="11" spans="1:2">
      <c r="A11">
        <v>1.07</v>
      </c>
      <c r="B11">
        <v>0</v>
      </c>
    </row>
    <row r="12" spans="1:2">
      <c r="A12">
        <v>1.08</v>
      </c>
      <c r="B12">
        <v>0.333333333333333</v>
      </c>
    </row>
    <row r="13" spans="1:2">
      <c r="A13">
        <v>1.09</v>
      </c>
      <c r="B13">
        <v>0</v>
      </c>
    </row>
    <row r="14" spans="1:2">
      <c r="A14">
        <v>1.1</v>
      </c>
      <c r="B14">
        <v>0.75</v>
      </c>
    </row>
    <row r="15" spans="1:2">
      <c r="A15">
        <v>1.11</v>
      </c>
      <c r="B15">
        <v>0</v>
      </c>
    </row>
    <row r="16" spans="1:2">
      <c r="A16">
        <v>1.13</v>
      </c>
      <c r="B16">
        <v>1</v>
      </c>
    </row>
    <row r="17" spans="1:2">
      <c r="A17">
        <v>1.14</v>
      </c>
      <c r="B17">
        <v>0</v>
      </c>
    </row>
    <row r="18" spans="1:2">
      <c r="A18">
        <v>1.15</v>
      </c>
      <c r="B18">
        <v>0</v>
      </c>
    </row>
    <row r="19" spans="1:2">
      <c r="A19">
        <v>1.16</v>
      </c>
      <c r="B19">
        <v>0</v>
      </c>
    </row>
    <row r="20" spans="1:2">
      <c r="A20">
        <v>1.17</v>
      </c>
      <c r="B20">
        <v>0.5</v>
      </c>
    </row>
    <row r="21" spans="1:2">
      <c r="A21">
        <v>1.18</v>
      </c>
      <c r="B21">
        <v>0</v>
      </c>
    </row>
    <row r="22" spans="1:2">
      <c r="A22">
        <v>1.19</v>
      </c>
      <c r="B22">
        <v>0.25</v>
      </c>
    </row>
    <row r="23" spans="1:2">
      <c r="A23">
        <v>1.2</v>
      </c>
      <c r="B23">
        <v>1</v>
      </c>
    </row>
    <row r="24" spans="1:2">
      <c r="A24">
        <v>1.21</v>
      </c>
      <c r="B24">
        <v>0.5</v>
      </c>
    </row>
    <row r="25" spans="1:2">
      <c r="A25">
        <v>1.22</v>
      </c>
      <c r="B25">
        <v>0.666666666666667</v>
      </c>
    </row>
    <row r="26" spans="1:2">
      <c r="A26">
        <v>1.23</v>
      </c>
      <c r="B26">
        <v>0</v>
      </c>
    </row>
    <row r="27" spans="1:2">
      <c r="A27">
        <v>1.24</v>
      </c>
      <c r="B27">
        <v>0</v>
      </c>
    </row>
    <row r="28" spans="1:2">
      <c r="A28">
        <v>1.25</v>
      </c>
      <c r="B28">
        <v>0.333333333333333</v>
      </c>
    </row>
    <row r="29" spans="1:2">
      <c r="A29">
        <v>1.26</v>
      </c>
      <c r="B29">
        <v>0.5</v>
      </c>
    </row>
    <row r="30" spans="1:2">
      <c r="A30">
        <v>1.27</v>
      </c>
      <c r="B30">
        <v>0.5</v>
      </c>
    </row>
    <row r="31" spans="1:2">
      <c r="A31">
        <v>1.28</v>
      </c>
      <c r="B31">
        <v>0.4</v>
      </c>
    </row>
    <row r="32" spans="1:2">
      <c r="A32">
        <v>1.29</v>
      </c>
      <c r="B32">
        <v>0.2</v>
      </c>
    </row>
    <row r="33" spans="1:2">
      <c r="A33">
        <v>1.3</v>
      </c>
      <c r="B33">
        <v>0</v>
      </c>
    </row>
    <row r="34" spans="1:2">
      <c r="A34">
        <v>1.31</v>
      </c>
      <c r="B34">
        <v>0</v>
      </c>
    </row>
    <row r="35" spans="1:2">
      <c r="A35">
        <v>1.32</v>
      </c>
      <c r="B35">
        <v>0.25</v>
      </c>
    </row>
    <row r="36" spans="1:2">
      <c r="A36">
        <v>1.33</v>
      </c>
      <c r="B36">
        <v>0.666666666666667</v>
      </c>
    </row>
    <row r="37" spans="1:2">
      <c r="A37">
        <v>1.34</v>
      </c>
      <c r="B37">
        <v>0.333333333333333</v>
      </c>
    </row>
    <row r="38" spans="1:2">
      <c r="A38">
        <v>1.35</v>
      </c>
      <c r="B38">
        <v>0.5</v>
      </c>
    </row>
    <row r="39" spans="1:2">
      <c r="A39">
        <v>1.36</v>
      </c>
      <c r="B39">
        <v>0</v>
      </c>
    </row>
    <row r="40" spans="1:2">
      <c r="A40">
        <v>1.37</v>
      </c>
      <c r="B40">
        <v>0.333333333333333</v>
      </c>
    </row>
    <row r="41" spans="1:2">
      <c r="A41">
        <v>1.38</v>
      </c>
      <c r="B41">
        <v>0.666666666666667</v>
      </c>
    </row>
    <row r="42" spans="1:2">
      <c r="A42">
        <v>1.41</v>
      </c>
      <c r="B42">
        <v>0</v>
      </c>
    </row>
    <row r="43" spans="1:2">
      <c r="A43">
        <v>1.42</v>
      </c>
      <c r="B43">
        <v>0.75</v>
      </c>
    </row>
    <row r="44" spans="1:2">
      <c r="A44">
        <v>1.43</v>
      </c>
      <c r="B44">
        <v>1</v>
      </c>
    </row>
    <row r="45" spans="1:2">
      <c r="A45">
        <v>1.44</v>
      </c>
      <c r="B45">
        <v>0.666666666666667</v>
      </c>
    </row>
    <row r="46" spans="1:2">
      <c r="A46">
        <v>1.45</v>
      </c>
      <c r="B46">
        <v>0</v>
      </c>
    </row>
    <row r="47" spans="1:2">
      <c r="A47">
        <v>1.46</v>
      </c>
      <c r="B47">
        <v>1</v>
      </c>
    </row>
    <row r="48" spans="1:2">
      <c r="A48">
        <v>1.47</v>
      </c>
      <c r="B48">
        <v>0</v>
      </c>
    </row>
    <row r="49" spans="1:2">
      <c r="A49">
        <v>1.48</v>
      </c>
      <c r="B49">
        <v>0.666666666666667</v>
      </c>
    </row>
    <row r="50" spans="1:2">
      <c r="A50">
        <v>1.49</v>
      </c>
      <c r="B50">
        <v>0.8</v>
      </c>
    </row>
    <row r="51" spans="1:2">
      <c r="A51">
        <v>1.5</v>
      </c>
      <c r="B51">
        <v>0.5</v>
      </c>
    </row>
    <row r="52" spans="1:2">
      <c r="A52">
        <v>1.51</v>
      </c>
      <c r="B52">
        <v>0.333333333333333</v>
      </c>
    </row>
    <row r="53" spans="1:2">
      <c r="A53">
        <v>1.52</v>
      </c>
      <c r="B53">
        <v>0.166666666666667</v>
      </c>
    </row>
    <row r="54" spans="1:2">
      <c r="A54">
        <v>1.53</v>
      </c>
      <c r="B54">
        <v>1</v>
      </c>
    </row>
    <row r="55" spans="1:2">
      <c r="A55">
        <v>1.54</v>
      </c>
      <c r="B55">
        <v>0.333333333333333</v>
      </c>
    </row>
    <row r="56" spans="1:2">
      <c r="A56">
        <v>1.55</v>
      </c>
      <c r="B56">
        <v>0.666666666666667</v>
      </c>
    </row>
    <row r="57" spans="1:2">
      <c r="A57">
        <v>1.56</v>
      </c>
      <c r="B57">
        <v>0.333333333333333</v>
      </c>
    </row>
    <row r="58" spans="1:2">
      <c r="A58">
        <v>1.57</v>
      </c>
      <c r="B58">
        <v>0.666666666666667</v>
      </c>
    </row>
    <row r="59" spans="1:2">
      <c r="A59">
        <v>1.58</v>
      </c>
      <c r="B59">
        <v>1</v>
      </c>
    </row>
    <row r="60" spans="1:2">
      <c r="A60">
        <v>1.59</v>
      </c>
      <c r="B60">
        <v>0</v>
      </c>
    </row>
    <row r="61" spans="1:2">
      <c r="A61">
        <v>1.6</v>
      </c>
      <c r="B61">
        <v>0</v>
      </c>
    </row>
    <row r="62" spans="1:2">
      <c r="A62">
        <v>1.61</v>
      </c>
      <c r="B62">
        <v>1</v>
      </c>
    </row>
    <row r="63" spans="1:2">
      <c r="A63">
        <v>1.62</v>
      </c>
      <c r="B63">
        <v>0.333333333333333</v>
      </c>
    </row>
    <row r="64" spans="1:2">
      <c r="A64">
        <v>1.63</v>
      </c>
      <c r="B64">
        <v>0</v>
      </c>
    </row>
    <row r="65" spans="1:2">
      <c r="A65">
        <v>1.64</v>
      </c>
      <c r="B65">
        <v>0</v>
      </c>
    </row>
    <row r="66" spans="1:2">
      <c r="A66">
        <v>1.65</v>
      </c>
      <c r="B66">
        <v>0.5</v>
      </c>
    </row>
    <row r="67" spans="1:2">
      <c r="A67">
        <v>1.66</v>
      </c>
      <c r="B67">
        <v>0.333333333333333</v>
      </c>
    </row>
    <row r="68" spans="1:2">
      <c r="A68">
        <v>1.67</v>
      </c>
      <c r="B68">
        <v>0</v>
      </c>
    </row>
    <row r="69" spans="1:2">
      <c r="A69">
        <v>1.68</v>
      </c>
      <c r="B69">
        <v>1</v>
      </c>
    </row>
    <row r="70" spans="1:2">
      <c r="A70">
        <v>1.69</v>
      </c>
      <c r="B70">
        <v>0</v>
      </c>
    </row>
    <row r="71" spans="1:2">
      <c r="A71">
        <v>1.7</v>
      </c>
      <c r="B71">
        <v>0</v>
      </c>
    </row>
    <row r="72" spans="1:2">
      <c r="A72">
        <v>1.72</v>
      </c>
      <c r="B72">
        <v>0.166666666666667</v>
      </c>
    </row>
    <row r="73" spans="1:2">
      <c r="A73">
        <v>1.73</v>
      </c>
      <c r="B73">
        <v>0.333333333333333</v>
      </c>
    </row>
    <row r="74" spans="1:2">
      <c r="A74">
        <v>1.74</v>
      </c>
      <c r="B74">
        <v>0.25</v>
      </c>
    </row>
    <row r="75" spans="1:2">
      <c r="A75">
        <v>1.75</v>
      </c>
      <c r="B75">
        <v>1</v>
      </c>
    </row>
    <row r="76" spans="1:2">
      <c r="A76">
        <v>1.76</v>
      </c>
      <c r="B76">
        <v>0</v>
      </c>
    </row>
    <row r="77" spans="1:2">
      <c r="A77">
        <v>1.78</v>
      </c>
      <c r="B77">
        <v>0</v>
      </c>
    </row>
    <row r="78" spans="1:2">
      <c r="A78">
        <v>1.79</v>
      </c>
      <c r="B78">
        <v>1</v>
      </c>
    </row>
    <row r="79" spans="1:2">
      <c r="A79">
        <v>1.8</v>
      </c>
      <c r="B79">
        <v>0.333333333333333</v>
      </c>
    </row>
    <row r="80" spans="1:2">
      <c r="A80">
        <v>1.81</v>
      </c>
      <c r="B80">
        <v>0</v>
      </c>
    </row>
    <row r="81" spans="1:2">
      <c r="A81">
        <v>1.82</v>
      </c>
      <c r="B81">
        <v>1</v>
      </c>
    </row>
    <row r="82" spans="1:2">
      <c r="A82">
        <v>1.83</v>
      </c>
      <c r="B82">
        <v>0.333333333333333</v>
      </c>
    </row>
    <row r="83" spans="1:2">
      <c r="A83">
        <v>1.84</v>
      </c>
      <c r="B83">
        <v>0.285714285714286</v>
      </c>
    </row>
    <row r="84" spans="1:2">
      <c r="A84">
        <v>1.85</v>
      </c>
      <c r="B84">
        <v>0.333333333333333</v>
      </c>
    </row>
    <row r="85" spans="1:2">
      <c r="A85">
        <v>1.86</v>
      </c>
      <c r="B85">
        <v>0</v>
      </c>
    </row>
    <row r="86" spans="1:2">
      <c r="A86">
        <v>1.87</v>
      </c>
      <c r="B86">
        <v>0</v>
      </c>
    </row>
    <row r="87" spans="1:2">
      <c r="A87">
        <v>1.88</v>
      </c>
      <c r="B87">
        <v>0.375</v>
      </c>
    </row>
    <row r="88" spans="1:2">
      <c r="A88">
        <v>1.9</v>
      </c>
      <c r="B88">
        <v>0.333333333333333</v>
      </c>
    </row>
    <row r="89" spans="1:2">
      <c r="A89">
        <v>1.91</v>
      </c>
      <c r="B89">
        <v>0.5</v>
      </c>
    </row>
    <row r="90" spans="1:2">
      <c r="A90">
        <v>1.92</v>
      </c>
      <c r="B90">
        <v>0.5</v>
      </c>
    </row>
    <row r="91" spans="1:2">
      <c r="A91">
        <v>1.93</v>
      </c>
      <c r="B91">
        <v>0.5</v>
      </c>
    </row>
    <row r="92" spans="1:2">
      <c r="A92">
        <v>1.94</v>
      </c>
      <c r="B92">
        <v>0</v>
      </c>
    </row>
    <row r="93" spans="1:2">
      <c r="A93">
        <v>1.95</v>
      </c>
      <c r="B93">
        <v>0</v>
      </c>
    </row>
    <row r="94" spans="1:2">
      <c r="A94">
        <v>1.96</v>
      </c>
      <c r="B94">
        <v>0.5</v>
      </c>
    </row>
    <row r="95" spans="1:2">
      <c r="A95">
        <v>1.97</v>
      </c>
      <c r="B95">
        <v>0.166666666666667</v>
      </c>
    </row>
    <row r="96" spans="1:2">
      <c r="A96">
        <v>1.98</v>
      </c>
      <c r="B96">
        <v>0</v>
      </c>
    </row>
    <row r="97" spans="1:2">
      <c r="A97">
        <v>1.99</v>
      </c>
      <c r="B97">
        <v>0.666666666666667</v>
      </c>
    </row>
    <row r="98" spans="1:2">
      <c r="A98">
        <v>2</v>
      </c>
      <c r="B98">
        <v>0.5</v>
      </c>
    </row>
    <row r="99" spans="1:2">
      <c r="A99">
        <v>2.02</v>
      </c>
      <c r="B99">
        <v>1</v>
      </c>
    </row>
    <row r="100" spans="1:2">
      <c r="A100">
        <v>2.03</v>
      </c>
      <c r="B100">
        <v>0</v>
      </c>
    </row>
    <row r="101" spans="1:2">
      <c r="A101">
        <v>2.04</v>
      </c>
      <c r="B101">
        <v>0.25</v>
      </c>
    </row>
    <row r="102" spans="1:2">
      <c r="A102">
        <v>2.07</v>
      </c>
      <c r="B102">
        <v>0.5</v>
      </c>
    </row>
    <row r="103" spans="1:2">
      <c r="A103">
        <v>2.08</v>
      </c>
      <c r="B103">
        <v>0</v>
      </c>
    </row>
    <row r="104" spans="1:2">
      <c r="A104">
        <v>2.09</v>
      </c>
      <c r="B104">
        <v>0.8</v>
      </c>
    </row>
    <row r="105" spans="1:2">
      <c r="A105">
        <v>2.1</v>
      </c>
      <c r="B105">
        <v>0</v>
      </c>
    </row>
    <row r="106" spans="1:2">
      <c r="A106">
        <v>2.11</v>
      </c>
      <c r="B106">
        <v>0.5</v>
      </c>
    </row>
    <row r="107" spans="1:2">
      <c r="A107">
        <v>2.12</v>
      </c>
      <c r="B107">
        <v>0.5</v>
      </c>
    </row>
    <row r="108" spans="1:2">
      <c r="A108">
        <v>2.13</v>
      </c>
      <c r="B108">
        <v>1</v>
      </c>
    </row>
    <row r="109" spans="1:2">
      <c r="A109">
        <v>2.14</v>
      </c>
      <c r="B109">
        <v>1</v>
      </c>
    </row>
    <row r="110" spans="1:2">
      <c r="A110">
        <v>2.15</v>
      </c>
      <c r="B110">
        <v>0.333333333333333</v>
      </c>
    </row>
    <row r="111" spans="1:2">
      <c r="A111">
        <v>2.16</v>
      </c>
      <c r="B111">
        <v>0</v>
      </c>
    </row>
    <row r="112" spans="1:2">
      <c r="A112">
        <v>2.17</v>
      </c>
      <c r="B112">
        <v>1</v>
      </c>
    </row>
    <row r="113" spans="1:2">
      <c r="A113">
        <v>2.18</v>
      </c>
      <c r="B113">
        <v>1</v>
      </c>
    </row>
    <row r="114" spans="1:2">
      <c r="A114">
        <v>2.19</v>
      </c>
      <c r="B114">
        <v>0.5</v>
      </c>
    </row>
    <row r="115" spans="1:2">
      <c r="A115">
        <v>2.21</v>
      </c>
      <c r="B115">
        <v>0</v>
      </c>
    </row>
    <row r="116" spans="1:2">
      <c r="A116">
        <v>2.23</v>
      </c>
      <c r="B116">
        <v>0</v>
      </c>
    </row>
    <row r="117" spans="1:2">
      <c r="A117">
        <v>2.24</v>
      </c>
      <c r="B117">
        <v>0</v>
      </c>
    </row>
    <row r="118" spans="1:2">
      <c r="A118">
        <v>2.25</v>
      </c>
      <c r="B118">
        <v>0.2</v>
      </c>
    </row>
    <row r="119" spans="1:2">
      <c r="A119">
        <v>2.27</v>
      </c>
      <c r="B119">
        <v>1</v>
      </c>
    </row>
    <row r="120" spans="1:2">
      <c r="A120">
        <v>2.29</v>
      </c>
      <c r="B120">
        <v>0.333333333333333</v>
      </c>
    </row>
    <row r="121" spans="1:2">
      <c r="A121">
        <v>2.3</v>
      </c>
      <c r="B121">
        <v>0</v>
      </c>
    </row>
    <row r="122" spans="1:2">
      <c r="A122">
        <v>2.31</v>
      </c>
      <c r="B122">
        <v>0</v>
      </c>
    </row>
    <row r="123" spans="1:2">
      <c r="A123">
        <v>2.32</v>
      </c>
      <c r="B123">
        <v>0</v>
      </c>
    </row>
    <row r="124" spans="1:2">
      <c r="A124">
        <v>2.33</v>
      </c>
      <c r="B124">
        <v>0</v>
      </c>
    </row>
    <row r="125" spans="1:2">
      <c r="A125">
        <v>2.34</v>
      </c>
      <c r="B125">
        <v>0.333333333333333</v>
      </c>
    </row>
    <row r="126" spans="1:2">
      <c r="A126">
        <v>2.36</v>
      </c>
      <c r="B126">
        <v>0</v>
      </c>
    </row>
    <row r="127" spans="1:2">
      <c r="A127">
        <v>2.37</v>
      </c>
      <c r="B127">
        <v>0.25</v>
      </c>
    </row>
    <row r="128" spans="1:2">
      <c r="A128">
        <v>2.38</v>
      </c>
      <c r="B128">
        <v>0</v>
      </c>
    </row>
    <row r="129" spans="1:2">
      <c r="A129">
        <v>2.39</v>
      </c>
      <c r="B129">
        <v>0.166666666666667</v>
      </c>
    </row>
    <row r="130" spans="1:2">
      <c r="A130">
        <v>2.4</v>
      </c>
      <c r="B130">
        <v>0</v>
      </c>
    </row>
    <row r="131" spans="1:2">
      <c r="A131">
        <v>2.41</v>
      </c>
      <c r="B131">
        <v>0</v>
      </c>
    </row>
    <row r="132" spans="1:2">
      <c r="A132">
        <v>2.42</v>
      </c>
      <c r="B132">
        <v>0.666666666666667</v>
      </c>
    </row>
    <row r="133" spans="1:2">
      <c r="A133">
        <v>2.43</v>
      </c>
      <c r="B133">
        <v>0</v>
      </c>
    </row>
    <row r="134" spans="1:2">
      <c r="A134">
        <v>2.44</v>
      </c>
      <c r="B134">
        <v>1</v>
      </c>
    </row>
    <row r="135" spans="1:2">
      <c r="A135">
        <v>2.45</v>
      </c>
      <c r="B135">
        <v>0.5</v>
      </c>
    </row>
    <row r="136" spans="1:2">
      <c r="A136">
        <v>2.46</v>
      </c>
      <c r="B136">
        <v>0.5</v>
      </c>
    </row>
    <row r="137" spans="1:2">
      <c r="A137">
        <v>2.47</v>
      </c>
      <c r="B137">
        <v>0.75</v>
      </c>
    </row>
    <row r="138" spans="1:2">
      <c r="A138">
        <v>2.48</v>
      </c>
      <c r="B138">
        <v>0</v>
      </c>
    </row>
    <row r="139" spans="1:2">
      <c r="A139">
        <v>2.49</v>
      </c>
      <c r="B139">
        <v>0</v>
      </c>
    </row>
    <row r="140" spans="1:2">
      <c r="A140">
        <v>2.5</v>
      </c>
      <c r="B140">
        <v>0</v>
      </c>
    </row>
    <row r="141" spans="1:2">
      <c r="A141">
        <v>2.51</v>
      </c>
      <c r="B141">
        <v>0.5</v>
      </c>
    </row>
    <row r="142" spans="1:2">
      <c r="A142">
        <v>2.52</v>
      </c>
      <c r="B142">
        <v>0.5</v>
      </c>
    </row>
    <row r="143" spans="1:2">
      <c r="A143">
        <v>2.53</v>
      </c>
      <c r="B143">
        <v>0.5</v>
      </c>
    </row>
    <row r="144" spans="1:2">
      <c r="A144">
        <v>2.54</v>
      </c>
      <c r="B144">
        <v>0.2</v>
      </c>
    </row>
    <row r="145" spans="1:2">
      <c r="A145">
        <v>2.55</v>
      </c>
      <c r="B145">
        <v>1</v>
      </c>
    </row>
    <row r="146" spans="1:2">
      <c r="A146">
        <v>2.56</v>
      </c>
      <c r="B146">
        <v>0.5</v>
      </c>
    </row>
    <row r="147" spans="1:2">
      <c r="A147">
        <v>2.57</v>
      </c>
      <c r="B147">
        <v>0.166666666666667</v>
      </c>
    </row>
    <row r="148" spans="1:2">
      <c r="A148">
        <v>2.58</v>
      </c>
      <c r="B148">
        <v>0.4</v>
      </c>
    </row>
    <row r="149" spans="1:2">
      <c r="A149">
        <v>2.59</v>
      </c>
      <c r="B149">
        <v>0</v>
      </c>
    </row>
    <row r="150" spans="1:2">
      <c r="A150">
        <v>2.6</v>
      </c>
      <c r="B150">
        <v>0.5</v>
      </c>
    </row>
    <row r="151" spans="1:2">
      <c r="A151">
        <v>2.61</v>
      </c>
      <c r="B151">
        <v>0.666666666666667</v>
      </c>
    </row>
    <row r="152" spans="1:2">
      <c r="A152">
        <v>2.63</v>
      </c>
      <c r="B152">
        <v>0</v>
      </c>
    </row>
    <row r="153" spans="1:2">
      <c r="A153">
        <v>2.64</v>
      </c>
      <c r="B153">
        <v>0</v>
      </c>
    </row>
    <row r="154" spans="1:2">
      <c r="A154">
        <v>2.65</v>
      </c>
      <c r="B154">
        <v>1</v>
      </c>
    </row>
    <row r="155" spans="1:2">
      <c r="A155">
        <v>2.66</v>
      </c>
      <c r="B155">
        <v>0</v>
      </c>
    </row>
    <row r="156" spans="1:2">
      <c r="A156">
        <v>2.67</v>
      </c>
      <c r="B156">
        <v>0.5</v>
      </c>
    </row>
    <row r="157" spans="1:2">
      <c r="A157">
        <v>2.68</v>
      </c>
      <c r="B157">
        <v>0.5</v>
      </c>
    </row>
    <row r="158" spans="1:2">
      <c r="A158">
        <v>2.69</v>
      </c>
      <c r="B158">
        <v>0</v>
      </c>
    </row>
    <row r="159" spans="1:2">
      <c r="A159">
        <v>2.7</v>
      </c>
      <c r="B159">
        <v>0.5</v>
      </c>
    </row>
    <row r="160" spans="1:2">
      <c r="A160">
        <v>2.71</v>
      </c>
      <c r="B160">
        <v>0.5</v>
      </c>
    </row>
    <row r="161" spans="1:2">
      <c r="A161">
        <v>2.72</v>
      </c>
      <c r="B161">
        <v>0.5</v>
      </c>
    </row>
    <row r="162" spans="1:2">
      <c r="A162">
        <v>2.73</v>
      </c>
      <c r="B162">
        <v>0.666666666666667</v>
      </c>
    </row>
    <row r="163" spans="1:2">
      <c r="A163">
        <v>2.74</v>
      </c>
      <c r="B163">
        <v>0</v>
      </c>
    </row>
    <row r="164" spans="1:2">
      <c r="A164">
        <v>2.75</v>
      </c>
      <c r="B164">
        <v>0</v>
      </c>
    </row>
    <row r="165" spans="1:2">
      <c r="A165">
        <v>2.76</v>
      </c>
      <c r="B165">
        <v>0</v>
      </c>
    </row>
    <row r="166" spans="1:2">
      <c r="A166">
        <v>2.78</v>
      </c>
      <c r="B166">
        <v>0.4</v>
      </c>
    </row>
    <row r="167" spans="1:2">
      <c r="A167">
        <v>2.8</v>
      </c>
      <c r="B167">
        <v>1</v>
      </c>
    </row>
    <row r="168" spans="1:2">
      <c r="A168">
        <v>2.81</v>
      </c>
      <c r="B168">
        <v>0</v>
      </c>
    </row>
    <row r="169" spans="1:2">
      <c r="A169">
        <v>2.82</v>
      </c>
      <c r="B169">
        <v>0.25</v>
      </c>
    </row>
    <row r="170" spans="1:2">
      <c r="A170">
        <v>2.83</v>
      </c>
      <c r="B170">
        <v>0</v>
      </c>
    </row>
    <row r="171" spans="1:2">
      <c r="A171">
        <v>2.84</v>
      </c>
      <c r="B171">
        <v>0</v>
      </c>
    </row>
    <row r="172" spans="1:2">
      <c r="A172">
        <v>2.85</v>
      </c>
      <c r="B172">
        <v>0</v>
      </c>
    </row>
    <row r="173" spans="1:2">
      <c r="A173">
        <v>2.86</v>
      </c>
      <c r="B173">
        <v>0</v>
      </c>
    </row>
    <row r="174" spans="1:2">
      <c r="A174">
        <v>2.87</v>
      </c>
      <c r="B174">
        <v>1</v>
      </c>
    </row>
    <row r="175" spans="1:2">
      <c r="A175">
        <v>2.88</v>
      </c>
      <c r="B175">
        <v>0</v>
      </c>
    </row>
    <row r="176" spans="1:2">
      <c r="A176">
        <v>2.89</v>
      </c>
      <c r="B176">
        <v>0</v>
      </c>
    </row>
    <row r="177" spans="1:2">
      <c r="A177">
        <v>2.9</v>
      </c>
      <c r="B177">
        <v>0.25</v>
      </c>
    </row>
    <row r="178" spans="1:2">
      <c r="A178">
        <v>2.91</v>
      </c>
      <c r="B178">
        <v>1</v>
      </c>
    </row>
    <row r="179" spans="1:2">
      <c r="A179">
        <v>2.92</v>
      </c>
      <c r="B179">
        <v>0</v>
      </c>
    </row>
    <row r="180" spans="1:2">
      <c r="A180">
        <v>2.93</v>
      </c>
      <c r="B180">
        <v>0.666666666666667</v>
      </c>
    </row>
    <row r="181" spans="1:2">
      <c r="A181">
        <v>2.94</v>
      </c>
      <c r="B181">
        <v>0.25</v>
      </c>
    </row>
    <row r="182" spans="1:2">
      <c r="A182">
        <v>2.95</v>
      </c>
      <c r="B182">
        <v>0.333333333333333</v>
      </c>
    </row>
    <row r="183" spans="1:2">
      <c r="A183">
        <v>2.96</v>
      </c>
      <c r="B183">
        <v>0</v>
      </c>
    </row>
    <row r="184" spans="1:2">
      <c r="A184">
        <v>2.98</v>
      </c>
      <c r="B184">
        <v>0</v>
      </c>
    </row>
    <row r="185" spans="1:2">
      <c r="A185">
        <v>2.99</v>
      </c>
      <c r="B185">
        <v>1</v>
      </c>
    </row>
    <row r="186" spans="1:2">
      <c r="A186">
        <v>3</v>
      </c>
      <c r="B186">
        <v>0.75</v>
      </c>
    </row>
    <row r="187" spans="1:2">
      <c r="A187">
        <v>3.01</v>
      </c>
      <c r="B187">
        <v>0</v>
      </c>
    </row>
    <row r="188" spans="1:2">
      <c r="A188">
        <v>3.02</v>
      </c>
      <c r="B188">
        <v>0.333333333333333</v>
      </c>
    </row>
    <row r="189" spans="1:2">
      <c r="A189">
        <v>3.03</v>
      </c>
      <c r="B189">
        <v>0</v>
      </c>
    </row>
    <row r="190" spans="1:2">
      <c r="A190">
        <v>3.04</v>
      </c>
      <c r="B190">
        <v>0</v>
      </c>
    </row>
    <row r="191" spans="1:2">
      <c r="A191">
        <v>3.05</v>
      </c>
      <c r="B191">
        <v>0</v>
      </c>
    </row>
    <row r="192" spans="1:2">
      <c r="A192">
        <v>3.06</v>
      </c>
      <c r="B192">
        <v>0.4</v>
      </c>
    </row>
    <row r="193" spans="1:2">
      <c r="A193">
        <v>3.07</v>
      </c>
      <c r="B193">
        <v>0.6</v>
      </c>
    </row>
    <row r="194" spans="1:2">
      <c r="A194">
        <v>3.08</v>
      </c>
      <c r="B194">
        <v>0.333333333333333</v>
      </c>
    </row>
    <row r="195" spans="1:2">
      <c r="A195">
        <v>3.09</v>
      </c>
      <c r="B195">
        <v>0.5</v>
      </c>
    </row>
    <row r="196" spans="1:2">
      <c r="A196">
        <v>3.1</v>
      </c>
      <c r="B196">
        <v>0</v>
      </c>
    </row>
    <row r="197" spans="1:2">
      <c r="A197">
        <v>3.11</v>
      </c>
      <c r="B197">
        <v>0</v>
      </c>
    </row>
    <row r="198" spans="1:2">
      <c r="A198">
        <v>3.12</v>
      </c>
      <c r="B198">
        <v>1</v>
      </c>
    </row>
    <row r="199" spans="1:2">
      <c r="A199">
        <v>3.13</v>
      </c>
      <c r="B199">
        <v>0</v>
      </c>
    </row>
    <row r="200" spans="1:2">
      <c r="A200">
        <v>3.14</v>
      </c>
      <c r="B200">
        <v>1</v>
      </c>
    </row>
    <row r="201" spans="1:2">
      <c r="A201">
        <v>3.15</v>
      </c>
      <c r="B201">
        <v>0</v>
      </c>
    </row>
    <row r="202" spans="1:2">
      <c r="A202">
        <v>3.16</v>
      </c>
      <c r="B202">
        <v>0.25</v>
      </c>
    </row>
    <row r="203" spans="1:2">
      <c r="A203">
        <v>3.17</v>
      </c>
      <c r="B203">
        <v>0.5</v>
      </c>
    </row>
    <row r="204" spans="1:2">
      <c r="A204">
        <v>3.18</v>
      </c>
      <c r="B204">
        <v>0</v>
      </c>
    </row>
    <row r="205" spans="1:2">
      <c r="A205">
        <v>3.19</v>
      </c>
      <c r="B205">
        <v>0.5</v>
      </c>
    </row>
    <row r="206" spans="1:2">
      <c r="A206">
        <v>3.22</v>
      </c>
      <c r="B206">
        <v>0</v>
      </c>
    </row>
    <row r="207" spans="1:2">
      <c r="A207">
        <v>3.23</v>
      </c>
      <c r="B207">
        <v>0</v>
      </c>
    </row>
    <row r="208" spans="1:2">
      <c r="A208">
        <v>3.24</v>
      </c>
      <c r="B208">
        <v>1</v>
      </c>
    </row>
    <row r="209" spans="1:2">
      <c r="A209">
        <v>3.25</v>
      </c>
      <c r="B209">
        <v>0</v>
      </c>
    </row>
    <row r="210" spans="1:2">
      <c r="A210">
        <v>3.26</v>
      </c>
      <c r="B210">
        <v>0.5</v>
      </c>
    </row>
    <row r="211" spans="1:2">
      <c r="A211">
        <v>3.28</v>
      </c>
      <c r="B211">
        <v>0.5</v>
      </c>
    </row>
    <row r="212" spans="1:2">
      <c r="A212">
        <v>3.29</v>
      </c>
      <c r="B212">
        <v>0.5</v>
      </c>
    </row>
    <row r="213" spans="1:2">
      <c r="A213">
        <v>3.3</v>
      </c>
      <c r="B213">
        <v>0</v>
      </c>
    </row>
    <row r="214" spans="1:2">
      <c r="A214">
        <v>3.31</v>
      </c>
      <c r="B214">
        <v>0.222222222222222</v>
      </c>
    </row>
    <row r="215" spans="1:2">
      <c r="A215">
        <v>3.32</v>
      </c>
      <c r="B215">
        <v>0</v>
      </c>
    </row>
    <row r="216" spans="1:2">
      <c r="A216">
        <v>3.33</v>
      </c>
      <c r="B216">
        <v>0</v>
      </c>
    </row>
    <row r="217" spans="1:2">
      <c r="A217">
        <v>3.34</v>
      </c>
      <c r="B217">
        <v>0</v>
      </c>
    </row>
    <row r="218" spans="1:2">
      <c r="A218">
        <v>3.35</v>
      </c>
      <c r="B218">
        <v>0</v>
      </c>
    </row>
    <row r="219" spans="1:2">
      <c r="A219">
        <v>3.36</v>
      </c>
      <c r="B219">
        <v>1</v>
      </c>
    </row>
    <row r="220" spans="1:2">
      <c r="A220">
        <v>3.37</v>
      </c>
      <c r="B220">
        <v>0.75</v>
      </c>
    </row>
    <row r="221" spans="1:2">
      <c r="A221">
        <v>3.38</v>
      </c>
      <c r="B221">
        <v>0.333333333333333</v>
      </c>
    </row>
    <row r="222" spans="1:2">
      <c r="A222">
        <v>3.39</v>
      </c>
      <c r="B222">
        <v>0.5</v>
      </c>
    </row>
    <row r="223" spans="1:2">
      <c r="A223">
        <v>3.4</v>
      </c>
      <c r="B223">
        <v>0.5</v>
      </c>
    </row>
    <row r="224" spans="1:2">
      <c r="A224">
        <v>3.41</v>
      </c>
      <c r="B224">
        <v>0.125</v>
      </c>
    </row>
    <row r="225" spans="1:2">
      <c r="A225">
        <v>3.42</v>
      </c>
      <c r="B225">
        <v>0.333333333333333</v>
      </c>
    </row>
    <row r="226" spans="1:2">
      <c r="A226">
        <v>3.43</v>
      </c>
      <c r="B226">
        <v>0</v>
      </c>
    </row>
    <row r="227" spans="1:2">
      <c r="A227">
        <v>3.44</v>
      </c>
      <c r="B227">
        <v>0.666666666666667</v>
      </c>
    </row>
    <row r="228" spans="1:2">
      <c r="A228">
        <v>3.45</v>
      </c>
      <c r="B228">
        <v>0.5</v>
      </c>
    </row>
    <row r="229" spans="1:2">
      <c r="A229">
        <v>3.46</v>
      </c>
      <c r="B229">
        <v>0.666666666666667</v>
      </c>
    </row>
    <row r="230" spans="1:2">
      <c r="A230">
        <v>3.47</v>
      </c>
      <c r="B230">
        <v>0</v>
      </c>
    </row>
    <row r="231" spans="1:2">
      <c r="A231">
        <v>3.48</v>
      </c>
      <c r="B231">
        <v>0</v>
      </c>
    </row>
    <row r="232" spans="1:2">
      <c r="A232">
        <v>3.49</v>
      </c>
      <c r="B232">
        <v>0</v>
      </c>
    </row>
    <row r="233" spans="1:2">
      <c r="A233">
        <v>3.5</v>
      </c>
      <c r="B233">
        <v>1</v>
      </c>
    </row>
    <row r="234" spans="1:2">
      <c r="A234">
        <v>3.54</v>
      </c>
      <c r="B234">
        <v>0</v>
      </c>
    </row>
    <row r="235" spans="1:2">
      <c r="A235">
        <v>3.55</v>
      </c>
      <c r="B235">
        <v>1</v>
      </c>
    </row>
    <row r="236" spans="1:2">
      <c r="A236">
        <v>3.56</v>
      </c>
      <c r="B236">
        <v>0</v>
      </c>
    </row>
    <row r="237" spans="1:2">
      <c r="A237">
        <v>3.57</v>
      </c>
      <c r="B237">
        <v>1</v>
      </c>
    </row>
    <row r="238" spans="1:2">
      <c r="A238">
        <v>3.59</v>
      </c>
      <c r="B238">
        <v>0.2</v>
      </c>
    </row>
    <row r="239" spans="1:2">
      <c r="A239">
        <v>3.6</v>
      </c>
      <c r="B239">
        <v>0.333333333333333</v>
      </c>
    </row>
    <row r="240" spans="1:2">
      <c r="A240">
        <v>3.61</v>
      </c>
      <c r="B240">
        <v>0</v>
      </c>
    </row>
    <row r="241" spans="1:2">
      <c r="A241">
        <v>3.62</v>
      </c>
      <c r="B241">
        <v>1</v>
      </c>
    </row>
    <row r="242" spans="1:2">
      <c r="A242">
        <v>3.63</v>
      </c>
      <c r="B242">
        <v>0</v>
      </c>
    </row>
    <row r="243" spans="1:2">
      <c r="A243">
        <v>3.64</v>
      </c>
      <c r="B243">
        <v>0</v>
      </c>
    </row>
    <row r="244" spans="1:2">
      <c r="A244">
        <v>3.65</v>
      </c>
      <c r="B244">
        <v>0.285714285714286</v>
      </c>
    </row>
    <row r="245" spans="1:2">
      <c r="A245">
        <v>3.66</v>
      </c>
      <c r="B245">
        <v>0</v>
      </c>
    </row>
    <row r="246" spans="1:2">
      <c r="A246">
        <v>3.67</v>
      </c>
      <c r="B246">
        <v>0</v>
      </c>
    </row>
    <row r="247" spans="1:2">
      <c r="A247">
        <v>3.69</v>
      </c>
      <c r="B247">
        <v>0</v>
      </c>
    </row>
    <row r="248" spans="1:2">
      <c r="A248">
        <v>3.7</v>
      </c>
      <c r="B248">
        <v>0.666666666666667</v>
      </c>
    </row>
    <row r="249" spans="1:2">
      <c r="A249">
        <v>3.71</v>
      </c>
      <c r="B249">
        <v>0.5</v>
      </c>
    </row>
    <row r="250" spans="1:2">
      <c r="A250">
        <v>3.72</v>
      </c>
      <c r="B250">
        <v>0</v>
      </c>
    </row>
    <row r="251" spans="1:2">
      <c r="A251">
        <v>3.73</v>
      </c>
      <c r="B251">
        <v>1</v>
      </c>
    </row>
    <row r="252" spans="1:2">
      <c r="A252">
        <v>3.75</v>
      </c>
      <c r="B252">
        <v>0.333333333333333</v>
      </c>
    </row>
    <row r="253" spans="1:2">
      <c r="A253">
        <v>3.76</v>
      </c>
      <c r="B253">
        <v>0.666666666666667</v>
      </c>
    </row>
    <row r="254" spans="1:2">
      <c r="A254">
        <v>3.77</v>
      </c>
      <c r="B254">
        <v>0.5</v>
      </c>
    </row>
    <row r="255" spans="1:2">
      <c r="A255">
        <v>3.78</v>
      </c>
      <c r="B255">
        <v>0.75</v>
      </c>
    </row>
    <row r="256" spans="1:2">
      <c r="A256">
        <v>3.79</v>
      </c>
      <c r="B256">
        <v>0</v>
      </c>
    </row>
    <row r="257" spans="1:2">
      <c r="A257">
        <v>3.8</v>
      </c>
      <c r="B257">
        <v>0</v>
      </c>
    </row>
    <row r="258" spans="1:2">
      <c r="A258">
        <v>3.81</v>
      </c>
      <c r="B258">
        <v>0</v>
      </c>
    </row>
    <row r="259" spans="1:2">
      <c r="A259">
        <v>3.82</v>
      </c>
      <c r="B259">
        <v>1</v>
      </c>
    </row>
    <row r="260" spans="1:2">
      <c r="A260">
        <v>3.83</v>
      </c>
      <c r="B260">
        <v>0</v>
      </c>
    </row>
    <row r="261" spans="1:2">
      <c r="A261">
        <v>3.85</v>
      </c>
      <c r="B261">
        <v>0</v>
      </c>
    </row>
    <row r="262" spans="1:2">
      <c r="A262">
        <v>3.86</v>
      </c>
      <c r="B262">
        <v>0.4</v>
      </c>
    </row>
    <row r="263" spans="1:2">
      <c r="A263">
        <v>3.87</v>
      </c>
      <c r="B263">
        <v>0.333333333333333</v>
      </c>
    </row>
    <row r="264" spans="1:2">
      <c r="A264">
        <v>3.88</v>
      </c>
      <c r="B264">
        <v>0.5</v>
      </c>
    </row>
    <row r="265" spans="1:2">
      <c r="A265">
        <v>3.89</v>
      </c>
      <c r="B265">
        <v>0.5</v>
      </c>
    </row>
    <row r="266" spans="1:2">
      <c r="A266">
        <v>3.91</v>
      </c>
      <c r="B266">
        <v>0.25</v>
      </c>
    </row>
    <row r="267" spans="1:2">
      <c r="A267">
        <v>3.92</v>
      </c>
      <c r="B267">
        <v>0.5</v>
      </c>
    </row>
    <row r="268" spans="1:2">
      <c r="A268">
        <v>3.93</v>
      </c>
      <c r="B268">
        <v>0.333333333333333</v>
      </c>
    </row>
    <row r="269" spans="1:2">
      <c r="A269">
        <v>3.94</v>
      </c>
      <c r="B269">
        <v>0.333333333333333</v>
      </c>
    </row>
    <row r="270" spans="1:2">
      <c r="A270">
        <v>3.95</v>
      </c>
      <c r="B270">
        <v>0.428571428571429</v>
      </c>
    </row>
    <row r="271" spans="1:2">
      <c r="A271">
        <v>3.96</v>
      </c>
      <c r="B271">
        <v>0.25</v>
      </c>
    </row>
    <row r="272" spans="1:2">
      <c r="A272">
        <v>3.97</v>
      </c>
      <c r="B272">
        <v>0.25</v>
      </c>
    </row>
    <row r="273" spans="1:2">
      <c r="A273">
        <v>3.98</v>
      </c>
      <c r="B273">
        <v>0</v>
      </c>
    </row>
    <row r="274" spans="1:2">
      <c r="A274">
        <v>3.99</v>
      </c>
      <c r="B274">
        <v>1</v>
      </c>
    </row>
    <row r="275" spans="1:2">
      <c r="A275">
        <v>4</v>
      </c>
      <c r="B275">
        <v>0.5</v>
      </c>
    </row>
    <row r="276" spans="1:2">
      <c r="A276">
        <v>4.01</v>
      </c>
      <c r="B276">
        <v>0</v>
      </c>
    </row>
    <row r="277" spans="1:2">
      <c r="A277">
        <v>4.02</v>
      </c>
      <c r="B277">
        <v>0.5</v>
      </c>
    </row>
    <row r="278" spans="1:2">
      <c r="A278">
        <v>4.03</v>
      </c>
      <c r="B278">
        <v>0</v>
      </c>
    </row>
    <row r="279" spans="1:2">
      <c r="A279">
        <v>4.04</v>
      </c>
      <c r="B279">
        <v>0</v>
      </c>
    </row>
    <row r="280" spans="1:2">
      <c r="A280">
        <v>4.05</v>
      </c>
      <c r="B280">
        <v>0</v>
      </c>
    </row>
    <row r="281" spans="1:2">
      <c r="A281">
        <v>4.06</v>
      </c>
      <c r="B281">
        <v>0.2</v>
      </c>
    </row>
    <row r="282" spans="1:2">
      <c r="A282">
        <v>4.07</v>
      </c>
      <c r="B282">
        <v>0.5</v>
      </c>
    </row>
    <row r="283" spans="1:2">
      <c r="A283">
        <v>4.08</v>
      </c>
      <c r="B283">
        <v>0</v>
      </c>
    </row>
    <row r="284" spans="1:2">
      <c r="A284">
        <v>4.09</v>
      </c>
      <c r="B284">
        <v>1</v>
      </c>
    </row>
    <row r="285" spans="1:2">
      <c r="A285">
        <v>4.11</v>
      </c>
      <c r="B285">
        <v>0.666666666666667</v>
      </c>
    </row>
    <row r="286" spans="1:2">
      <c r="A286">
        <v>4.12</v>
      </c>
      <c r="B286">
        <v>0.333333333333333</v>
      </c>
    </row>
    <row r="287" spans="1:2">
      <c r="A287">
        <v>4.13</v>
      </c>
      <c r="B287">
        <v>0.333333333333333</v>
      </c>
    </row>
    <row r="288" spans="1:2">
      <c r="A288">
        <v>4.14</v>
      </c>
      <c r="B288">
        <v>0.5</v>
      </c>
    </row>
    <row r="289" spans="1:2">
      <c r="A289">
        <v>4.15</v>
      </c>
      <c r="B289">
        <v>0</v>
      </c>
    </row>
    <row r="290" spans="1:2">
      <c r="A290">
        <v>4.16</v>
      </c>
      <c r="B290">
        <v>0</v>
      </c>
    </row>
    <row r="291" spans="1:2">
      <c r="A291">
        <v>4.19</v>
      </c>
      <c r="B291">
        <v>0.2</v>
      </c>
    </row>
    <row r="292" spans="1:2">
      <c r="A292">
        <v>4.2</v>
      </c>
      <c r="B292">
        <v>0.333333333333333</v>
      </c>
    </row>
    <row r="293" spans="1:2">
      <c r="A293">
        <v>4.21</v>
      </c>
      <c r="B293">
        <v>0.25</v>
      </c>
    </row>
    <row r="294" spans="1:2">
      <c r="A294">
        <v>4.22</v>
      </c>
      <c r="B294">
        <v>0.571428571428571</v>
      </c>
    </row>
    <row r="295" spans="1:2">
      <c r="A295">
        <v>4.23</v>
      </c>
      <c r="B295">
        <v>0.25</v>
      </c>
    </row>
    <row r="296" spans="1:2">
      <c r="A296">
        <v>4.24</v>
      </c>
      <c r="B296">
        <v>0.5</v>
      </c>
    </row>
    <row r="297" spans="1:2">
      <c r="A297">
        <v>4.26</v>
      </c>
      <c r="B297">
        <v>0</v>
      </c>
    </row>
    <row r="298" spans="1:2">
      <c r="A298">
        <v>4.27</v>
      </c>
      <c r="B298">
        <v>0</v>
      </c>
    </row>
    <row r="299" spans="1:2">
      <c r="A299">
        <v>4.28</v>
      </c>
      <c r="B299">
        <v>0</v>
      </c>
    </row>
    <row r="300" spans="1:2">
      <c r="A300">
        <v>4.29</v>
      </c>
      <c r="B300">
        <v>0.333333333333333</v>
      </c>
    </row>
    <row r="301" spans="1:2">
      <c r="A301">
        <v>4.3</v>
      </c>
      <c r="B301">
        <v>1</v>
      </c>
    </row>
    <row r="302" spans="1:2">
      <c r="A302">
        <v>4.31</v>
      </c>
      <c r="B302">
        <v>0.333333333333333</v>
      </c>
    </row>
    <row r="303" spans="1:2">
      <c r="A303">
        <v>4.32</v>
      </c>
      <c r="B303">
        <v>0</v>
      </c>
    </row>
    <row r="304" spans="1:2">
      <c r="A304">
        <v>4.33</v>
      </c>
      <c r="B304">
        <v>0.5</v>
      </c>
    </row>
    <row r="305" spans="1:2">
      <c r="A305">
        <v>4.34</v>
      </c>
      <c r="B305">
        <v>0.25</v>
      </c>
    </row>
    <row r="306" spans="1:2">
      <c r="A306">
        <v>4.35</v>
      </c>
      <c r="B306">
        <v>0.666666666666667</v>
      </c>
    </row>
    <row r="307" spans="1:2">
      <c r="A307">
        <v>4.36</v>
      </c>
      <c r="B307">
        <v>0</v>
      </c>
    </row>
    <row r="308" spans="1:2">
      <c r="A308">
        <v>4.37</v>
      </c>
      <c r="B308">
        <v>0.333333333333333</v>
      </c>
    </row>
    <row r="309" spans="1:2">
      <c r="A309">
        <v>4.38</v>
      </c>
      <c r="B309">
        <v>0.2</v>
      </c>
    </row>
    <row r="310" spans="1:2">
      <c r="A310">
        <v>4.39</v>
      </c>
      <c r="B310">
        <v>1</v>
      </c>
    </row>
    <row r="311" spans="1:2">
      <c r="A311">
        <v>4.4</v>
      </c>
      <c r="B311">
        <v>0.5</v>
      </c>
    </row>
    <row r="312" spans="1:2">
      <c r="A312">
        <v>4.41</v>
      </c>
      <c r="B312">
        <v>1</v>
      </c>
    </row>
    <row r="313" spans="1:2">
      <c r="A313">
        <v>4.42</v>
      </c>
      <c r="B313">
        <v>0.25</v>
      </c>
    </row>
    <row r="314" spans="1:2">
      <c r="A314">
        <v>4.43</v>
      </c>
      <c r="B314">
        <v>0</v>
      </c>
    </row>
    <row r="315" spans="1:2">
      <c r="A315">
        <v>4.44</v>
      </c>
      <c r="B315">
        <v>0.5</v>
      </c>
    </row>
    <row r="316" spans="1:2">
      <c r="A316">
        <v>4.45</v>
      </c>
      <c r="B316">
        <v>0.5</v>
      </c>
    </row>
    <row r="317" spans="1:2">
      <c r="A317">
        <v>4.46</v>
      </c>
      <c r="B317">
        <v>0.5</v>
      </c>
    </row>
    <row r="318" spans="1:2">
      <c r="A318">
        <v>4.48</v>
      </c>
      <c r="B318">
        <v>0</v>
      </c>
    </row>
    <row r="319" spans="1:2">
      <c r="A319">
        <v>4.49</v>
      </c>
      <c r="B319">
        <v>0.333333333333333</v>
      </c>
    </row>
    <row r="320" spans="1:2">
      <c r="A320">
        <v>4.5</v>
      </c>
      <c r="B320">
        <v>0</v>
      </c>
    </row>
    <row r="321" spans="1:2">
      <c r="A321">
        <v>4.51</v>
      </c>
      <c r="B321">
        <v>0.25</v>
      </c>
    </row>
    <row r="322" spans="1:2">
      <c r="A322">
        <v>4.52</v>
      </c>
      <c r="B322">
        <v>0</v>
      </c>
    </row>
    <row r="323" spans="1:2">
      <c r="A323">
        <v>4.53</v>
      </c>
      <c r="B323">
        <v>0.333333333333333</v>
      </c>
    </row>
    <row r="324" spans="1:2">
      <c r="A324">
        <v>4.54</v>
      </c>
      <c r="B324">
        <v>0.333333333333333</v>
      </c>
    </row>
    <row r="325" spans="1:2">
      <c r="A325">
        <v>4.55</v>
      </c>
      <c r="B325">
        <v>0</v>
      </c>
    </row>
    <row r="326" spans="1:2">
      <c r="A326">
        <v>4.57</v>
      </c>
      <c r="B326">
        <v>0</v>
      </c>
    </row>
    <row r="327" spans="1:2">
      <c r="A327">
        <v>4.58</v>
      </c>
      <c r="B327">
        <v>0</v>
      </c>
    </row>
    <row r="328" spans="1:2">
      <c r="A328">
        <v>4.59</v>
      </c>
      <c r="B328">
        <v>0</v>
      </c>
    </row>
    <row r="329" spans="1:2">
      <c r="A329">
        <v>4.6</v>
      </c>
      <c r="B329">
        <v>0</v>
      </c>
    </row>
    <row r="330" spans="1:2">
      <c r="A330">
        <v>4.61</v>
      </c>
      <c r="B330">
        <v>0.333333333333333</v>
      </c>
    </row>
    <row r="331" spans="1:2">
      <c r="A331">
        <v>4.62</v>
      </c>
      <c r="B331">
        <v>0.5</v>
      </c>
    </row>
    <row r="332" spans="1:2">
      <c r="A332">
        <v>4.63</v>
      </c>
      <c r="B332">
        <v>0.75</v>
      </c>
    </row>
    <row r="333" spans="1:2">
      <c r="A333">
        <v>4.64</v>
      </c>
      <c r="B333">
        <v>0.6</v>
      </c>
    </row>
    <row r="334" spans="1:2">
      <c r="A334">
        <v>4.65</v>
      </c>
      <c r="B334">
        <v>0</v>
      </c>
    </row>
    <row r="335" spans="1:2">
      <c r="A335">
        <v>4.66</v>
      </c>
      <c r="B335">
        <v>0</v>
      </c>
    </row>
    <row r="336" spans="1:2">
      <c r="A336">
        <v>4.67</v>
      </c>
      <c r="B336">
        <v>0.333333333333333</v>
      </c>
    </row>
    <row r="337" spans="1:2">
      <c r="A337">
        <v>4.68</v>
      </c>
      <c r="B337">
        <v>0</v>
      </c>
    </row>
    <row r="338" spans="1:2">
      <c r="A338">
        <v>4.69</v>
      </c>
      <c r="B338">
        <v>0</v>
      </c>
    </row>
    <row r="339" spans="1:2">
      <c r="A339">
        <v>4.7</v>
      </c>
      <c r="B339">
        <v>0</v>
      </c>
    </row>
    <row r="340" spans="1:2">
      <c r="A340">
        <v>4.71</v>
      </c>
      <c r="B340">
        <v>0</v>
      </c>
    </row>
    <row r="341" spans="1:2">
      <c r="A341">
        <v>4.72</v>
      </c>
      <c r="B341">
        <v>0</v>
      </c>
    </row>
    <row r="342" spans="1:2">
      <c r="A342">
        <v>4.73</v>
      </c>
      <c r="B342">
        <v>0.5</v>
      </c>
    </row>
    <row r="343" spans="1:2">
      <c r="A343">
        <v>4.74</v>
      </c>
      <c r="B343">
        <v>0.5</v>
      </c>
    </row>
    <row r="344" spans="1:2">
      <c r="A344">
        <v>4.75</v>
      </c>
      <c r="B344">
        <v>0.333333333333333</v>
      </c>
    </row>
    <row r="345" spans="1:2">
      <c r="A345">
        <v>4.76</v>
      </c>
      <c r="B345">
        <v>0.5</v>
      </c>
    </row>
    <row r="346" spans="1:2">
      <c r="A346">
        <v>4.78</v>
      </c>
      <c r="B346">
        <v>0</v>
      </c>
    </row>
    <row r="347" spans="1:2">
      <c r="A347">
        <v>4.79</v>
      </c>
      <c r="B347">
        <v>0.5</v>
      </c>
    </row>
    <row r="348" spans="1:2">
      <c r="A348">
        <v>4.8</v>
      </c>
      <c r="B348">
        <v>1</v>
      </c>
    </row>
    <row r="349" spans="1:2">
      <c r="A349">
        <v>4.81</v>
      </c>
      <c r="B349">
        <v>0.5</v>
      </c>
    </row>
    <row r="350" spans="1:2">
      <c r="A350">
        <v>4.82</v>
      </c>
      <c r="B350">
        <v>1</v>
      </c>
    </row>
    <row r="351" spans="1:2">
      <c r="A351">
        <v>4.83</v>
      </c>
      <c r="B351">
        <v>0.6</v>
      </c>
    </row>
    <row r="352" spans="1:2">
      <c r="A352">
        <v>4.84</v>
      </c>
      <c r="B352">
        <v>0.5</v>
      </c>
    </row>
    <row r="353" spans="1:2">
      <c r="A353">
        <v>4.85</v>
      </c>
      <c r="B353">
        <v>1</v>
      </c>
    </row>
    <row r="354" spans="1:2">
      <c r="A354">
        <v>4.86</v>
      </c>
      <c r="B354">
        <v>0.4</v>
      </c>
    </row>
    <row r="355" spans="1:2">
      <c r="A355">
        <v>4.87</v>
      </c>
      <c r="B355">
        <v>0.666666666666667</v>
      </c>
    </row>
    <row r="356" spans="1:2">
      <c r="A356">
        <v>4.88</v>
      </c>
      <c r="B356">
        <v>0.333333333333333</v>
      </c>
    </row>
    <row r="357" spans="1:2">
      <c r="A357">
        <v>4.89</v>
      </c>
      <c r="B357">
        <v>0.4</v>
      </c>
    </row>
    <row r="358" spans="1:2">
      <c r="A358">
        <v>4.9</v>
      </c>
      <c r="B358">
        <v>0.5</v>
      </c>
    </row>
    <row r="359" spans="1:2">
      <c r="A359">
        <v>4.91</v>
      </c>
      <c r="B359">
        <v>0.333333333333333</v>
      </c>
    </row>
    <row r="360" spans="1:2">
      <c r="A360">
        <v>4.92</v>
      </c>
      <c r="B360">
        <v>0.5</v>
      </c>
    </row>
    <row r="361" spans="1:2">
      <c r="A361">
        <v>4.93</v>
      </c>
      <c r="B361">
        <v>0</v>
      </c>
    </row>
    <row r="362" spans="1:2">
      <c r="A362">
        <v>4.94</v>
      </c>
      <c r="B362">
        <v>0</v>
      </c>
    </row>
    <row r="363" spans="1:2">
      <c r="A363">
        <v>4.95</v>
      </c>
      <c r="B363">
        <v>0.75</v>
      </c>
    </row>
    <row r="364" spans="1:2">
      <c r="A364">
        <v>4.96</v>
      </c>
      <c r="B364">
        <v>1</v>
      </c>
    </row>
    <row r="365" spans="1:2">
      <c r="A365">
        <v>4.97</v>
      </c>
      <c r="B365">
        <v>0.5</v>
      </c>
    </row>
    <row r="366" spans="1:2">
      <c r="A366">
        <v>4.98</v>
      </c>
      <c r="B366">
        <v>0.5</v>
      </c>
    </row>
    <row r="367" spans="1:2">
      <c r="A367">
        <v>4.99</v>
      </c>
      <c r="B367">
        <v>0.5</v>
      </c>
    </row>
    <row r="368" spans="1:2">
      <c r="A368">
        <v>5</v>
      </c>
      <c r="B368">
        <v>0</v>
      </c>
    </row>
    <row r="369" spans="1:1">
      <c r="A369" t="s">
        <v>193</v>
      </c>
    </row>
    <row r="370" spans="1:2">
      <c r="A370" t="s">
        <v>11</v>
      </c>
      <c r="B370">
        <v>0.347</v>
      </c>
    </row>
  </sheetData>
  <mergeCells count="1">
    <mergeCell ref="A1:G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A4" sqref="A4"/>
    </sheetView>
  </sheetViews>
  <sheetFormatPr defaultColWidth="8.88888888888889" defaultRowHeight="14.4"/>
  <cols>
    <col min="1" max="1" width="11.6666666666667"/>
    <col min="2" max="2" width="9.77777777777778"/>
    <col min="3" max="3" width="25.1111111111111"/>
  </cols>
  <sheetData>
    <row r="1" ht="18" spans="1:1">
      <c r="A1" s="1" t="s">
        <v>194</v>
      </c>
    </row>
    <row r="3" spans="1:10">
      <c r="A3" t="s">
        <v>1</v>
      </c>
      <c r="B3" t="s">
        <v>67</v>
      </c>
      <c r="C3" t="s">
        <v>55</v>
      </c>
      <c r="E3" s="30" t="s">
        <v>1</v>
      </c>
      <c r="F3" s="30" t="s">
        <v>67</v>
      </c>
      <c r="G3" s="30" t="s">
        <v>55</v>
      </c>
      <c r="J3" s="2" t="s">
        <v>195</v>
      </c>
    </row>
    <row r="4" spans="1:9">
      <c r="A4" t="s">
        <v>8</v>
      </c>
      <c r="C4">
        <v>5.16302083333333</v>
      </c>
      <c r="E4" s="31" t="s">
        <v>196</v>
      </c>
      <c r="F4" s="31"/>
      <c r="G4" s="3">
        <v>5.39335664335664</v>
      </c>
      <c r="H4" s="3"/>
      <c r="I4" s="3"/>
    </row>
    <row r="5" spans="2:7">
      <c r="B5" t="s">
        <v>70</v>
      </c>
      <c r="C5">
        <v>5.39193548387097</v>
      </c>
      <c r="F5" t="s">
        <v>70</v>
      </c>
      <c r="G5">
        <v>5.60967741935484</v>
      </c>
    </row>
    <row r="6" spans="2:7">
      <c r="B6" t="s">
        <v>71</v>
      </c>
      <c r="C6">
        <v>5.12571428571429</v>
      </c>
      <c r="F6" t="s">
        <v>71</v>
      </c>
      <c r="G6">
        <v>5.525</v>
      </c>
    </row>
    <row r="7" spans="2:7">
      <c r="B7" t="s">
        <v>44</v>
      </c>
      <c r="C7">
        <v>4.97</v>
      </c>
      <c r="F7" t="s">
        <v>44</v>
      </c>
      <c r="G7">
        <v>5.05567010309278</v>
      </c>
    </row>
    <row r="8" spans="1:9">
      <c r="A8" t="s">
        <v>10</v>
      </c>
      <c r="C8">
        <v>5.39189189189189</v>
      </c>
      <c r="E8" s="31" t="s">
        <v>197</v>
      </c>
      <c r="F8" s="31"/>
      <c r="G8" s="3">
        <v>5.38394584139265</v>
      </c>
      <c r="H8" s="3"/>
      <c r="I8" s="3"/>
    </row>
    <row r="9" spans="2:7">
      <c r="B9" t="s">
        <v>70</v>
      </c>
      <c r="C9">
        <v>4.83</v>
      </c>
      <c r="F9" t="s">
        <v>70</v>
      </c>
      <c r="G9">
        <v>5.42545454545455</v>
      </c>
    </row>
    <row r="10" spans="2:7">
      <c r="B10" t="s">
        <v>71</v>
      </c>
      <c r="C10">
        <v>5.40588235294118</v>
      </c>
      <c r="F10" t="s">
        <v>71</v>
      </c>
      <c r="G10">
        <v>5.33891891891892</v>
      </c>
    </row>
    <row r="11" spans="2:7">
      <c r="B11" t="s">
        <v>44</v>
      </c>
      <c r="C11">
        <v>5.93</v>
      </c>
      <c r="E11" s="32"/>
      <c r="F11" s="32" t="s">
        <v>44</v>
      </c>
      <c r="G11">
        <v>5.39281437125749</v>
      </c>
    </row>
    <row r="12" spans="1:9">
      <c r="A12" t="s">
        <v>6</v>
      </c>
      <c r="C12">
        <v>5.42268041237113</v>
      </c>
      <c r="E12" s="33" t="s">
        <v>11</v>
      </c>
      <c r="F12" s="33"/>
      <c r="G12" s="34">
        <v>5.4005</v>
      </c>
      <c r="H12" s="34"/>
      <c r="I12" s="34"/>
    </row>
    <row r="13" spans="2:3">
      <c r="B13" t="s">
        <v>70</v>
      </c>
      <c r="C13">
        <v>5.1031746031746</v>
      </c>
    </row>
    <row r="14" spans="2:3">
      <c r="B14" t="s">
        <v>71</v>
      </c>
      <c r="C14">
        <v>5.4984375</v>
      </c>
    </row>
    <row r="15" spans="2:3">
      <c r="B15" t="s">
        <v>44</v>
      </c>
      <c r="C15">
        <v>5.65074626865672</v>
      </c>
    </row>
    <row r="16" spans="1:3">
      <c r="A16" t="s">
        <v>9</v>
      </c>
      <c r="C16">
        <v>5.4510752688172</v>
      </c>
    </row>
    <row r="17" spans="2:3">
      <c r="B17" t="s">
        <v>70</v>
      </c>
      <c r="C17">
        <v>5.85254237288136</v>
      </c>
    </row>
    <row r="18" spans="2:3">
      <c r="B18" t="s">
        <v>71</v>
      </c>
      <c r="C18">
        <v>5.54918032786885</v>
      </c>
    </row>
    <row r="19" spans="2:3">
      <c r="B19" t="s">
        <v>44</v>
      </c>
      <c r="C19">
        <v>5.00151515151515</v>
      </c>
    </row>
    <row r="20" spans="1:3">
      <c r="A20" t="s">
        <v>4</v>
      </c>
      <c r="C20">
        <v>5.45431472081218</v>
      </c>
    </row>
    <row r="21" spans="2:3">
      <c r="B21" t="s">
        <v>70</v>
      </c>
      <c r="C21">
        <v>5.16603773584906</v>
      </c>
    </row>
    <row r="22" spans="2:3">
      <c r="B22" t="s">
        <v>71</v>
      </c>
      <c r="C22">
        <v>5.67083333333333</v>
      </c>
    </row>
    <row r="23" spans="2:3">
      <c r="B23" t="s">
        <v>44</v>
      </c>
      <c r="C23">
        <v>5.45</v>
      </c>
    </row>
    <row r="24" spans="1:3">
      <c r="A24" t="s">
        <v>7</v>
      </c>
      <c r="C24">
        <v>5.51185567010309</v>
      </c>
    </row>
    <row r="25" spans="2:3">
      <c r="B25" t="s">
        <v>70</v>
      </c>
      <c r="C25">
        <v>5.7421875</v>
      </c>
    </row>
    <row r="26" spans="2:3">
      <c r="B26" t="s">
        <v>71</v>
      </c>
      <c r="C26">
        <v>5.46376811594203</v>
      </c>
    </row>
    <row r="27" spans="2:3">
      <c r="B27" t="s">
        <v>44</v>
      </c>
      <c r="C27">
        <v>5.32459016393443</v>
      </c>
    </row>
    <row r="28" spans="1:3">
      <c r="A28" t="s">
        <v>11</v>
      </c>
      <c r="C28">
        <v>5.4005</v>
      </c>
    </row>
  </sheetData>
  <mergeCells count="10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</mergeCells>
  <pageMargins left="0.75" right="0.75" top="1" bottom="1" header="0.5" footer="0.5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L16" sqref="L16"/>
    </sheetView>
  </sheetViews>
  <sheetFormatPr defaultColWidth="8.88888888888889" defaultRowHeight="14.4"/>
  <cols>
    <col min="1" max="1" width="13.8888888888889"/>
    <col min="2" max="2" width="18.5555555555556"/>
    <col min="3" max="3" width="24.4444444444444"/>
  </cols>
  <sheetData>
    <row r="1" spans="1:1">
      <c r="A1" s="1" t="s">
        <v>198</v>
      </c>
    </row>
    <row r="3" spans="1:4">
      <c r="A3" t="s">
        <v>24</v>
      </c>
      <c r="B3" t="s">
        <v>59</v>
      </c>
      <c r="C3" t="s">
        <v>199</v>
      </c>
      <c r="D3" s="2" t="s">
        <v>200</v>
      </c>
    </row>
    <row r="4" spans="1:3">
      <c r="A4" t="s">
        <v>29</v>
      </c>
      <c r="C4">
        <v>244</v>
      </c>
    </row>
    <row r="5" spans="2:3">
      <c r="B5" t="s">
        <v>61</v>
      </c>
      <c r="C5">
        <v>141</v>
      </c>
    </row>
    <row r="6" spans="2:3">
      <c r="B6" t="s">
        <v>63</v>
      </c>
      <c r="C6">
        <v>103</v>
      </c>
    </row>
    <row r="7" spans="1:3">
      <c r="A7" t="s">
        <v>30</v>
      </c>
      <c r="C7">
        <v>235</v>
      </c>
    </row>
    <row r="8" spans="2:3">
      <c r="B8" t="s">
        <v>61</v>
      </c>
      <c r="C8">
        <v>125</v>
      </c>
    </row>
    <row r="9" spans="2:3">
      <c r="B9" t="s">
        <v>63</v>
      </c>
      <c r="C9">
        <v>110</v>
      </c>
    </row>
    <row r="10" spans="1:3">
      <c r="A10" t="s">
        <v>32</v>
      </c>
      <c r="C10">
        <v>270</v>
      </c>
    </row>
    <row r="11" spans="2:3">
      <c r="B11" t="s">
        <v>61</v>
      </c>
      <c r="C11">
        <v>132</v>
      </c>
    </row>
    <row r="12" spans="2:3">
      <c r="B12" t="s">
        <v>63</v>
      </c>
      <c r="C12">
        <v>138</v>
      </c>
    </row>
    <row r="13" spans="1:3">
      <c r="A13" t="s">
        <v>34</v>
      </c>
      <c r="C13">
        <v>251</v>
      </c>
    </row>
    <row r="14" spans="2:3">
      <c r="B14" t="s">
        <v>61</v>
      </c>
      <c r="C14">
        <v>131</v>
      </c>
    </row>
    <row r="15" spans="2:3">
      <c r="B15" t="s">
        <v>63</v>
      </c>
      <c r="C15">
        <v>120</v>
      </c>
    </row>
    <row r="16" spans="1:3">
      <c r="A16" t="s">
        <v>11</v>
      </c>
      <c r="C16">
        <v>1000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F7" sqref="F7"/>
    </sheetView>
  </sheetViews>
  <sheetFormatPr defaultColWidth="8.88888888888889" defaultRowHeight="14.4"/>
  <cols>
    <col min="1" max="1" width="13.8888888888889"/>
    <col min="2" max="2" width="22.4444444444444"/>
    <col min="3" max="3" width="36.1111111111111"/>
  </cols>
  <sheetData>
    <row r="1" spans="1:1">
      <c r="A1" s="1" t="s">
        <v>201</v>
      </c>
    </row>
    <row r="3" spans="1:12">
      <c r="A3" t="s">
        <v>24</v>
      </c>
      <c r="B3" t="s">
        <v>73</v>
      </c>
      <c r="C3" t="s">
        <v>60</v>
      </c>
      <c r="D3" s="2" t="s">
        <v>202</v>
      </c>
      <c r="E3" s="2"/>
      <c r="F3" s="2"/>
      <c r="G3" s="2"/>
      <c r="H3" s="2"/>
      <c r="I3" s="2"/>
      <c r="J3" s="2"/>
      <c r="K3" s="2"/>
      <c r="L3" s="2"/>
    </row>
    <row r="4" spans="1:12">
      <c r="A4" t="s">
        <v>29</v>
      </c>
      <c r="C4">
        <v>12.2732919254658</v>
      </c>
      <c r="D4" s="2" t="s">
        <v>202</v>
      </c>
      <c r="E4" s="2"/>
      <c r="F4" s="2"/>
      <c r="G4" s="2" t="s">
        <v>203</v>
      </c>
      <c r="H4" s="2" t="s">
        <v>204</v>
      </c>
      <c r="I4" s="2"/>
      <c r="J4" s="2"/>
      <c r="K4" s="2"/>
      <c r="L4" s="2"/>
    </row>
    <row r="5" spans="2:3">
      <c r="B5" t="s">
        <v>205</v>
      </c>
      <c r="C5">
        <v>12.0458823529412</v>
      </c>
    </row>
    <row r="6" spans="2:3">
      <c r="B6" t="s">
        <v>206</v>
      </c>
      <c r="C6">
        <v>12.5276315789474</v>
      </c>
    </row>
    <row r="7" spans="1:3">
      <c r="A7" t="s">
        <v>30</v>
      </c>
      <c r="C7">
        <v>11.3544871794872</v>
      </c>
    </row>
    <row r="8" spans="2:3">
      <c r="B8" t="s">
        <v>205</v>
      </c>
      <c r="C8">
        <v>11.6776315789474</v>
      </c>
    </row>
    <row r="9" spans="2:3">
      <c r="B9" t="s">
        <v>206</v>
      </c>
      <c r="C9">
        <v>11.0475</v>
      </c>
    </row>
    <row r="10" spans="1:3">
      <c r="A10" t="s">
        <v>32</v>
      </c>
      <c r="C10">
        <v>11.6109289617486</v>
      </c>
    </row>
    <row r="11" spans="2:3">
      <c r="B11" t="s">
        <v>205</v>
      </c>
      <c r="C11">
        <v>11.8303797468354</v>
      </c>
    </row>
    <row r="12" spans="2:3">
      <c r="B12" t="s">
        <v>206</v>
      </c>
      <c r="C12">
        <v>11.4442307692308</v>
      </c>
    </row>
    <row r="13" spans="1:3">
      <c r="A13" t="s">
        <v>34</v>
      </c>
      <c r="C13">
        <v>11.5974683544304</v>
      </c>
    </row>
    <row r="14" spans="2:3">
      <c r="B14" t="s">
        <v>205</v>
      </c>
      <c r="C14">
        <v>11.9267605633803</v>
      </c>
    </row>
    <row r="15" spans="2:3">
      <c r="B15" t="s">
        <v>206</v>
      </c>
      <c r="C15">
        <v>11.3287356321839</v>
      </c>
    </row>
    <row r="16" spans="1:3">
      <c r="A16" t="s">
        <v>11</v>
      </c>
      <c r="C16">
        <v>11.7089665653495</v>
      </c>
    </row>
  </sheetData>
  <mergeCells count="1">
    <mergeCell ref="A1:F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J11" sqref="J11:J12"/>
    </sheetView>
  </sheetViews>
  <sheetFormatPr defaultColWidth="8.88888888888889" defaultRowHeight="14.4" outlineLevelCol="7"/>
  <cols>
    <col min="1" max="1" width="16.2222222222222"/>
    <col min="2" max="2" width="13.8888888888889"/>
    <col min="3" max="3" width="24.2222222222222"/>
  </cols>
  <sheetData>
    <row r="1" spans="1:1">
      <c r="A1" s="1" t="s">
        <v>207</v>
      </c>
    </row>
    <row r="3" spans="1:3">
      <c r="A3" t="s">
        <v>38</v>
      </c>
      <c r="B3" t="s">
        <v>24</v>
      </c>
      <c r="C3" t="s">
        <v>68</v>
      </c>
    </row>
    <row r="4" spans="1:3">
      <c r="A4" t="s">
        <v>39</v>
      </c>
      <c r="C4" s="29">
        <v>14.63125</v>
      </c>
    </row>
    <row r="5" spans="2:3">
      <c r="B5" t="s">
        <v>29</v>
      </c>
      <c r="C5" s="29">
        <v>14.044</v>
      </c>
    </row>
    <row r="6" spans="2:3">
      <c r="B6" t="s">
        <v>30</v>
      </c>
      <c r="C6" s="29">
        <v>15.9756756756757</v>
      </c>
    </row>
    <row r="7" spans="2:3">
      <c r="B7" t="s">
        <v>32</v>
      </c>
      <c r="C7" s="29">
        <v>14.1384615384615</v>
      </c>
    </row>
    <row r="8" spans="2:3">
      <c r="B8" t="s">
        <v>34</v>
      </c>
      <c r="C8" s="29">
        <v>14.8392857142857</v>
      </c>
    </row>
    <row r="9" spans="1:3">
      <c r="A9" t="s">
        <v>41</v>
      </c>
      <c r="C9" s="29">
        <v>15.7613861386139</v>
      </c>
    </row>
    <row r="10" spans="2:3">
      <c r="B10" t="s">
        <v>29</v>
      </c>
      <c r="C10" s="29">
        <v>16.7195652173913</v>
      </c>
    </row>
    <row r="11" spans="2:3">
      <c r="B11" t="s">
        <v>30</v>
      </c>
      <c r="C11" s="29">
        <v>16.0235294117647</v>
      </c>
    </row>
    <row r="12" spans="2:3">
      <c r="B12" t="s">
        <v>32</v>
      </c>
      <c r="C12" s="29">
        <v>13.5775510204082</v>
      </c>
    </row>
    <row r="13" spans="2:3">
      <c r="B13" t="s">
        <v>34</v>
      </c>
      <c r="C13" s="29">
        <v>16.6464285714286</v>
      </c>
    </row>
    <row r="14" spans="1:3">
      <c r="A14" t="s">
        <v>42</v>
      </c>
      <c r="C14" s="29">
        <v>14.5298507462687</v>
      </c>
    </row>
    <row r="15" spans="2:3">
      <c r="B15" t="s">
        <v>29</v>
      </c>
      <c r="C15" s="29">
        <v>14.3396226415094</v>
      </c>
    </row>
    <row r="16" spans="2:3">
      <c r="B16" t="s">
        <v>30</v>
      </c>
      <c r="C16" s="29">
        <v>14.0979166666667</v>
      </c>
    </row>
    <row r="17" spans="2:3">
      <c r="B17" t="s">
        <v>32</v>
      </c>
      <c r="C17" s="29">
        <v>14.2473684210526</v>
      </c>
    </row>
    <row r="18" spans="2:3">
      <c r="B18" t="s">
        <v>34</v>
      </c>
      <c r="C18" s="29">
        <v>15.6209302325581</v>
      </c>
    </row>
    <row r="19" spans="1:3">
      <c r="A19" t="s">
        <v>43</v>
      </c>
      <c r="C19" s="29">
        <v>14.9267676767677</v>
      </c>
    </row>
    <row r="20" spans="2:3">
      <c r="B20" t="s">
        <v>29</v>
      </c>
      <c r="C20" s="29">
        <v>14.9255319148936</v>
      </c>
    </row>
    <row r="21" spans="2:3">
      <c r="B21" t="s">
        <v>30</v>
      </c>
      <c r="C21" s="29">
        <v>13.8627450980392</v>
      </c>
    </row>
    <row r="22" spans="2:3">
      <c r="B22" t="s">
        <v>32</v>
      </c>
      <c r="C22" s="29">
        <v>15.8981481481482</v>
      </c>
    </row>
    <row r="23" spans="2:3">
      <c r="B23" t="s">
        <v>34</v>
      </c>
      <c r="C23" s="29">
        <v>14.9673913043478</v>
      </c>
    </row>
    <row r="24" spans="1:3">
      <c r="A24" t="s">
        <v>44</v>
      </c>
      <c r="C24" s="29">
        <v>14.9539267015707</v>
      </c>
    </row>
    <row r="25" spans="2:3">
      <c r="B25" t="s">
        <v>29</v>
      </c>
      <c r="C25" s="29">
        <v>14.3875</v>
      </c>
    </row>
    <row r="26" spans="2:3">
      <c r="B26" t="s">
        <v>30</v>
      </c>
      <c r="C26" s="29">
        <v>16.0729166666667</v>
      </c>
    </row>
    <row r="27" spans="2:3">
      <c r="B27" t="s">
        <v>32</v>
      </c>
      <c r="C27" s="29">
        <v>15.3133333333333</v>
      </c>
    </row>
    <row r="28" spans="2:3">
      <c r="B28" t="s">
        <v>34</v>
      </c>
      <c r="C28" s="29">
        <v>14.1</v>
      </c>
    </row>
    <row r="29" spans="1:3">
      <c r="A29" t="s">
        <v>11</v>
      </c>
      <c r="C29" s="29">
        <v>14.9593</v>
      </c>
    </row>
  </sheetData>
  <mergeCells count="1">
    <mergeCell ref="A1:H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L26" sqref="L26"/>
    </sheetView>
  </sheetViews>
  <sheetFormatPr defaultColWidth="8.88888888888889" defaultRowHeight="14.4"/>
  <cols>
    <col min="1" max="1" width="14.2222222222222"/>
    <col min="2" max="2" width="22.4444444444444"/>
    <col min="3" max="3" width="27.4444444444444"/>
  </cols>
  <sheetData>
    <row r="1" spans="1:1">
      <c r="A1" s="1" t="s">
        <v>208</v>
      </c>
    </row>
    <row r="3" spans="1:15">
      <c r="A3" t="s">
        <v>77</v>
      </c>
      <c r="B3" t="s">
        <v>73</v>
      </c>
      <c r="C3" t="s">
        <v>209</v>
      </c>
      <c r="D3" s="2" t="s">
        <v>210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3">
      <c r="A4" t="s">
        <v>83</v>
      </c>
      <c r="C4" s="26">
        <v>2.95316037735849</v>
      </c>
    </row>
    <row r="5" spans="2:3">
      <c r="B5" t="s">
        <v>205</v>
      </c>
      <c r="C5" s="26">
        <v>2.89593220338983</v>
      </c>
    </row>
    <row r="6" spans="2:3">
      <c r="B6" t="s">
        <v>206</v>
      </c>
      <c r="C6" s="26">
        <v>3.20970588235294</v>
      </c>
    </row>
    <row r="7" spans="2:3">
      <c r="B7" t="s">
        <v>211</v>
      </c>
      <c r="C7" s="26">
        <v>2.78764705882353</v>
      </c>
    </row>
    <row r="8" spans="1:3">
      <c r="A8" t="s">
        <v>78</v>
      </c>
      <c r="C8" s="26">
        <v>3.04015306122449</v>
      </c>
    </row>
    <row r="9" spans="2:3">
      <c r="B9" t="s">
        <v>205</v>
      </c>
      <c r="C9" s="26">
        <v>3.13661764705882</v>
      </c>
    </row>
    <row r="10" spans="2:3">
      <c r="B10" t="s">
        <v>206</v>
      </c>
      <c r="C10" s="26">
        <v>2.79871428571429</v>
      </c>
    </row>
    <row r="11" spans="2:3">
      <c r="B11" t="s">
        <v>211</v>
      </c>
      <c r="C11" s="26">
        <v>3.21844827586207</v>
      </c>
    </row>
    <row r="12" spans="1:3">
      <c r="A12" t="s">
        <v>80</v>
      </c>
      <c r="C12" s="26">
        <v>3.00218009478673</v>
      </c>
    </row>
    <row r="13" spans="2:3">
      <c r="B13" t="s">
        <v>205</v>
      </c>
      <c r="C13" s="26">
        <v>2.90537313432836</v>
      </c>
    </row>
    <row r="14" spans="2:3">
      <c r="B14" t="s">
        <v>206</v>
      </c>
      <c r="C14" s="26">
        <v>2.82212121212121</v>
      </c>
    </row>
    <row r="15" spans="2:3">
      <c r="B15" t="s">
        <v>211</v>
      </c>
      <c r="C15" s="26">
        <v>3.23769230769231</v>
      </c>
    </row>
    <row r="16" spans="1:3">
      <c r="A16" t="s">
        <v>82</v>
      </c>
      <c r="C16" s="26">
        <v>3.00587939698493</v>
      </c>
    </row>
    <row r="17" spans="2:3">
      <c r="B17" t="s">
        <v>205</v>
      </c>
      <c r="C17" s="26">
        <v>3.17456140350877</v>
      </c>
    </row>
    <row r="18" spans="2:3">
      <c r="B18" t="s">
        <v>206</v>
      </c>
      <c r="C18" s="26">
        <v>2.81555555555556</v>
      </c>
    </row>
    <row r="19" spans="2:3">
      <c r="B19" t="s">
        <v>211</v>
      </c>
      <c r="C19" s="26">
        <v>3.06428571428571</v>
      </c>
    </row>
    <row r="20" spans="1:3">
      <c r="A20" t="s">
        <v>81</v>
      </c>
      <c r="C20" s="26">
        <v>2.89642857142857</v>
      </c>
    </row>
    <row r="21" spans="2:3">
      <c r="B21" t="s">
        <v>205</v>
      </c>
      <c r="C21" s="26">
        <v>2.8275</v>
      </c>
    </row>
    <row r="22" spans="2:3">
      <c r="B22" t="s">
        <v>206</v>
      </c>
      <c r="C22" s="26">
        <v>2.89295774647887</v>
      </c>
    </row>
    <row r="23" spans="2:3">
      <c r="B23" t="s">
        <v>211</v>
      </c>
      <c r="C23" s="26">
        <v>2.98235294117647</v>
      </c>
    </row>
    <row r="24" spans="1:3">
      <c r="A24" t="s">
        <v>11</v>
      </c>
      <c r="C24" s="26">
        <v>2.98072</v>
      </c>
    </row>
  </sheetData>
  <mergeCells count="1">
    <mergeCell ref="A1:G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J14" sqref="J14"/>
    </sheetView>
  </sheetViews>
  <sheetFormatPr defaultColWidth="8.88888888888889" defaultRowHeight="14.4" outlineLevelCol="4"/>
  <cols>
    <col min="1" max="1" width="13.8888888888889"/>
    <col min="2" max="2" width="9.77777777777778"/>
    <col min="3" max="3" width="28.2222222222222"/>
  </cols>
  <sheetData>
    <row r="1" ht="18" spans="1:5">
      <c r="A1" s="1" t="s">
        <v>212</v>
      </c>
      <c r="B1" s="1"/>
      <c r="C1" s="1"/>
      <c r="D1" s="1"/>
      <c r="E1" s="1"/>
    </row>
    <row r="2" ht="18" spans="1:5">
      <c r="A2" s="1"/>
      <c r="B2" s="1"/>
      <c r="C2" s="1"/>
      <c r="D2" s="1"/>
      <c r="E2" s="1"/>
    </row>
    <row r="3" spans="1:4">
      <c r="A3" t="s">
        <v>24</v>
      </c>
      <c r="B3" t="s">
        <v>67</v>
      </c>
      <c r="C3" t="s">
        <v>186</v>
      </c>
      <c r="D3" s="28" t="s">
        <v>213</v>
      </c>
    </row>
    <row r="4" spans="1:3">
      <c r="A4" t="s">
        <v>29</v>
      </c>
      <c r="C4" s="26">
        <v>0.311475409836066</v>
      </c>
    </row>
    <row r="5" spans="2:3">
      <c r="B5" t="s">
        <v>70</v>
      </c>
      <c r="C5" s="26">
        <v>0.376811594202899</v>
      </c>
    </row>
    <row r="6" spans="2:3">
      <c r="B6" t="s">
        <v>71</v>
      </c>
      <c r="C6" s="26">
        <v>0.306122448979592</v>
      </c>
    </row>
    <row r="7" spans="2:3">
      <c r="B7" t="s">
        <v>44</v>
      </c>
      <c r="C7" s="26">
        <v>0.25974025974026</v>
      </c>
    </row>
    <row r="8" spans="1:3">
      <c r="A8" t="s">
        <v>30</v>
      </c>
      <c r="C8" s="26">
        <v>0.340425531914894</v>
      </c>
    </row>
    <row r="9" spans="2:3">
      <c r="B9" t="s">
        <v>70</v>
      </c>
      <c r="C9" s="26">
        <v>0.311688311688312</v>
      </c>
    </row>
    <row r="10" spans="2:3">
      <c r="B10" t="s">
        <v>71</v>
      </c>
      <c r="C10" s="26">
        <v>0.338235294117647</v>
      </c>
    </row>
    <row r="11" spans="2:3">
      <c r="B11" t="s">
        <v>44</v>
      </c>
      <c r="C11" s="26">
        <v>0.366666666666667</v>
      </c>
    </row>
    <row r="12" spans="1:3">
      <c r="A12" t="s">
        <v>32</v>
      </c>
      <c r="C12" s="26">
        <v>0.385185185185185</v>
      </c>
    </row>
    <row r="13" spans="2:3">
      <c r="B13" t="s">
        <v>70</v>
      </c>
      <c r="C13" s="26">
        <v>0.404494382022472</v>
      </c>
    </row>
    <row r="14" spans="2:3">
      <c r="B14" t="s">
        <v>71</v>
      </c>
      <c r="C14" s="26">
        <v>0.4</v>
      </c>
    </row>
    <row r="15" spans="2:3">
      <c r="B15" t="s">
        <v>44</v>
      </c>
      <c r="C15" s="26">
        <v>0.351648351648352</v>
      </c>
    </row>
    <row r="16" spans="1:3">
      <c r="A16" t="s">
        <v>34</v>
      </c>
      <c r="C16" s="26">
        <v>0.346613545816733</v>
      </c>
    </row>
    <row r="17" spans="2:3">
      <c r="B17" t="s">
        <v>70</v>
      </c>
      <c r="C17" s="26">
        <v>0.447368421052632</v>
      </c>
    </row>
    <row r="18" spans="2:3">
      <c r="B18" t="s">
        <v>71</v>
      </c>
      <c r="C18" s="26">
        <v>0.309278350515464</v>
      </c>
    </row>
    <row r="19" spans="2:3">
      <c r="B19" t="s">
        <v>44</v>
      </c>
      <c r="C19" s="26">
        <v>0.294871794871795</v>
      </c>
    </row>
    <row r="20" spans="1:3">
      <c r="A20" t="s">
        <v>11</v>
      </c>
      <c r="C20">
        <v>0.347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E11" sqref="E11"/>
    </sheetView>
  </sheetViews>
  <sheetFormatPr defaultColWidth="8.88888888888889" defaultRowHeight="14.4"/>
  <cols>
    <col min="1" max="171" width="26.5555555555556"/>
    <col min="172" max="173" width="11.4444444444444"/>
    <col min="174" max="182" width="15"/>
    <col min="183" max="183" width="11.4444444444444"/>
  </cols>
  <sheetData>
    <row r="1" spans="1:1">
      <c r="A1" s="1" t="s">
        <v>214</v>
      </c>
    </row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mergeCells count="1">
    <mergeCell ref="A1:I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2"/>
    </sheetView>
  </sheetViews>
  <sheetFormatPr defaultColWidth="8.88888888888889" defaultRowHeight="14.4" outlineLevelRow="7" outlineLevelCol="7"/>
  <cols>
    <col min="1" max="1" width="13.4444444444444"/>
    <col min="2" max="2" width="28.2222222222222"/>
  </cols>
  <sheetData>
    <row r="1" spans="1:1">
      <c r="A1" s="1" t="s">
        <v>215</v>
      </c>
    </row>
    <row r="3" spans="1:8">
      <c r="A3" s="27" t="s">
        <v>13</v>
      </c>
      <c r="B3" t="s">
        <v>186</v>
      </c>
      <c r="C3" s="2" t="s">
        <v>216</v>
      </c>
      <c r="D3" s="28"/>
      <c r="E3" s="28"/>
      <c r="F3" s="28"/>
      <c r="G3" s="28"/>
      <c r="H3" s="28"/>
    </row>
    <row r="4" spans="1:2">
      <c r="A4" t="s">
        <v>16</v>
      </c>
      <c r="B4" s="26">
        <v>0.307392996108949</v>
      </c>
    </row>
    <row r="5" spans="1:2">
      <c r="A5" t="s">
        <v>18</v>
      </c>
      <c r="B5" s="26">
        <v>0.423387096774194</v>
      </c>
    </row>
    <row r="6" spans="1:2">
      <c r="A6" t="s">
        <v>19</v>
      </c>
      <c r="B6" s="26">
        <v>0.305882352941177</v>
      </c>
    </row>
    <row r="7" spans="1:2">
      <c r="A7" t="s">
        <v>20</v>
      </c>
      <c r="B7" s="26">
        <v>0.354166666666667</v>
      </c>
    </row>
    <row r="8" spans="1:2">
      <c r="A8" t="s">
        <v>11</v>
      </c>
      <c r="B8">
        <v>0.347</v>
      </c>
    </row>
  </sheetData>
  <mergeCells count="1">
    <mergeCell ref="A1:H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L14" sqref="L14"/>
    </sheetView>
  </sheetViews>
  <sheetFormatPr defaultColWidth="8.88888888888889" defaultRowHeight="14.4" outlineLevelRow="6"/>
  <cols>
    <col min="1" max="1" width="11.6666666666667"/>
    <col min="2" max="2" width="16.2222222222222"/>
  </cols>
  <sheetData>
    <row r="1" ht="18" spans="1:16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">
      <c r="A3" t="s">
        <v>67</v>
      </c>
      <c r="B3" t="s">
        <v>218</v>
      </c>
      <c r="C3" s="2" t="s">
        <v>219</v>
      </c>
    </row>
    <row r="4" spans="1:2">
      <c r="A4" t="s">
        <v>70</v>
      </c>
      <c r="B4">
        <v>311</v>
      </c>
    </row>
    <row r="5" spans="1:2">
      <c r="A5" t="s">
        <v>71</v>
      </c>
      <c r="B5">
        <v>353</v>
      </c>
    </row>
    <row r="6" spans="1:2">
      <c r="A6" t="s">
        <v>44</v>
      </c>
      <c r="B6">
        <v>336</v>
      </c>
    </row>
    <row r="7" spans="1:2">
      <c r="A7" t="s">
        <v>11</v>
      </c>
      <c r="B7">
        <v>1000</v>
      </c>
    </row>
  </sheetData>
  <pageMargins left="0.75" right="0.75" top="1" bottom="1" header="0.5" footer="0.5"/>
  <headerFooter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C3" sqref="C3"/>
    </sheetView>
  </sheetViews>
  <sheetFormatPr defaultColWidth="8.88888888888889" defaultRowHeight="14.4" outlineLevelRow="7"/>
  <cols>
    <col min="1" max="1" width="13.8888888888889"/>
    <col min="2" max="2" width="20.1111111111111"/>
  </cols>
  <sheetData>
    <row r="1" spans="1:1">
      <c r="A1" s="1" t="s">
        <v>220</v>
      </c>
    </row>
    <row r="3" spans="1:3">
      <c r="A3" t="s">
        <v>24</v>
      </c>
      <c r="B3" t="s">
        <v>221</v>
      </c>
      <c r="C3" s="2" t="s">
        <v>222</v>
      </c>
    </row>
    <row r="4" spans="1:2">
      <c r="A4" t="s">
        <v>29</v>
      </c>
      <c r="B4">
        <v>244</v>
      </c>
    </row>
    <row r="5" spans="1:2">
      <c r="A5" t="s">
        <v>30</v>
      </c>
      <c r="B5">
        <v>235</v>
      </c>
    </row>
    <row r="6" spans="1:2">
      <c r="A6" t="s">
        <v>32</v>
      </c>
      <c r="B6">
        <v>270</v>
      </c>
    </row>
    <row r="7" spans="1:2">
      <c r="A7" t="s">
        <v>34</v>
      </c>
      <c r="B7">
        <v>251</v>
      </c>
    </row>
    <row r="8" spans="1:2">
      <c r="A8" t="s">
        <v>11</v>
      </c>
      <c r="B8">
        <v>1000</v>
      </c>
    </row>
  </sheetData>
  <mergeCells count="1">
    <mergeCell ref="A1:K2"/>
  </mergeCells>
  <pageMargins left="0.75" right="0.75" top="1" bottom="1" header="0.5" footer="0.5"/>
  <headerFooter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M13" sqref="M13"/>
    </sheetView>
  </sheetViews>
  <sheetFormatPr defaultColWidth="8.88888888888889" defaultRowHeight="14.4" outlineLevelRow="7"/>
  <cols>
    <col min="1" max="1" width="13.8888888888889"/>
    <col min="2" max="2" width="25.1111111111111"/>
  </cols>
  <sheetData>
    <row r="1" spans="1:11">
      <c r="A1" s="24" t="s">
        <v>223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3">
      <c r="A3" t="s">
        <v>24</v>
      </c>
      <c r="B3" t="s">
        <v>55</v>
      </c>
      <c r="C3" s="2" t="s">
        <v>224</v>
      </c>
    </row>
    <row r="4" spans="1:2">
      <c r="A4" t="s">
        <v>29</v>
      </c>
      <c r="B4" s="26">
        <v>5.50819672131147</v>
      </c>
    </row>
    <row r="5" spans="1:2">
      <c r="A5" t="s">
        <v>30</v>
      </c>
      <c r="B5" s="26">
        <v>5.2663829787234</v>
      </c>
    </row>
    <row r="6" spans="1:2">
      <c r="A6" t="s">
        <v>32</v>
      </c>
      <c r="B6" s="26">
        <v>5.27481481481481</v>
      </c>
    </row>
    <row r="7" spans="1:2">
      <c r="A7" t="s">
        <v>34</v>
      </c>
      <c r="B7" s="26">
        <v>5.55657370517928</v>
      </c>
    </row>
    <row r="8" spans="1:2">
      <c r="A8" t="s">
        <v>11</v>
      </c>
      <c r="B8" s="26">
        <v>5.4005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L10" sqref="L10"/>
    </sheetView>
  </sheetViews>
  <sheetFormatPr defaultColWidth="8.88888888888889" defaultRowHeight="14.4" outlineLevelRow="7"/>
  <cols>
    <col min="1" max="1" width="13.8888888888889"/>
    <col min="2" max="2" width="20.8888888888889"/>
  </cols>
  <sheetData>
    <row r="1" ht="18" spans="1:10">
      <c r="A1" s="4" t="s">
        <v>225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1">
      <c r="A3" t="s">
        <v>24</v>
      </c>
      <c r="B3" t="s">
        <v>22</v>
      </c>
      <c r="C3" s="2" t="s">
        <v>226</v>
      </c>
      <c r="D3" s="3"/>
      <c r="E3" s="3"/>
      <c r="F3" s="3"/>
      <c r="G3" s="3"/>
      <c r="H3" s="3"/>
      <c r="I3" s="3"/>
      <c r="J3" s="3"/>
      <c r="K3" s="3"/>
    </row>
    <row r="4" spans="1:2">
      <c r="A4" t="s">
        <v>29</v>
      </c>
      <c r="B4">
        <v>244</v>
      </c>
    </row>
    <row r="5" spans="1:2">
      <c r="A5" t="s">
        <v>30</v>
      </c>
      <c r="B5">
        <v>235</v>
      </c>
    </row>
    <row r="6" spans="1:2">
      <c r="A6" t="s">
        <v>32</v>
      </c>
      <c r="B6">
        <v>270</v>
      </c>
    </row>
    <row r="7" spans="1:2">
      <c r="A7" t="s">
        <v>34</v>
      </c>
      <c r="B7">
        <v>251</v>
      </c>
    </row>
    <row r="8" spans="1:2">
      <c r="A8" t="s">
        <v>11</v>
      </c>
      <c r="B8">
        <v>1000</v>
      </c>
    </row>
  </sheetData>
  <pageMargins left="0.75" right="0.75" top="1" bottom="1" header="0.5" footer="0.5"/>
  <headerFooter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M9" sqref="M9"/>
    </sheetView>
  </sheetViews>
  <sheetFormatPr defaultColWidth="8.88888888888889" defaultRowHeight="14.4" outlineLevelRow="7"/>
  <cols>
    <col min="1" max="1" width="13.8888888888889"/>
    <col min="2" max="2" width="24.2222222222222"/>
  </cols>
  <sheetData>
    <row r="1" spans="1:1">
      <c r="A1" s="4" t="s">
        <v>227</v>
      </c>
    </row>
    <row r="3" spans="1:3">
      <c r="A3" s="21" t="s">
        <v>24</v>
      </c>
      <c r="B3" s="21" t="s">
        <v>68</v>
      </c>
      <c r="C3" s="2" t="s">
        <v>228</v>
      </c>
    </row>
    <row r="4" spans="1:2">
      <c r="A4" s="22" t="s">
        <v>29</v>
      </c>
      <c r="B4" s="22">
        <v>14.85</v>
      </c>
    </row>
    <row r="5" spans="1:2">
      <c r="A5" s="22" t="s">
        <v>30</v>
      </c>
      <c r="B5" s="22">
        <v>15.163829787234</v>
      </c>
    </row>
    <row r="6" spans="1:2">
      <c r="A6" s="22" t="s">
        <v>32</v>
      </c>
      <c r="B6" s="22">
        <v>14.6074074074074</v>
      </c>
    </row>
    <row r="7" spans="1:4">
      <c r="A7" s="22" t="s">
        <v>34</v>
      </c>
      <c r="B7" s="22">
        <v>15.2525896414343</v>
      </c>
      <c r="D7" s="23"/>
    </row>
    <row r="8" spans="1:2">
      <c r="A8" s="19" t="s">
        <v>11</v>
      </c>
      <c r="B8" s="19">
        <v>14.9593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M7" sqref="M7"/>
    </sheetView>
  </sheetViews>
  <sheetFormatPr defaultColWidth="8.88888888888889" defaultRowHeight="14.4" outlineLevelRow="6" outlineLevelCol="6"/>
  <cols>
    <col min="1" max="1" width="11.6666666666667"/>
    <col min="2" max="2" width="28.2222222222222"/>
  </cols>
  <sheetData>
    <row r="1" ht="18" spans="1:7">
      <c r="A1" s="4" t="s">
        <v>229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3" spans="1:3">
      <c r="A3" s="19" t="s">
        <v>67</v>
      </c>
      <c r="B3" t="s">
        <v>186</v>
      </c>
      <c r="C3" s="2" t="s">
        <v>230</v>
      </c>
    </row>
    <row r="4" spans="1:2">
      <c r="A4" s="20" t="s">
        <v>70</v>
      </c>
      <c r="B4" s="20">
        <v>0.385852090032154</v>
      </c>
    </row>
    <row r="5" spans="1:2">
      <c r="A5" s="20" t="s">
        <v>71</v>
      </c>
      <c r="B5" s="20">
        <v>0.337110481586402</v>
      </c>
    </row>
    <row r="6" spans="1:2">
      <c r="A6" s="20" t="s">
        <v>44</v>
      </c>
      <c r="B6" s="20">
        <v>0.321428571428571</v>
      </c>
    </row>
    <row r="7" spans="1:2">
      <c r="A7" s="19" t="s">
        <v>11</v>
      </c>
      <c r="B7" s="19">
        <v>0.347</v>
      </c>
    </row>
  </sheetData>
  <pageMargins left="0.75" right="0.75" top="1" bottom="1" header="0.5" footer="0.5"/>
  <headerFooter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B15" sqref="B15"/>
    </sheetView>
  </sheetViews>
  <sheetFormatPr defaultColWidth="8.88888888888889" defaultRowHeight="14.4" outlineLevelRow="7"/>
  <cols>
    <col min="1" max="1" width="13.8888888888889"/>
    <col min="2" max="2" width="36.1111111111111"/>
  </cols>
  <sheetData>
    <row r="1" spans="1:1">
      <c r="A1" s="4" t="s">
        <v>231</v>
      </c>
    </row>
    <row r="3" spans="1:3">
      <c r="A3" t="s">
        <v>24</v>
      </c>
      <c r="B3" t="s">
        <v>60</v>
      </c>
      <c r="C3" s="2" t="s">
        <v>232</v>
      </c>
    </row>
    <row r="4" spans="1:2">
      <c r="A4" t="s">
        <v>29</v>
      </c>
      <c r="B4">
        <v>11.952868852459</v>
      </c>
    </row>
    <row r="5" spans="1:2">
      <c r="A5" t="s">
        <v>30</v>
      </c>
      <c r="B5">
        <v>11.5714893617021</v>
      </c>
    </row>
    <row r="6" spans="1:2">
      <c r="A6" t="s">
        <v>32</v>
      </c>
      <c r="B6">
        <v>11.5962962962963</v>
      </c>
    </row>
    <row r="7" spans="1:2">
      <c r="A7" t="s">
        <v>34</v>
      </c>
      <c r="B7">
        <v>11.2569721115538</v>
      </c>
    </row>
    <row r="8" spans="1:2">
      <c r="A8" t="s">
        <v>11</v>
      </c>
      <c r="B8">
        <v>11.5923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L11" sqref="L11"/>
    </sheetView>
  </sheetViews>
  <sheetFormatPr defaultColWidth="8.88888888888889" defaultRowHeight="14.4"/>
  <cols>
    <col min="1" max="1" width="11.6666666666667"/>
    <col min="2" max="2" width="28.2222222222222"/>
  </cols>
  <sheetData>
    <row r="1" spans="1:1">
      <c r="A1" s="4" t="s">
        <v>233</v>
      </c>
    </row>
    <row r="3" spans="1:12">
      <c r="A3" t="s">
        <v>1</v>
      </c>
      <c r="B3" t="s">
        <v>186</v>
      </c>
      <c r="C3" s="2" t="s">
        <v>234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A4" t="s">
        <v>4</v>
      </c>
      <c r="B4">
        <v>0.380710659898477</v>
      </c>
      <c r="C4" s="2" t="s">
        <v>235</v>
      </c>
      <c r="D4" s="2"/>
      <c r="E4" s="2"/>
      <c r="F4" s="2"/>
      <c r="G4" s="2"/>
      <c r="H4" s="2"/>
      <c r="I4" s="2"/>
      <c r="J4" s="2"/>
      <c r="K4" s="2"/>
      <c r="L4" s="2"/>
    </row>
    <row r="5" spans="1:2">
      <c r="A5" t="s">
        <v>7</v>
      </c>
      <c r="B5">
        <v>0.335051546391753</v>
      </c>
    </row>
    <row r="6" spans="1:2">
      <c r="A6" t="s">
        <v>9</v>
      </c>
      <c r="B6">
        <v>0.290322580645161</v>
      </c>
    </row>
    <row r="7" spans="1:2">
      <c r="A7" t="s">
        <v>6</v>
      </c>
      <c r="B7">
        <v>0.402061855670103</v>
      </c>
    </row>
    <row r="8" spans="1:2">
      <c r="A8" t="s">
        <v>8</v>
      </c>
      <c r="B8">
        <v>0.322916666666667</v>
      </c>
    </row>
    <row r="9" spans="1:2">
      <c r="A9" t="s">
        <v>10</v>
      </c>
      <c r="B9">
        <v>0.351351351351351</v>
      </c>
    </row>
    <row r="10" spans="1:2">
      <c r="A10" t="s">
        <v>11</v>
      </c>
      <c r="B10">
        <v>0.347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M10" sqref="M10"/>
    </sheetView>
  </sheetViews>
  <sheetFormatPr defaultColWidth="8.88888888888889" defaultRowHeight="14.4"/>
  <cols>
    <col min="1" max="1" width="11.6666666666667"/>
    <col min="2" max="2" width="24.4444444444444"/>
  </cols>
  <sheetData>
    <row r="1" ht="18" spans="1:10">
      <c r="A1" s="4" t="s">
        <v>236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3">
      <c r="A3" t="s">
        <v>1</v>
      </c>
      <c r="B3" t="s">
        <v>199</v>
      </c>
      <c r="C3" s="2" t="s">
        <v>237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2">
      <c r="A4" s="18" t="s">
        <v>4</v>
      </c>
      <c r="B4" s="18">
        <v>197</v>
      </c>
    </row>
    <row r="5" spans="1:2">
      <c r="A5" t="s">
        <v>7</v>
      </c>
      <c r="B5">
        <v>194</v>
      </c>
    </row>
    <row r="6" spans="1:2">
      <c r="A6" t="s">
        <v>9</v>
      </c>
      <c r="B6">
        <v>186</v>
      </c>
    </row>
    <row r="7" spans="1:2">
      <c r="A7" t="s">
        <v>6</v>
      </c>
      <c r="B7">
        <v>194</v>
      </c>
    </row>
    <row r="8" spans="1:2">
      <c r="A8" t="s">
        <v>8</v>
      </c>
      <c r="B8">
        <v>192</v>
      </c>
    </row>
    <row r="9" spans="1:2">
      <c r="A9" t="s">
        <v>10</v>
      </c>
      <c r="B9">
        <v>37</v>
      </c>
    </row>
    <row r="10" spans="1:2">
      <c r="A10" t="s">
        <v>11</v>
      </c>
      <c r="B10">
        <v>1000</v>
      </c>
    </row>
  </sheetData>
  <pageMargins left="0.75" right="0.75" top="1" bottom="1" header="0.5" footer="0.5"/>
  <headerFooter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H8" sqref="H8"/>
    </sheetView>
  </sheetViews>
  <sheetFormatPr defaultColWidth="8.88888888888889" defaultRowHeight="14.4" outlineLevelRow="5"/>
  <cols>
    <col min="1" max="1" width="18.5555555555556"/>
    <col min="2" max="2" width="36.1111111111111"/>
  </cols>
  <sheetData>
    <row r="1" spans="1:1">
      <c r="A1" s="4" t="s">
        <v>238</v>
      </c>
    </row>
    <row r="3" spans="1:13">
      <c r="A3" t="s">
        <v>59</v>
      </c>
      <c r="B3" t="s">
        <v>60</v>
      </c>
      <c r="C3" s="2" t="s">
        <v>239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2">
      <c r="A4" t="s">
        <v>61</v>
      </c>
      <c r="B4">
        <v>11.5079395085066</v>
      </c>
    </row>
    <row r="5" spans="1:2">
      <c r="A5" t="s">
        <v>63</v>
      </c>
      <c r="B5">
        <v>11.6870488322718</v>
      </c>
    </row>
    <row r="6" spans="1:2">
      <c r="A6" t="s">
        <v>11</v>
      </c>
      <c r="B6">
        <v>11.5923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L14" sqref="L14"/>
    </sheetView>
  </sheetViews>
  <sheetFormatPr defaultColWidth="8.88888888888889" defaultRowHeight="14.4"/>
  <cols>
    <col min="1" max="1" width="13.4444444444444"/>
    <col min="2" max="2" width="28.2222222222222"/>
    <col min="3" max="3" width="12.8888888888889"/>
  </cols>
  <sheetData>
    <row r="1" spans="1:1">
      <c r="A1" s="4" t="s">
        <v>240</v>
      </c>
    </row>
    <row r="3" spans="1:12">
      <c r="A3" t="s">
        <v>13</v>
      </c>
      <c r="B3" t="s">
        <v>186</v>
      </c>
      <c r="C3" s="2" t="s">
        <v>241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A4" t="s">
        <v>16</v>
      </c>
      <c r="B4" s="17">
        <v>0.307392996108949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2">
      <c r="A5" t="s">
        <v>18</v>
      </c>
      <c r="B5" s="17">
        <v>0.423387096774194</v>
      </c>
    </row>
    <row r="6" spans="1:2">
      <c r="A6" t="s">
        <v>19</v>
      </c>
      <c r="B6" s="17">
        <v>0.305882352941177</v>
      </c>
    </row>
    <row r="7" spans="1:2">
      <c r="A7" t="s">
        <v>20</v>
      </c>
      <c r="B7" s="17">
        <v>0.354166666666667</v>
      </c>
    </row>
    <row r="8" spans="1:2">
      <c r="A8" t="s">
        <v>11</v>
      </c>
      <c r="B8" s="17">
        <v>0.347</v>
      </c>
    </row>
  </sheetData>
  <mergeCells count="2">
    <mergeCell ref="A1:J2"/>
    <mergeCell ref="A9:D10"/>
  </mergeCells>
  <pageMargins left="0.75" right="0.75" top="1" bottom="1" header="0.5" footer="0.5"/>
  <headerFooter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IU1001"/>
  <sheetViews>
    <sheetView topLeftCell="VIK1" workbookViewId="0">
      <selection activeCell="VIS7" sqref="VIS7"/>
    </sheetView>
  </sheetViews>
  <sheetFormatPr defaultColWidth="15.7777777777778" defaultRowHeight="14.4"/>
  <cols>
    <col min="1" max="11" width="15.7777777777778" customWidth="1"/>
    <col min="12" max="12" width="15.7777777777778" style="5" customWidth="1"/>
    <col min="13" max="16384" width="15.7777777777778" customWidth="1"/>
  </cols>
  <sheetData>
    <row r="1" spans="1:15127">
      <c r="A1" t="s">
        <v>242</v>
      </c>
      <c r="B1" t="s">
        <v>1</v>
      </c>
      <c r="C1" t="s">
        <v>67</v>
      </c>
      <c r="D1" t="s">
        <v>38</v>
      </c>
      <c r="E1" t="s">
        <v>243</v>
      </c>
      <c r="F1" t="s">
        <v>244</v>
      </c>
      <c r="G1" t="s">
        <v>245</v>
      </c>
      <c r="H1" t="s">
        <v>24</v>
      </c>
      <c r="I1" t="s">
        <v>13</v>
      </c>
      <c r="J1" t="s">
        <v>246</v>
      </c>
      <c r="K1" t="s">
        <v>247</v>
      </c>
      <c r="L1" s="5" t="s">
        <v>248</v>
      </c>
      <c r="M1" t="s">
        <v>98</v>
      </c>
      <c r="N1" t="s">
        <v>249</v>
      </c>
      <c r="O1" t="s">
        <v>86</v>
      </c>
      <c r="P1" t="s">
        <v>73</v>
      </c>
      <c r="Q1" t="s">
        <v>23</v>
      </c>
      <c r="R1" t="s">
        <v>183</v>
      </c>
      <c r="S1" t="s">
        <v>250</v>
      </c>
      <c r="T1" t="s">
        <v>77</v>
      </c>
      <c r="U1" t="s">
        <v>59</v>
      </c>
      <c r="V1" t="s">
        <v>92</v>
      </c>
      <c r="W1" t="s">
        <v>185</v>
      </c>
      <c r="X1" t="s">
        <v>251</v>
      </c>
      <c r="Y1" t="s">
        <v>252</v>
      </c>
      <c r="Z1" t="s">
        <v>253</v>
      </c>
      <c r="VIS1" s="8"/>
      <c r="VIT1" s="9"/>
      <c r="VIU1" s="10"/>
    </row>
    <row r="2" spans="1:15127">
      <c r="A2" t="s">
        <v>254</v>
      </c>
      <c r="B2">
        <v>22</v>
      </c>
      <c r="C2" t="s">
        <v>71</v>
      </c>
      <c r="D2" t="s">
        <v>39</v>
      </c>
      <c r="E2" t="s">
        <v>255</v>
      </c>
      <c r="F2" t="s">
        <v>150</v>
      </c>
      <c r="G2" t="s">
        <v>256</v>
      </c>
      <c r="H2" t="s">
        <v>32</v>
      </c>
      <c r="I2" t="s">
        <v>20</v>
      </c>
      <c r="J2" s="7">
        <v>45185</v>
      </c>
      <c r="K2" s="7">
        <v>45428</v>
      </c>
      <c r="L2" s="5">
        <v>200</v>
      </c>
      <c r="M2" t="s">
        <v>26</v>
      </c>
      <c r="N2" t="s">
        <v>257</v>
      </c>
      <c r="O2">
        <v>200</v>
      </c>
      <c r="P2" t="s">
        <v>206</v>
      </c>
      <c r="Q2" t="s">
        <v>27</v>
      </c>
      <c r="R2">
        <v>95</v>
      </c>
      <c r="S2">
        <v>1</v>
      </c>
      <c r="T2" t="s">
        <v>78</v>
      </c>
      <c r="U2" t="s">
        <v>63</v>
      </c>
      <c r="V2">
        <v>3.79</v>
      </c>
      <c r="W2">
        <v>3.14</v>
      </c>
      <c r="X2">
        <v>3.8</v>
      </c>
      <c r="Y2">
        <v>20.6</v>
      </c>
      <c r="Z2">
        <v>14.6</v>
      </c>
      <c r="VIS2" s="11"/>
      <c r="VIT2" s="12"/>
      <c r="VIU2" s="13"/>
    </row>
    <row r="3" spans="1:15127">
      <c r="A3" t="s">
        <v>258</v>
      </c>
      <c r="B3">
        <v>61</v>
      </c>
      <c r="C3" t="s">
        <v>70</v>
      </c>
      <c r="D3" t="s">
        <v>44</v>
      </c>
      <c r="E3" t="s">
        <v>259</v>
      </c>
      <c r="F3" t="s">
        <v>260</v>
      </c>
      <c r="G3" t="s">
        <v>261</v>
      </c>
      <c r="H3" t="s">
        <v>32</v>
      </c>
      <c r="I3" t="s">
        <v>16</v>
      </c>
      <c r="J3" s="7">
        <v>44869</v>
      </c>
      <c r="K3" s="7">
        <v>45111</v>
      </c>
      <c r="L3" s="5">
        <v>100</v>
      </c>
      <c r="M3" t="s">
        <v>150</v>
      </c>
      <c r="N3" t="s">
        <v>262</v>
      </c>
      <c r="O3">
        <v>100</v>
      </c>
      <c r="P3" t="s">
        <v>211</v>
      </c>
      <c r="Q3" t="s">
        <v>27</v>
      </c>
      <c r="R3">
        <v>90</v>
      </c>
      <c r="S3">
        <v>0</v>
      </c>
      <c r="T3" t="s">
        <v>82</v>
      </c>
      <c r="U3" t="s">
        <v>61</v>
      </c>
      <c r="V3">
        <v>1.65</v>
      </c>
      <c r="W3">
        <v>4.64</v>
      </c>
      <c r="X3">
        <v>8.4</v>
      </c>
      <c r="Y3">
        <v>23.1</v>
      </c>
      <c r="Z3">
        <v>15.3</v>
      </c>
      <c r="VIS3" s="11"/>
      <c r="VIT3" s="12"/>
      <c r="VIU3" s="13"/>
    </row>
    <row r="4" spans="1:15127">
      <c r="A4" t="s">
        <v>263</v>
      </c>
      <c r="B4">
        <v>60</v>
      </c>
      <c r="C4" t="s">
        <v>70</v>
      </c>
      <c r="D4" t="s">
        <v>44</v>
      </c>
      <c r="E4" t="s">
        <v>255</v>
      </c>
      <c r="F4" t="s">
        <v>264</v>
      </c>
      <c r="G4" t="s">
        <v>265</v>
      </c>
      <c r="H4" t="s">
        <v>29</v>
      </c>
      <c r="I4" t="s">
        <v>16</v>
      </c>
      <c r="J4" s="7">
        <v>44687</v>
      </c>
      <c r="K4" s="7">
        <v>45052</v>
      </c>
      <c r="L4" s="5">
        <v>150</v>
      </c>
      <c r="M4" t="s">
        <v>28</v>
      </c>
      <c r="N4" t="s">
        <v>266</v>
      </c>
      <c r="O4">
        <v>150</v>
      </c>
      <c r="P4" t="s">
        <v>206</v>
      </c>
      <c r="Q4" t="s">
        <v>26</v>
      </c>
      <c r="R4">
        <v>64</v>
      </c>
      <c r="S4">
        <v>1</v>
      </c>
      <c r="T4" t="s">
        <v>82</v>
      </c>
      <c r="U4" t="s">
        <v>63</v>
      </c>
      <c r="V4">
        <v>3.45</v>
      </c>
      <c r="W4">
        <v>2.67</v>
      </c>
      <c r="X4">
        <v>9.4</v>
      </c>
      <c r="Y4">
        <v>21.6</v>
      </c>
      <c r="Z4">
        <v>3.8</v>
      </c>
      <c r="VIS4" s="11"/>
      <c r="VIT4" s="12"/>
      <c r="VIU4" s="13"/>
    </row>
    <row r="5" spans="1:15127">
      <c r="A5" t="s">
        <v>267</v>
      </c>
      <c r="B5">
        <v>76</v>
      </c>
      <c r="C5" t="s">
        <v>44</v>
      </c>
      <c r="D5" t="s">
        <v>44</v>
      </c>
      <c r="E5" t="s">
        <v>150</v>
      </c>
      <c r="F5" t="s">
        <v>268</v>
      </c>
      <c r="G5" t="s">
        <v>269</v>
      </c>
      <c r="H5" t="s">
        <v>30</v>
      </c>
      <c r="I5" t="s">
        <v>18</v>
      </c>
      <c r="J5" s="7">
        <v>44974</v>
      </c>
      <c r="K5" s="7">
        <v>45368</v>
      </c>
      <c r="L5" s="5">
        <v>150</v>
      </c>
      <c r="M5" t="s">
        <v>25</v>
      </c>
      <c r="N5" t="s">
        <v>270</v>
      </c>
      <c r="O5">
        <v>150</v>
      </c>
      <c r="P5" t="s">
        <v>206</v>
      </c>
      <c r="Q5" t="s">
        <v>25</v>
      </c>
      <c r="R5">
        <v>159</v>
      </c>
      <c r="S5">
        <v>1</v>
      </c>
      <c r="T5" t="s">
        <v>78</v>
      </c>
      <c r="U5" t="s">
        <v>63</v>
      </c>
      <c r="V5">
        <v>1.11</v>
      </c>
      <c r="W5">
        <v>2.51</v>
      </c>
      <c r="X5">
        <v>8.3</v>
      </c>
      <c r="Y5">
        <v>23.8</v>
      </c>
      <c r="Z5">
        <v>5.6</v>
      </c>
      <c r="VIS5" s="11"/>
      <c r="VIT5" s="12"/>
      <c r="VIU5" s="13"/>
    </row>
    <row r="6" spans="1:15127">
      <c r="A6" t="s">
        <v>271</v>
      </c>
      <c r="B6">
        <v>39</v>
      </c>
      <c r="C6" t="s">
        <v>70</v>
      </c>
      <c r="D6" t="s">
        <v>44</v>
      </c>
      <c r="E6" t="s">
        <v>272</v>
      </c>
      <c r="F6" t="s">
        <v>273</v>
      </c>
      <c r="G6" t="s">
        <v>274</v>
      </c>
      <c r="H6" t="s">
        <v>34</v>
      </c>
      <c r="I6" t="s">
        <v>16</v>
      </c>
      <c r="J6" s="7">
        <v>45164</v>
      </c>
      <c r="K6" s="7">
        <v>45348</v>
      </c>
      <c r="L6" s="5">
        <v>200</v>
      </c>
      <c r="M6" t="s">
        <v>25</v>
      </c>
      <c r="N6" t="s">
        <v>275</v>
      </c>
      <c r="O6">
        <v>200</v>
      </c>
      <c r="P6" t="s">
        <v>211</v>
      </c>
      <c r="Q6" t="s">
        <v>25</v>
      </c>
      <c r="R6">
        <v>44</v>
      </c>
      <c r="S6">
        <v>0</v>
      </c>
      <c r="T6" t="s">
        <v>80</v>
      </c>
      <c r="U6" t="s">
        <v>61</v>
      </c>
      <c r="V6">
        <v>3.38</v>
      </c>
      <c r="W6">
        <v>2.52</v>
      </c>
      <c r="X6">
        <v>9.7</v>
      </c>
      <c r="Y6">
        <v>21.2</v>
      </c>
      <c r="Z6">
        <v>17.3</v>
      </c>
      <c r="VIS6" s="11"/>
      <c r="VIT6" s="12"/>
      <c r="VIU6" s="13"/>
    </row>
    <row r="7" spans="1:15127">
      <c r="A7" t="s">
        <v>276</v>
      </c>
      <c r="B7">
        <v>57</v>
      </c>
      <c r="C7" t="s">
        <v>44</v>
      </c>
      <c r="D7" t="s">
        <v>42</v>
      </c>
      <c r="E7" t="s">
        <v>272</v>
      </c>
      <c r="F7" t="s">
        <v>277</v>
      </c>
      <c r="G7" t="s">
        <v>278</v>
      </c>
      <c r="H7" t="s">
        <v>29</v>
      </c>
      <c r="I7" t="s">
        <v>16</v>
      </c>
      <c r="J7" s="7">
        <v>44735</v>
      </c>
      <c r="K7" s="7">
        <v>44949</v>
      </c>
      <c r="L7" s="5">
        <v>50</v>
      </c>
      <c r="M7" t="s">
        <v>27</v>
      </c>
      <c r="N7" t="s">
        <v>279</v>
      </c>
      <c r="O7">
        <v>50</v>
      </c>
      <c r="P7" t="s">
        <v>211</v>
      </c>
      <c r="Q7" t="s">
        <v>27</v>
      </c>
      <c r="R7">
        <v>76</v>
      </c>
      <c r="S7">
        <v>0</v>
      </c>
      <c r="T7" t="s">
        <v>78</v>
      </c>
      <c r="U7" t="s">
        <v>61</v>
      </c>
      <c r="V7">
        <v>2.87</v>
      </c>
      <c r="W7">
        <v>2.66</v>
      </c>
      <c r="X7">
        <v>3.5</v>
      </c>
      <c r="Y7">
        <v>7</v>
      </c>
      <c r="Z7">
        <v>17.7</v>
      </c>
      <c r="VIS7" s="11"/>
      <c r="VIT7" s="12"/>
      <c r="VIU7" s="13"/>
    </row>
    <row r="8" spans="1:15127">
      <c r="A8" t="s">
        <v>280</v>
      </c>
      <c r="B8">
        <v>65</v>
      </c>
      <c r="C8" t="s">
        <v>70</v>
      </c>
      <c r="D8" t="s">
        <v>43</v>
      </c>
      <c r="E8" t="s">
        <v>272</v>
      </c>
      <c r="F8" t="s">
        <v>268</v>
      </c>
      <c r="G8" t="s">
        <v>281</v>
      </c>
      <c r="H8" t="s">
        <v>32</v>
      </c>
      <c r="I8" t="s">
        <v>16</v>
      </c>
      <c r="J8" s="7">
        <v>44087</v>
      </c>
      <c r="K8" s="7">
        <v>44513</v>
      </c>
      <c r="L8" s="5">
        <v>100</v>
      </c>
      <c r="M8" t="s">
        <v>26</v>
      </c>
      <c r="N8" t="s">
        <v>282</v>
      </c>
      <c r="O8">
        <v>100</v>
      </c>
      <c r="P8" t="s">
        <v>211</v>
      </c>
      <c r="Q8" t="s">
        <v>25</v>
      </c>
      <c r="R8">
        <v>138</v>
      </c>
      <c r="S8">
        <v>0</v>
      </c>
      <c r="T8" t="s">
        <v>80</v>
      </c>
      <c r="U8" t="s">
        <v>61</v>
      </c>
      <c r="V8">
        <v>4.25</v>
      </c>
      <c r="W8">
        <v>5</v>
      </c>
      <c r="X8">
        <v>10</v>
      </c>
      <c r="Y8">
        <v>16</v>
      </c>
      <c r="Z8">
        <v>16.1</v>
      </c>
      <c r="VIS8" s="11"/>
      <c r="VIT8" s="12"/>
      <c r="VIU8" s="13"/>
    </row>
    <row r="9" spans="1:15127">
      <c r="A9" t="s">
        <v>283</v>
      </c>
      <c r="B9">
        <v>47</v>
      </c>
      <c r="C9" t="s">
        <v>71</v>
      </c>
      <c r="D9" t="s">
        <v>43</v>
      </c>
      <c r="E9" t="s">
        <v>150</v>
      </c>
      <c r="F9" t="s">
        <v>273</v>
      </c>
      <c r="G9" t="s">
        <v>284</v>
      </c>
      <c r="H9" t="s">
        <v>29</v>
      </c>
      <c r="I9" t="s">
        <v>20</v>
      </c>
      <c r="J9" s="7">
        <v>44934</v>
      </c>
      <c r="K9" s="7">
        <v>45207</v>
      </c>
      <c r="L9" s="5">
        <v>50</v>
      </c>
      <c r="M9" t="s">
        <v>25</v>
      </c>
      <c r="N9" t="s">
        <v>279</v>
      </c>
      <c r="O9">
        <v>50</v>
      </c>
      <c r="P9" t="s">
        <v>211</v>
      </c>
      <c r="Q9" t="s">
        <v>25</v>
      </c>
      <c r="R9">
        <v>42</v>
      </c>
      <c r="S9">
        <v>0</v>
      </c>
      <c r="T9" t="s">
        <v>78</v>
      </c>
      <c r="U9" t="s">
        <v>63</v>
      </c>
      <c r="V9">
        <v>4.78</v>
      </c>
      <c r="W9">
        <v>4.4</v>
      </c>
      <c r="X9">
        <v>3.2</v>
      </c>
      <c r="Y9">
        <v>14.1</v>
      </c>
      <c r="Z9">
        <v>5.2</v>
      </c>
      <c r="VIS9" s="11"/>
      <c r="VIT9" s="12"/>
      <c r="VIU9" s="13"/>
    </row>
    <row r="10" spans="1:15127">
      <c r="A10" t="s">
        <v>285</v>
      </c>
      <c r="B10">
        <v>69</v>
      </c>
      <c r="C10" t="s">
        <v>70</v>
      </c>
      <c r="D10" t="s">
        <v>41</v>
      </c>
      <c r="E10" t="s">
        <v>255</v>
      </c>
      <c r="F10" t="s">
        <v>277</v>
      </c>
      <c r="G10" t="s">
        <v>281</v>
      </c>
      <c r="H10" t="s">
        <v>32</v>
      </c>
      <c r="I10" t="s">
        <v>18</v>
      </c>
      <c r="J10" s="7">
        <v>45096</v>
      </c>
      <c r="K10" s="7">
        <v>45554</v>
      </c>
      <c r="L10" s="5">
        <v>150</v>
      </c>
      <c r="M10" t="s">
        <v>150</v>
      </c>
      <c r="N10" t="s">
        <v>286</v>
      </c>
      <c r="O10">
        <v>150</v>
      </c>
      <c r="P10" t="s">
        <v>205</v>
      </c>
      <c r="Q10" t="s">
        <v>25</v>
      </c>
      <c r="R10">
        <v>86</v>
      </c>
      <c r="S10">
        <v>0</v>
      </c>
      <c r="T10" t="s">
        <v>82</v>
      </c>
      <c r="U10" t="s">
        <v>61</v>
      </c>
      <c r="V10">
        <v>4.82</v>
      </c>
      <c r="W10">
        <v>3.42</v>
      </c>
      <c r="X10">
        <v>3.1</v>
      </c>
      <c r="Y10">
        <v>18.1</v>
      </c>
      <c r="Z10">
        <v>13.5</v>
      </c>
      <c r="VIS10" s="11"/>
      <c r="VIT10" s="12"/>
      <c r="VIU10" s="13"/>
    </row>
    <row r="11" spans="1:15127">
      <c r="A11" t="s">
        <v>287</v>
      </c>
      <c r="B11">
        <v>53</v>
      </c>
      <c r="C11" t="s">
        <v>71</v>
      </c>
      <c r="D11" t="s">
        <v>44</v>
      </c>
      <c r="E11" t="s">
        <v>255</v>
      </c>
      <c r="F11" t="s">
        <v>150</v>
      </c>
      <c r="G11" t="s">
        <v>288</v>
      </c>
      <c r="H11" t="s">
        <v>34</v>
      </c>
      <c r="I11" t="s">
        <v>20</v>
      </c>
      <c r="J11" s="7">
        <v>43637</v>
      </c>
      <c r="K11" s="7">
        <v>44125</v>
      </c>
      <c r="L11" s="5">
        <v>200</v>
      </c>
      <c r="M11" t="s">
        <v>150</v>
      </c>
      <c r="N11" t="s">
        <v>289</v>
      </c>
      <c r="O11">
        <v>200</v>
      </c>
      <c r="P11" t="s">
        <v>211</v>
      </c>
      <c r="Q11" t="s">
        <v>27</v>
      </c>
      <c r="R11">
        <v>77</v>
      </c>
      <c r="S11">
        <v>0</v>
      </c>
      <c r="T11" t="s">
        <v>80</v>
      </c>
      <c r="U11" t="s">
        <v>61</v>
      </c>
      <c r="V11">
        <v>2.43</v>
      </c>
      <c r="W11">
        <v>1.45</v>
      </c>
      <c r="X11">
        <v>7</v>
      </c>
      <c r="Y11">
        <v>15.4</v>
      </c>
      <c r="Z11">
        <v>16.1</v>
      </c>
      <c r="VIS11" s="11"/>
      <c r="VIT11" s="12"/>
      <c r="VIU11" s="13"/>
    </row>
    <row r="12" spans="1:15127">
      <c r="A12" t="s">
        <v>290</v>
      </c>
      <c r="B12">
        <v>48</v>
      </c>
      <c r="C12" t="s">
        <v>71</v>
      </c>
      <c r="D12" t="s">
        <v>39</v>
      </c>
      <c r="E12" t="s">
        <v>259</v>
      </c>
      <c r="F12" t="s">
        <v>150</v>
      </c>
      <c r="G12" t="s">
        <v>291</v>
      </c>
      <c r="H12" t="s">
        <v>34</v>
      </c>
      <c r="I12" t="s">
        <v>20</v>
      </c>
      <c r="J12" s="7">
        <v>45174</v>
      </c>
      <c r="K12" s="7">
        <v>45540</v>
      </c>
      <c r="L12" s="5">
        <v>100</v>
      </c>
      <c r="M12" t="s">
        <v>26</v>
      </c>
      <c r="N12" t="s">
        <v>292</v>
      </c>
      <c r="O12">
        <v>100</v>
      </c>
      <c r="P12" t="s">
        <v>206</v>
      </c>
      <c r="Q12" t="s">
        <v>27</v>
      </c>
      <c r="R12">
        <v>124</v>
      </c>
      <c r="S12">
        <v>1</v>
      </c>
      <c r="T12" t="s">
        <v>83</v>
      </c>
      <c r="U12" t="s">
        <v>63</v>
      </c>
      <c r="V12">
        <v>3.08</v>
      </c>
      <c r="W12">
        <v>4.41</v>
      </c>
      <c r="X12">
        <v>6</v>
      </c>
      <c r="Y12">
        <v>16.1</v>
      </c>
      <c r="Z12">
        <v>17.9</v>
      </c>
      <c r="VIS12" s="11"/>
      <c r="VIT12" s="12"/>
      <c r="VIU12" s="13"/>
    </row>
    <row r="13" spans="1:15127">
      <c r="A13" t="s">
        <v>293</v>
      </c>
      <c r="B13">
        <v>24</v>
      </c>
      <c r="C13" t="s">
        <v>70</v>
      </c>
      <c r="D13" t="s">
        <v>43</v>
      </c>
      <c r="E13" t="s">
        <v>255</v>
      </c>
      <c r="F13" t="s">
        <v>150</v>
      </c>
      <c r="G13" t="s">
        <v>294</v>
      </c>
      <c r="H13" t="s">
        <v>30</v>
      </c>
      <c r="I13" t="s">
        <v>18</v>
      </c>
      <c r="J13" s="7">
        <v>44679</v>
      </c>
      <c r="K13" s="7">
        <v>45013</v>
      </c>
      <c r="L13" s="5">
        <v>150</v>
      </c>
      <c r="M13" t="s">
        <v>26</v>
      </c>
      <c r="N13" t="s">
        <v>295</v>
      </c>
      <c r="O13">
        <v>150</v>
      </c>
      <c r="P13" t="s">
        <v>205</v>
      </c>
      <c r="Q13" t="s">
        <v>28</v>
      </c>
      <c r="R13">
        <v>152</v>
      </c>
      <c r="S13">
        <v>0</v>
      </c>
      <c r="T13" t="s">
        <v>78</v>
      </c>
      <c r="U13" t="s">
        <v>63</v>
      </c>
      <c r="V13">
        <v>2.61</v>
      </c>
      <c r="W13">
        <v>1.54</v>
      </c>
      <c r="X13">
        <v>1.3</v>
      </c>
      <c r="Y13">
        <v>19.6</v>
      </c>
      <c r="Z13">
        <v>13.5</v>
      </c>
      <c r="VIS13" s="11"/>
      <c r="VIT13" s="12"/>
      <c r="VIU13" s="13"/>
    </row>
    <row r="14" spans="1:15127">
      <c r="A14" t="s">
        <v>296</v>
      </c>
      <c r="B14">
        <v>68</v>
      </c>
      <c r="C14" t="s">
        <v>71</v>
      </c>
      <c r="D14" t="s">
        <v>44</v>
      </c>
      <c r="E14" t="s">
        <v>150</v>
      </c>
      <c r="F14" t="s">
        <v>150</v>
      </c>
      <c r="G14" t="s">
        <v>297</v>
      </c>
      <c r="H14" t="s">
        <v>34</v>
      </c>
      <c r="I14" t="s">
        <v>19</v>
      </c>
      <c r="J14" s="7">
        <v>44328</v>
      </c>
      <c r="K14" s="7">
        <v>44754</v>
      </c>
      <c r="L14" s="5">
        <v>200</v>
      </c>
      <c r="M14" t="s">
        <v>28</v>
      </c>
      <c r="N14" t="s">
        <v>298</v>
      </c>
      <c r="O14">
        <v>200</v>
      </c>
      <c r="P14" t="s">
        <v>211</v>
      </c>
      <c r="Q14" t="s">
        <v>26</v>
      </c>
      <c r="R14">
        <v>124</v>
      </c>
      <c r="S14">
        <v>0</v>
      </c>
      <c r="T14" t="s">
        <v>81</v>
      </c>
      <c r="U14" t="s">
        <v>61</v>
      </c>
      <c r="V14">
        <v>3.82</v>
      </c>
      <c r="W14">
        <v>1.85</v>
      </c>
      <c r="X14">
        <v>2.2</v>
      </c>
      <c r="Y14">
        <v>6.3</v>
      </c>
      <c r="Z14">
        <v>9</v>
      </c>
      <c r="VIS14" s="11"/>
      <c r="VIT14" s="12"/>
      <c r="VIU14" s="13"/>
    </row>
    <row r="15" spans="1:15127">
      <c r="A15" t="s">
        <v>299</v>
      </c>
      <c r="B15">
        <v>23</v>
      </c>
      <c r="C15" t="s">
        <v>44</v>
      </c>
      <c r="D15" t="s">
        <v>41</v>
      </c>
      <c r="E15" t="s">
        <v>259</v>
      </c>
      <c r="F15" t="s">
        <v>268</v>
      </c>
      <c r="G15" t="s">
        <v>274</v>
      </c>
      <c r="H15" t="s">
        <v>34</v>
      </c>
      <c r="I15" t="s">
        <v>19</v>
      </c>
      <c r="J15" s="7">
        <v>43932</v>
      </c>
      <c r="K15" s="7">
        <v>44207</v>
      </c>
      <c r="L15" s="5">
        <v>200</v>
      </c>
      <c r="M15" t="s">
        <v>26</v>
      </c>
      <c r="N15" t="s">
        <v>300</v>
      </c>
      <c r="O15">
        <v>200</v>
      </c>
      <c r="P15" t="s">
        <v>205</v>
      </c>
      <c r="Q15" t="s">
        <v>150</v>
      </c>
      <c r="R15">
        <v>95</v>
      </c>
      <c r="S15">
        <v>0</v>
      </c>
      <c r="T15" t="s">
        <v>82</v>
      </c>
      <c r="U15" t="s">
        <v>61</v>
      </c>
      <c r="V15">
        <v>3.36</v>
      </c>
      <c r="W15">
        <v>2.57</v>
      </c>
      <c r="X15">
        <v>4.9</v>
      </c>
      <c r="Y15">
        <v>22.3</v>
      </c>
      <c r="Z15">
        <v>8.9</v>
      </c>
      <c r="VIS15" s="11"/>
      <c r="VIT15" s="12"/>
      <c r="VIU15" s="13"/>
    </row>
    <row r="16" spans="1:15127">
      <c r="A16" t="s">
        <v>301</v>
      </c>
      <c r="B16">
        <v>76</v>
      </c>
      <c r="C16" t="s">
        <v>71</v>
      </c>
      <c r="D16" t="s">
        <v>39</v>
      </c>
      <c r="E16" t="s">
        <v>259</v>
      </c>
      <c r="F16" t="s">
        <v>268</v>
      </c>
      <c r="G16" t="s">
        <v>269</v>
      </c>
      <c r="H16" t="s">
        <v>30</v>
      </c>
      <c r="I16" t="s">
        <v>16</v>
      </c>
      <c r="J16" s="7">
        <v>44953</v>
      </c>
      <c r="K16" s="7">
        <v>45165</v>
      </c>
      <c r="L16" s="5">
        <v>50</v>
      </c>
      <c r="M16" t="s">
        <v>27</v>
      </c>
      <c r="N16" t="s">
        <v>302</v>
      </c>
      <c r="O16">
        <v>50</v>
      </c>
      <c r="P16" t="s">
        <v>205</v>
      </c>
      <c r="Q16" t="s">
        <v>26</v>
      </c>
      <c r="R16">
        <v>47</v>
      </c>
      <c r="S16">
        <v>0</v>
      </c>
      <c r="T16" t="s">
        <v>78</v>
      </c>
      <c r="U16" t="s">
        <v>63</v>
      </c>
      <c r="V16">
        <v>3.06</v>
      </c>
      <c r="W16">
        <v>4.13</v>
      </c>
      <c r="X16">
        <v>4.6</v>
      </c>
      <c r="Y16">
        <v>17.2</v>
      </c>
      <c r="Z16">
        <v>17.7</v>
      </c>
      <c r="VIS16" s="11"/>
      <c r="VIT16" s="12"/>
      <c r="VIU16" s="13"/>
    </row>
    <row r="17" spans="1:15127">
      <c r="A17" t="s">
        <v>303</v>
      </c>
      <c r="B17">
        <v>45</v>
      </c>
      <c r="C17" t="s">
        <v>44</v>
      </c>
      <c r="D17" t="s">
        <v>43</v>
      </c>
      <c r="E17" t="s">
        <v>150</v>
      </c>
      <c r="F17" t="s">
        <v>268</v>
      </c>
      <c r="G17" t="s">
        <v>269</v>
      </c>
      <c r="H17" t="s">
        <v>34</v>
      </c>
      <c r="I17" t="s">
        <v>16</v>
      </c>
      <c r="J17" s="7">
        <v>43726</v>
      </c>
      <c r="K17" s="7">
        <v>44092</v>
      </c>
      <c r="L17" s="5">
        <v>50</v>
      </c>
      <c r="M17" t="s">
        <v>25</v>
      </c>
      <c r="N17" t="s">
        <v>304</v>
      </c>
      <c r="O17">
        <v>50</v>
      </c>
      <c r="P17" t="s">
        <v>211</v>
      </c>
      <c r="Q17" t="s">
        <v>25</v>
      </c>
      <c r="R17">
        <v>103</v>
      </c>
      <c r="S17">
        <v>0</v>
      </c>
      <c r="T17" t="s">
        <v>83</v>
      </c>
      <c r="U17" t="s">
        <v>61</v>
      </c>
      <c r="V17">
        <v>4.8</v>
      </c>
      <c r="W17">
        <v>1.59</v>
      </c>
      <c r="X17">
        <v>9.3</v>
      </c>
      <c r="Y17">
        <v>14.9</v>
      </c>
      <c r="Z17">
        <v>7.4</v>
      </c>
      <c r="VIS17" s="11"/>
      <c r="VIT17" s="12"/>
      <c r="VIU17" s="13"/>
    </row>
    <row r="18" spans="1:15127">
      <c r="A18" t="s">
        <v>305</v>
      </c>
      <c r="B18">
        <v>40</v>
      </c>
      <c r="C18" t="s">
        <v>71</v>
      </c>
      <c r="D18" t="s">
        <v>42</v>
      </c>
      <c r="E18" t="s">
        <v>255</v>
      </c>
      <c r="F18" t="s">
        <v>273</v>
      </c>
      <c r="G18" t="s">
        <v>306</v>
      </c>
      <c r="H18" t="s">
        <v>32</v>
      </c>
      <c r="I18" t="s">
        <v>19</v>
      </c>
      <c r="J18" s="7">
        <v>44380</v>
      </c>
      <c r="K18" s="7">
        <v>44715</v>
      </c>
      <c r="L18" s="5">
        <v>200</v>
      </c>
      <c r="M18" t="s">
        <v>25</v>
      </c>
      <c r="N18" t="s">
        <v>307</v>
      </c>
      <c r="O18">
        <v>200</v>
      </c>
      <c r="P18" t="s">
        <v>206</v>
      </c>
      <c r="Q18" t="s">
        <v>150</v>
      </c>
      <c r="R18">
        <v>50</v>
      </c>
      <c r="S18">
        <v>1</v>
      </c>
      <c r="T18" t="s">
        <v>83</v>
      </c>
      <c r="U18" t="s">
        <v>63</v>
      </c>
      <c r="V18">
        <v>2.84</v>
      </c>
      <c r="W18">
        <v>4.92</v>
      </c>
      <c r="X18">
        <v>5.4</v>
      </c>
      <c r="Y18">
        <v>11.9</v>
      </c>
      <c r="Z18">
        <v>13.8</v>
      </c>
      <c r="VIS18" s="14"/>
      <c r="VIT18" s="15"/>
      <c r="VIU18" s="16"/>
    </row>
    <row r="19" spans="1:26">
      <c r="A19" t="s">
        <v>308</v>
      </c>
      <c r="B19">
        <v>69</v>
      </c>
      <c r="C19" t="s">
        <v>70</v>
      </c>
      <c r="D19" t="s">
        <v>43</v>
      </c>
      <c r="E19" t="s">
        <v>255</v>
      </c>
      <c r="F19" t="s">
        <v>277</v>
      </c>
      <c r="G19" t="s">
        <v>288</v>
      </c>
      <c r="H19" t="s">
        <v>29</v>
      </c>
      <c r="I19" t="s">
        <v>20</v>
      </c>
      <c r="J19" s="7">
        <v>44891</v>
      </c>
      <c r="K19" s="7">
        <v>45225</v>
      </c>
      <c r="L19" s="5">
        <v>50</v>
      </c>
      <c r="M19" t="s">
        <v>28</v>
      </c>
      <c r="N19" t="s">
        <v>309</v>
      </c>
      <c r="O19">
        <v>50</v>
      </c>
      <c r="P19" t="s">
        <v>205</v>
      </c>
      <c r="Q19" t="s">
        <v>27</v>
      </c>
      <c r="R19">
        <v>99</v>
      </c>
      <c r="S19">
        <v>0</v>
      </c>
      <c r="T19" t="s">
        <v>83</v>
      </c>
      <c r="U19" t="s">
        <v>63</v>
      </c>
      <c r="V19">
        <v>1.96</v>
      </c>
      <c r="W19">
        <v>1.3</v>
      </c>
      <c r="X19">
        <v>2.2</v>
      </c>
      <c r="Y19">
        <v>8.3</v>
      </c>
      <c r="Z19">
        <v>5.6</v>
      </c>
    </row>
    <row r="20" spans="1:26">
      <c r="A20" t="s">
        <v>310</v>
      </c>
      <c r="B20">
        <v>53</v>
      </c>
      <c r="C20" t="s">
        <v>44</v>
      </c>
      <c r="D20" t="s">
        <v>44</v>
      </c>
      <c r="E20" t="s">
        <v>311</v>
      </c>
      <c r="F20" t="s">
        <v>264</v>
      </c>
      <c r="G20" t="s">
        <v>312</v>
      </c>
      <c r="H20" t="s">
        <v>30</v>
      </c>
      <c r="I20" t="s">
        <v>18</v>
      </c>
      <c r="J20" s="7">
        <v>44602</v>
      </c>
      <c r="K20" s="7">
        <v>44844</v>
      </c>
      <c r="L20" s="5">
        <v>100</v>
      </c>
      <c r="M20" t="s">
        <v>27</v>
      </c>
      <c r="N20" t="s">
        <v>313</v>
      </c>
      <c r="O20">
        <v>100</v>
      </c>
      <c r="P20" t="s">
        <v>205</v>
      </c>
      <c r="Q20" t="s">
        <v>26</v>
      </c>
      <c r="R20">
        <v>50</v>
      </c>
      <c r="S20">
        <v>0</v>
      </c>
      <c r="T20" t="s">
        <v>80</v>
      </c>
      <c r="U20" t="s">
        <v>61</v>
      </c>
      <c r="V20">
        <v>1.56</v>
      </c>
      <c r="W20">
        <v>3.56</v>
      </c>
      <c r="X20">
        <v>2.6</v>
      </c>
      <c r="Y20">
        <v>12.2</v>
      </c>
      <c r="Z20">
        <v>18.2</v>
      </c>
    </row>
    <row r="21" spans="1:26">
      <c r="A21" t="s">
        <v>314</v>
      </c>
      <c r="B21">
        <v>24</v>
      </c>
      <c r="C21" t="s">
        <v>71</v>
      </c>
      <c r="D21" t="s">
        <v>43</v>
      </c>
      <c r="E21" t="s">
        <v>259</v>
      </c>
      <c r="F21" t="s">
        <v>150</v>
      </c>
      <c r="G21" t="s">
        <v>256</v>
      </c>
      <c r="H21" t="s">
        <v>34</v>
      </c>
      <c r="I21" t="s">
        <v>19</v>
      </c>
      <c r="J21" s="7">
        <v>43778</v>
      </c>
      <c r="K21" s="7">
        <v>44325</v>
      </c>
      <c r="L21" s="5">
        <v>200</v>
      </c>
      <c r="M21" t="s">
        <v>26</v>
      </c>
      <c r="N21" t="s">
        <v>315</v>
      </c>
      <c r="O21">
        <v>200</v>
      </c>
      <c r="P21" t="s">
        <v>211</v>
      </c>
      <c r="Q21" t="s">
        <v>27</v>
      </c>
      <c r="R21">
        <v>77</v>
      </c>
      <c r="S21">
        <v>0</v>
      </c>
      <c r="T21" t="s">
        <v>80</v>
      </c>
      <c r="U21" t="s">
        <v>61</v>
      </c>
      <c r="V21">
        <v>2.9</v>
      </c>
      <c r="W21">
        <v>3.67</v>
      </c>
      <c r="X21">
        <v>2.6</v>
      </c>
      <c r="Y21">
        <v>9.5</v>
      </c>
      <c r="Z21">
        <v>3.7</v>
      </c>
    </row>
    <row r="22" spans="1:26">
      <c r="A22" t="s">
        <v>316</v>
      </c>
      <c r="B22">
        <v>28</v>
      </c>
      <c r="C22" t="s">
        <v>44</v>
      </c>
      <c r="D22" t="s">
        <v>39</v>
      </c>
      <c r="E22" t="s">
        <v>259</v>
      </c>
      <c r="F22" t="s">
        <v>150</v>
      </c>
      <c r="G22" t="s">
        <v>294</v>
      </c>
      <c r="H22" t="s">
        <v>32</v>
      </c>
      <c r="I22" t="s">
        <v>18</v>
      </c>
      <c r="J22" s="7">
        <v>44921</v>
      </c>
      <c r="K22" s="7">
        <v>45408</v>
      </c>
      <c r="L22" s="5">
        <v>100</v>
      </c>
      <c r="M22" t="s">
        <v>27</v>
      </c>
      <c r="N22" t="s">
        <v>317</v>
      </c>
      <c r="O22">
        <v>100</v>
      </c>
      <c r="P22" t="s">
        <v>206</v>
      </c>
      <c r="Q22" t="s">
        <v>28</v>
      </c>
      <c r="R22">
        <v>108</v>
      </c>
      <c r="S22">
        <v>1</v>
      </c>
      <c r="T22" t="s">
        <v>82</v>
      </c>
      <c r="U22" t="s">
        <v>61</v>
      </c>
      <c r="V22">
        <v>1.68</v>
      </c>
      <c r="W22">
        <v>2.11</v>
      </c>
      <c r="X22">
        <v>2.6</v>
      </c>
      <c r="Y22">
        <v>7.6</v>
      </c>
      <c r="Z22">
        <v>5.1</v>
      </c>
    </row>
    <row r="23" spans="1:26">
      <c r="A23" t="s">
        <v>318</v>
      </c>
      <c r="B23">
        <v>52</v>
      </c>
      <c r="C23" t="s">
        <v>71</v>
      </c>
      <c r="D23" t="s">
        <v>41</v>
      </c>
      <c r="E23" t="s">
        <v>311</v>
      </c>
      <c r="F23" t="s">
        <v>260</v>
      </c>
      <c r="G23" t="s">
        <v>319</v>
      </c>
      <c r="H23" t="s">
        <v>34</v>
      </c>
      <c r="I23" t="s">
        <v>16</v>
      </c>
      <c r="J23" s="7">
        <v>43508</v>
      </c>
      <c r="K23" s="7">
        <v>43933</v>
      </c>
      <c r="L23" s="5">
        <v>50</v>
      </c>
      <c r="M23" t="s">
        <v>25</v>
      </c>
      <c r="N23" t="s">
        <v>320</v>
      </c>
      <c r="O23">
        <v>50</v>
      </c>
      <c r="P23" t="s">
        <v>211</v>
      </c>
      <c r="Q23" t="s">
        <v>27</v>
      </c>
      <c r="R23">
        <v>129</v>
      </c>
      <c r="S23">
        <v>0</v>
      </c>
      <c r="T23" t="s">
        <v>83</v>
      </c>
      <c r="U23" t="s">
        <v>63</v>
      </c>
      <c r="V23">
        <v>2.84</v>
      </c>
      <c r="W23">
        <v>1.83</v>
      </c>
      <c r="X23">
        <v>4.3</v>
      </c>
      <c r="Y23">
        <v>15.1</v>
      </c>
      <c r="Z23">
        <v>14.7</v>
      </c>
    </row>
    <row r="24" spans="1:26">
      <c r="A24" t="s">
        <v>321</v>
      </c>
      <c r="B24">
        <v>84</v>
      </c>
      <c r="C24" t="s">
        <v>71</v>
      </c>
      <c r="D24" t="s">
        <v>43</v>
      </c>
      <c r="E24" t="s">
        <v>259</v>
      </c>
      <c r="F24" t="s">
        <v>264</v>
      </c>
      <c r="G24" t="s">
        <v>322</v>
      </c>
      <c r="H24" t="s">
        <v>34</v>
      </c>
      <c r="I24" t="s">
        <v>18</v>
      </c>
      <c r="J24" s="7">
        <v>43538</v>
      </c>
      <c r="K24" s="7">
        <v>43844</v>
      </c>
      <c r="L24" s="5">
        <v>200</v>
      </c>
      <c r="M24" t="s">
        <v>27</v>
      </c>
      <c r="N24" t="s">
        <v>323</v>
      </c>
      <c r="O24">
        <v>200</v>
      </c>
      <c r="P24" t="s">
        <v>211</v>
      </c>
      <c r="Q24" t="s">
        <v>26</v>
      </c>
      <c r="R24">
        <v>156</v>
      </c>
      <c r="S24">
        <v>0</v>
      </c>
      <c r="T24" t="s">
        <v>80</v>
      </c>
      <c r="U24" t="s">
        <v>63</v>
      </c>
      <c r="V24">
        <v>1.16</v>
      </c>
      <c r="W24">
        <v>4.2</v>
      </c>
      <c r="X24">
        <v>6.7</v>
      </c>
      <c r="Y24">
        <v>7.5</v>
      </c>
      <c r="Z24">
        <v>17.9</v>
      </c>
    </row>
    <row r="25" spans="1:26">
      <c r="A25" t="s">
        <v>324</v>
      </c>
      <c r="B25">
        <v>76</v>
      </c>
      <c r="C25" t="s">
        <v>71</v>
      </c>
      <c r="D25" t="s">
        <v>41</v>
      </c>
      <c r="E25" t="s">
        <v>150</v>
      </c>
      <c r="F25" t="s">
        <v>260</v>
      </c>
      <c r="G25" t="s">
        <v>256</v>
      </c>
      <c r="H25" t="s">
        <v>34</v>
      </c>
      <c r="I25" t="s">
        <v>19</v>
      </c>
      <c r="J25" s="7">
        <v>44726</v>
      </c>
      <c r="K25" s="7">
        <v>45213</v>
      </c>
      <c r="L25" s="5">
        <v>100</v>
      </c>
      <c r="M25" t="s">
        <v>150</v>
      </c>
      <c r="N25" t="s">
        <v>325</v>
      </c>
      <c r="O25">
        <v>100</v>
      </c>
      <c r="P25" t="s">
        <v>211</v>
      </c>
      <c r="Q25" t="s">
        <v>26</v>
      </c>
      <c r="R25">
        <v>131</v>
      </c>
      <c r="S25">
        <v>0</v>
      </c>
      <c r="T25" t="s">
        <v>81</v>
      </c>
      <c r="U25" t="s">
        <v>61</v>
      </c>
      <c r="V25">
        <v>4.68</v>
      </c>
      <c r="W25">
        <v>1.24</v>
      </c>
      <c r="X25">
        <v>3.5</v>
      </c>
      <c r="Y25">
        <v>20.5</v>
      </c>
      <c r="Z25">
        <v>15.7</v>
      </c>
    </row>
    <row r="26" spans="1:26">
      <c r="A26" t="s">
        <v>326</v>
      </c>
      <c r="B26">
        <v>80</v>
      </c>
      <c r="C26" t="s">
        <v>44</v>
      </c>
      <c r="D26" t="s">
        <v>41</v>
      </c>
      <c r="E26" t="s">
        <v>150</v>
      </c>
      <c r="F26" t="s">
        <v>260</v>
      </c>
      <c r="G26" t="s">
        <v>327</v>
      </c>
      <c r="H26" t="s">
        <v>29</v>
      </c>
      <c r="I26" t="s">
        <v>18</v>
      </c>
      <c r="J26" s="7">
        <v>45175</v>
      </c>
      <c r="K26" s="7">
        <v>45663</v>
      </c>
      <c r="L26" s="5">
        <v>50</v>
      </c>
      <c r="M26" t="s">
        <v>27</v>
      </c>
      <c r="N26" t="s">
        <v>328</v>
      </c>
      <c r="O26">
        <v>50</v>
      </c>
      <c r="P26" t="s">
        <v>205</v>
      </c>
      <c r="Q26" t="s">
        <v>28</v>
      </c>
      <c r="R26">
        <v>134</v>
      </c>
      <c r="S26">
        <v>0</v>
      </c>
      <c r="T26" t="s">
        <v>82</v>
      </c>
      <c r="U26" t="s">
        <v>63</v>
      </c>
      <c r="V26">
        <v>1.74</v>
      </c>
      <c r="W26">
        <v>1.84</v>
      </c>
      <c r="X26">
        <v>4.3</v>
      </c>
      <c r="Y26">
        <v>14.7</v>
      </c>
      <c r="Z26">
        <v>13.5</v>
      </c>
    </row>
    <row r="27" spans="1:26">
      <c r="A27" t="s">
        <v>329</v>
      </c>
      <c r="B27">
        <v>56</v>
      </c>
      <c r="C27" t="s">
        <v>71</v>
      </c>
      <c r="D27" t="s">
        <v>39</v>
      </c>
      <c r="E27" t="s">
        <v>259</v>
      </c>
      <c r="F27" t="s">
        <v>150</v>
      </c>
      <c r="G27" t="s">
        <v>297</v>
      </c>
      <c r="H27" t="s">
        <v>29</v>
      </c>
      <c r="I27" t="s">
        <v>20</v>
      </c>
      <c r="J27" s="7">
        <v>45157</v>
      </c>
      <c r="K27" s="7">
        <v>45523</v>
      </c>
      <c r="L27" s="5">
        <v>200</v>
      </c>
      <c r="M27" t="s">
        <v>28</v>
      </c>
      <c r="N27" t="s">
        <v>330</v>
      </c>
      <c r="O27">
        <v>200</v>
      </c>
      <c r="P27" t="s">
        <v>205</v>
      </c>
      <c r="Q27" t="s">
        <v>28</v>
      </c>
      <c r="R27">
        <v>57</v>
      </c>
      <c r="S27">
        <v>0</v>
      </c>
      <c r="T27" t="s">
        <v>78</v>
      </c>
      <c r="U27" t="s">
        <v>61</v>
      </c>
      <c r="V27">
        <v>2.48</v>
      </c>
      <c r="W27">
        <v>2.85</v>
      </c>
      <c r="X27">
        <v>7.7</v>
      </c>
      <c r="Y27">
        <v>6.7</v>
      </c>
      <c r="Z27">
        <v>7.3</v>
      </c>
    </row>
    <row r="28" spans="1:26">
      <c r="A28" t="s">
        <v>331</v>
      </c>
      <c r="B28">
        <v>39</v>
      </c>
      <c r="C28" t="s">
        <v>44</v>
      </c>
      <c r="D28" t="s">
        <v>44</v>
      </c>
      <c r="E28" t="s">
        <v>311</v>
      </c>
      <c r="F28" t="s">
        <v>150</v>
      </c>
      <c r="G28" t="s">
        <v>297</v>
      </c>
      <c r="H28" t="s">
        <v>32</v>
      </c>
      <c r="I28" t="s">
        <v>20</v>
      </c>
      <c r="J28" s="7">
        <v>43469</v>
      </c>
      <c r="K28" s="7">
        <v>43773</v>
      </c>
      <c r="L28" s="5">
        <v>100</v>
      </c>
      <c r="M28" t="s">
        <v>25</v>
      </c>
      <c r="N28" t="s">
        <v>332</v>
      </c>
      <c r="O28">
        <v>100</v>
      </c>
      <c r="P28" t="s">
        <v>211</v>
      </c>
      <c r="Q28" t="s">
        <v>27</v>
      </c>
      <c r="R28">
        <v>180</v>
      </c>
      <c r="S28">
        <v>0</v>
      </c>
      <c r="T28" t="s">
        <v>80</v>
      </c>
      <c r="U28" t="s">
        <v>63</v>
      </c>
      <c r="V28">
        <v>3.85</v>
      </c>
      <c r="W28">
        <v>4.58</v>
      </c>
      <c r="X28">
        <v>5.6</v>
      </c>
      <c r="Y28">
        <v>15.6</v>
      </c>
      <c r="Z28">
        <v>4.8</v>
      </c>
    </row>
    <row r="29" spans="1:26">
      <c r="A29" t="s">
        <v>333</v>
      </c>
      <c r="B29">
        <v>62</v>
      </c>
      <c r="C29" t="s">
        <v>71</v>
      </c>
      <c r="D29" t="s">
        <v>43</v>
      </c>
      <c r="E29" t="s">
        <v>311</v>
      </c>
      <c r="F29" t="s">
        <v>277</v>
      </c>
      <c r="G29" t="s">
        <v>284</v>
      </c>
      <c r="H29" t="s">
        <v>30</v>
      </c>
      <c r="I29" t="s">
        <v>19</v>
      </c>
      <c r="J29" s="7">
        <v>44362</v>
      </c>
      <c r="K29" s="7">
        <v>44910</v>
      </c>
      <c r="L29" s="5">
        <v>100</v>
      </c>
      <c r="M29" t="s">
        <v>27</v>
      </c>
      <c r="N29" t="s">
        <v>334</v>
      </c>
      <c r="O29">
        <v>100</v>
      </c>
      <c r="P29" t="s">
        <v>211</v>
      </c>
      <c r="Q29" t="s">
        <v>27</v>
      </c>
      <c r="R29">
        <v>111</v>
      </c>
      <c r="S29">
        <v>0</v>
      </c>
      <c r="T29" t="s">
        <v>83</v>
      </c>
      <c r="U29" t="s">
        <v>61</v>
      </c>
      <c r="V29">
        <v>2.79</v>
      </c>
      <c r="W29">
        <v>3.13</v>
      </c>
      <c r="X29">
        <v>3.2</v>
      </c>
      <c r="Y29">
        <v>10.8</v>
      </c>
      <c r="Z29">
        <v>9.4</v>
      </c>
    </row>
    <row r="30" spans="1:26">
      <c r="A30" t="s">
        <v>335</v>
      </c>
      <c r="B30">
        <v>23</v>
      </c>
      <c r="C30" t="s">
        <v>44</v>
      </c>
      <c r="D30" t="s">
        <v>42</v>
      </c>
      <c r="E30" t="s">
        <v>311</v>
      </c>
      <c r="F30" t="s">
        <v>150</v>
      </c>
      <c r="G30" t="s">
        <v>284</v>
      </c>
      <c r="H30" t="s">
        <v>30</v>
      </c>
      <c r="I30" t="s">
        <v>18</v>
      </c>
      <c r="J30" s="7">
        <v>45003</v>
      </c>
      <c r="K30" s="7">
        <v>45248</v>
      </c>
      <c r="L30" s="5">
        <v>150</v>
      </c>
      <c r="M30" t="s">
        <v>27</v>
      </c>
      <c r="N30" t="s">
        <v>336</v>
      </c>
      <c r="O30">
        <v>150</v>
      </c>
      <c r="P30" t="s">
        <v>205</v>
      </c>
      <c r="Q30" t="s">
        <v>26</v>
      </c>
      <c r="R30">
        <v>77</v>
      </c>
      <c r="S30">
        <v>0</v>
      </c>
      <c r="T30" t="s">
        <v>82</v>
      </c>
      <c r="U30" t="s">
        <v>61</v>
      </c>
      <c r="V30">
        <v>1.08</v>
      </c>
      <c r="W30">
        <v>2.29</v>
      </c>
      <c r="X30">
        <v>2.9</v>
      </c>
      <c r="Y30">
        <v>11.9</v>
      </c>
      <c r="Z30">
        <v>5</v>
      </c>
    </row>
    <row r="31" spans="1:26">
      <c r="A31" t="s">
        <v>337</v>
      </c>
      <c r="B31">
        <v>21</v>
      </c>
      <c r="C31" t="s">
        <v>44</v>
      </c>
      <c r="D31" t="s">
        <v>44</v>
      </c>
      <c r="E31" t="s">
        <v>259</v>
      </c>
      <c r="F31" t="s">
        <v>260</v>
      </c>
      <c r="G31" t="s">
        <v>297</v>
      </c>
      <c r="H31" t="s">
        <v>29</v>
      </c>
      <c r="I31" t="s">
        <v>18</v>
      </c>
      <c r="J31" s="7">
        <v>43976</v>
      </c>
      <c r="K31" s="7">
        <v>44494</v>
      </c>
      <c r="L31" s="5">
        <v>50</v>
      </c>
      <c r="M31" t="s">
        <v>28</v>
      </c>
      <c r="N31" t="s">
        <v>338</v>
      </c>
      <c r="O31">
        <v>50</v>
      </c>
      <c r="P31" t="s">
        <v>206</v>
      </c>
      <c r="Q31" t="s">
        <v>27</v>
      </c>
      <c r="R31">
        <v>59</v>
      </c>
      <c r="S31">
        <v>1</v>
      </c>
      <c r="T31" t="s">
        <v>81</v>
      </c>
      <c r="U31" t="s">
        <v>61</v>
      </c>
      <c r="V31">
        <v>4.56</v>
      </c>
      <c r="W31">
        <v>3.37</v>
      </c>
      <c r="X31">
        <v>7.1</v>
      </c>
      <c r="Y31">
        <v>20.2</v>
      </c>
      <c r="Z31">
        <v>11.5</v>
      </c>
    </row>
    <row r="32" spans="1:26">
      <c r="A32" t="s">
        <v>339</v>
      </c>
      <c r="B32">
        <v>85</v>
      </c>
      <c r="C32" t="s">
        <v>44</v>
      </c>
      <c r="D32" t="s">
        <v>39</v>
      </c>
      <c r="E32" t="s">
        <v>255</v>
      </c>
      <c r="F32" t="s">
        <v>260</v>
      </c>
      <c r="G32" t="s">
        <v>274</v>
      </c>
      <c r="H32" t="s">
        <v>29</v>
      </c>
      <c r="I32" t="s">
        <v>19</v>
      </c>
      <c r="J32" s="7">
        <v>44428</v>
      </c>
      <c r="K32" s="7">
        <v>44671</v>
      </c>
      <c r="L32" s="5">
        <v>150</v>
      </c>
      <c r="M32" t="s">
        <v>25</v>
      </c>
      <c r="N32" t="s">
        <v>340</v>
      </c>
      <c r="O32">
        <v>150</v>
      </c>
      <c r="P32" t="s">
        <v>211</v>
      </c>
      <c r="Q32" t="s">
        <v>28</v>
      </c>
      <c r="R32">
        <v>91</v>
      </c>
      <c r="S32">
        <v>0</v>
      </c>
      <c r="T32" t="s">
        <v>81</v>
      </c>
      <c r="U32" t="s">
        <v>63</v>
      </c>
      <c r="V32">
        <v>1.35</v>
      </c>
      <c r="W32">
        <v>3.15</v>
      </c>
      <c r="X32">
        <v>6.3</v>
      </c>
      <c r="Y32">
        <v>19.4</v>
      </c>
      <c r="Z32">
        <v>10.3</v>
      </c>
    </row>
    <row r="33" spans="1:26">
      <c r="A33" t="s">
        <v>341</v>
      </c>
      <c r="B33">
        <v>41</v>
      </c>
      <c r="C33" t="s">
        <v>70</v>
      </c>
      <c r="D33" t="s">
        <v>41</v>
      </c>
      <c r="E33" t="s">
        <v>255</v>
      </c>
      <c r="F33" t="s">
        <v>268</v>
      </c>
      <c r="G33" t="s">
        <v>281</v>
      </c>
      <c r="H33" t="s">
        <v>34</v>
      </c>
      <c r="I33" t="s">
        <v>20</v>
      </c>
      <c r="J33" s="7">
        <v>44064</v>
      </c>
      <c r="K33" s="7">
        <v>44490</v>
      </c>
      <c r="L33" s="5">
        <v>100</v>
      </c>
      <c r="M33" t="s">
        <v>26</v>
      </c>
      <c r="N33" t="s">
        <v>302</v>
      </c>
      <c r="O33">
        <v>100</v>
      </c>
      <c r="P33" t="s">
        <v>206</v>
      </c>
      <c r="Q33" t="s">
        <v>150</v>
      </c>
      <c r="R33">
        <v>145</v>
      </c>
      <c r="S33">
        <v>1</v>
      </c>
      <c r="T33" t="s">
        <v>80</v>
      </c>
      <c r="U33" t="s">
        <v>63</v>
      </c>
      <c r="V33">
        <v>1.51</v>
      </c>
      <c r="W33">
        <v>2.14</v>
      </c>
      <c r="X33">
        <v>4.3</v>
      </c>
      <c r="Y33">
        <v>17.6</v>
      </c>
      <c r="Z33">
        <v>12.7</v>
      </c>
    </row>
    <row r="34" spans="1:26">
      <c r="A34" t="s">
        <v>342</v>
      </c>
      <c r="B34">
        <v>63</v>
      </c>
      <c r="C34" t="s">
        <v>71</v>
      </c>
      <c r="D34" t="s">
        <v>43</v>
      </c>
      <c r="E34" t="s">
        <v>259</v>
      </c>
      <c r="F34" t="s">
        <v>260</v>
      </c>
      <c r="G34" t="s">
        <v>319</v>
      </c>
      <c r="H34" t="s">
        <v>34</v>
      </c>
      <c r="I34" t="s">
        <v>20</v>
      </c>
      <c r="J34" s="7">
        <v>44765</v>
      </c>
      <c r="K34" s="7">
        <v>45161</v>
      </c>
      <c r="L34" s="5">
        <v>200</v>
      </c>
      <c r="M34" t="s">
        <v>28</v>
      </c>
      <c r="N34" t="s">
        <v>343</v>
      </c>
      <c r="O34">
        <v>200</v>
      </c>
      <c r="P34" t="s">
        <v>206</v>
      </c>
      <c r="Q34" t="s">
        <v>26</v>
      </c>
      <c r="R34">
        <v>104</v>
      </c>
      <c r="S34">
        <v>1</v>
      </c>
      <c r="T34" t="s">
        <v>83</v>
      </c>
      <c r="U34" t="s">
        <v>61</v>
      </c>
      <c r="V34">
        <v>2.42</v>
      </c>
      <c r="W34">
        <v>4.95</v>
      </c>
      <c r="X34">
        <v>6.5</v>
      </c>
      <c r="Y34">
        <v>10.3</v>
      </c>
      <c r="Z34">
        <v>4.7</v>
      </c>
    </row>
    <row r="35" spans="1:26">
      <c r="A35" t="s">
        <v>344</v>
      </c>
      <c r="B35">
        <v>46</v>
      </c>
      <c r="C35" t="s">
        <v>44</v>
      </c>
      <c r="D35" t="s">
        <v>39</v>
      </c>
      <c r="E35" t="s">
        <v>259</v>
      </c>
      <c r="F35" t="s">
        <v>150</v>
      </c>
      <c r="G35" t="s">
        <v>274</v>
      </c>
      <c r="H35" t="s">
        <v>34</v>
      </c>
      <c r="I35" t="s">
        <v>16</v>
      </c>
      <c r="J35" s="7">
        <v>44966</v>
      </c>
      <c r="K35" s="7">
        <v>45513</v>
      </c>
      <c r="L35" s="5">
        <v>150</v>
      </c>
      <c r="M35" t="s">
        <v>28</v>
      </c>
      <c r="N35" t="s">
        <v>345</v>
      </c>
      <c r="O35">
        <v>150</v>
      </c>
      <c r="P35" t="s">
        <v>211</v>
      </c>
      <c r="Q35" t="s">
        <v>28</v>
      </c>
      <c r="R35">
        <v>93</v>
      </c>
      <c r="S35">
        <v>0</v>
      </c>
      <c r="T35" t="s">
        <v>81</v>
      </c>
      <c r="U35" t="s">
        <v>63</v>
      </c>
      <c r="V35">
        <v>1.61</v>
      </c>
      <c r="W35">
        <v>1.98</v>
      </c>
      <c r="X35">
        <v>2.4</v>
      </c>
      <c r="Y35">
        <v>9.4</v>
      </c>
      <c r="Z35">
        <v>7.8</v>
      </c>
    </row>
    <row r="36" spans="1:26">
      <c r="A36" t="s">
        <v>346</v>
      </c>
      <c r="B36">
        <v>75</v>
      </c>
      <c r="C36" t="s">
        <v>70</v>
      </c>
      <c r="D36" t="s">
        <v>39</v>
      </c>
      <c r="E36" t="s">
        <v>311</v>
      </c>
      <c r="F36" t="s">
        <v>277</v>
      </c>
      <c r="G36" t="s">
        <v>265</v>
      </c>
      <c r="H36" t="s">
        <v>30</v>
      </c>
      <c r="I36" t="s">
        <v>19</v>
      </c>
      <c r="J36" s="7">
        <v>45244</v>
      </c>
      <c r="K36" s="7">
        <v>45487</v>
      </c>
      <c r="L36" s="5">
        <v>100</v>
      </c>
      <c r="M36" t="s">
        <v>26</v>
      </c>
      <c r="N36" t="s">
        <v>347</v>
      </c>
      <c r="O36">
        <v>100</v>
      </c>
      <c r="P36" t="s">
        <v>205</v>
      </c>
      <c r="Q36" t="s">
        <v>150</v>
      </c>
      <c r="R36">
        <v>166</v>
      </c>
      <c r="S36">
        <v>0</v>
      </c>
      <c r="T36" t="s">
        <v>81</v>
      </c>
      <c r="U36" t="s">
        <v>63</v>
      </c>
      <c r="V36">
        <v>1.69</v>
      </c>
      <c r="W36">
        <v>4.59</v>
      </c>
      <c r="X36">
        <v>1.7</v>
      </c>
      <c r="Y36">
        <v>15.4</v>
      </c>
      <c r="Z36">
        <v>10</v>
      </c>
    </row>
    <row r="37" spans="1:26">
      <c r="A37" t="s">
        <v>348</v>
      </c>
      <c r="B37">
        <v>59</v>
      </c>
      <c r="C37" t="s">
        <v>44</v>
      </c>
      <c r="D37" t="s">
        <v>39</v>
      </c>
      <c r="E37" t="s">
        <v>150</v>
      </c>
      <c r="F37" t="s">
        <v>150</v>
      </c>
      <c r="G37" t="s">
        <v>349</v>
      </c>
      <c r="H37" t="s">
        <v>29</v>
      </c>
      <c r="I37" t="s">
        <v>18</v>
      </c>
      <c r="J37" s="7">
        <v>44570</v>
      </c>
      <c r="K37" s="7">
        <v>45055</v>
      </c>
      <c r="L37" s="5">
        <v>100</v>
      </c>
      <c r="M37" t="s">
        <v>26</v>
      </c>
      <c r="N37" t="s">
        <v>350</v>
      </c>
      <c r="O37">
        <v>100</v>
      </c>
      <c r="P37" t="s">
        <v>211</v>
      </c>
      <c r="Q37" t="s">
        <v>26</v>
      </c>
      <c r="R37">
        <v>130</v>
      </c>
      <c r="S37">
        <v>0</v>
      </c>
      <c r="T37" t="s">
        <v>82</v>
      </c>
      <c r="U37" t="s">
        <v>63</v>
      </c>
      <c r="V37">
        <v>4.93</v>
      </c>
      <c r="W37">
        <v>1.45</v>
      </c>
      <c r="X37">
        <v>4.6</v>
      </c>
      <c r="Y37">
        <v>23.5</v>
      </c>
      <c r="Z37">
        <v>17.7</v>
      </c>
    </row>
    <row r="38" spans="1:26">
      <c r="A38" t="s">
        <v>351</v>
      </c>
      <c r="B38">
        <v>52</v>
      </c>
      <c r="C38" t="s">
        <v>44</v>
      </c>
      <c r="D38" t="s">
        <v>43</v>
      </c>
      <c r="E38" t="s">
        <v>272</v>
      </c>
      <c r="F38" t="s">
        <v>277</v>
      </c>
      <c r="G38" t="s">
        <v>297</v>
      </c>
      <c r="H38" t="s">
        <v>32</v>
      </c>
      <c r="I38" t="s">
        <v>19</v>
      </c>
      <c r="J38" s="7">
        <v>44784</v>
      </c>
      <c r="K38" s="7">
        <v>45241</v>
      </c>
      <c r="L38" s="5">
        <v>50</v>
      </c>
      <c r="M38" t="s">
        <v>28</v>
      </c>
      <c r="N38" t="s">
        <v>352</v>
      </c>
      <c r="O38">
        <v>50</v>
      </c>
      <c r="P38" t="s">
        <v>205</v>
      </c>
      <c r="Q38" t="s">
        <v>150</v>
      </c>
      <c r="R38">
        <v>46</v>
      </c>
      <c r="S38">
        <v>0</v>
      </c>
      <c r="T38" t="s">
        <v>80</v>
      </c>
      <c r="U38" t="s">
        <v>61</v>
      </c>
      <c r="V38">
        <v>4.27</v>
      </c>
      <c r="W38">
        <v>2.03</v>
      </c>
      <c r="X38">
        <v>2.5</v>
      </c>
      <c r="Y38">
        <v>18</v>
      </c>
      <c r="Z38">
        <v>18.8</v>
      </c>
    </row>
    <row r="39" spans="1:26">
      <c r="A39" t="s">
        <v>353</v>
      </c>
      <c r="B39">
        <v>45</v>
      </c>
      <c r="C39" t="s">
        <v>70</v>
      </c>
      <c r="D39" t="s">
        <v>41</v>
      </c>
      <c r="E39" t="s">
        <v>272</v>
      </c>
      <c r="F39" t="s">
        <v>264</v>
      </c>
      <c r="G39" t="s">
        <v>256</v>
      </c>
      <c r="H39" t="s">
        <v>30</v>
      </c>
      <c r="I39" t="s">
        <v>20</v>
      </c>
      <c r="J39" s="7">
        <v>44525</v>
      </c>
      <c r="K39" s="7">
        <v>44706</v>
      </c>
      <c r="L39" s="5">
        <v>50</v>
      </c>
      <c r="M39" t="s">
        <v>27</v>
      </c>
      <c r="N39" t="s">
        <v>354</v>
      </c>
      <c r="O39">
        <v>50</v>
      </c>
      <c r="P39" t="s">
        <v>206</v>
      </c>
      <c r="Q39" t="s">
        <v>26</v>
      </c>
      <c r="R39">
        <v>142</v>
      </c>
      <c r="S39">
        <v>1</v>
      </c>
      <c r="T39" t="s">
        <v>82</v>
      </c>
      <c r="U39" t="s">
        <v>63</v>
      </c>
      <c r="V39">
        <v>3.23</v>
      </c>
      <c r="W39">
        <v>3.29</v>
      </c>
      <c r="X39">
        <v>3.5</v>
      </c>
      <c r="Y39">
        <v>19.9</v>
      </c>
      <c r="Z39">
        <v>6.2</v>
      </c>
    </row>
    <row r="40" spans="1:26">
      <c r="A40" t="s">
        <v>355</v>
      </c>
      <c r="B40">
        <v>72</v>
      </c>
      <c r="C40" t="s">
        <v>71</v>
      </c>
      <c r="D40" t="s">
        <v>41</v>
      </c>
      <c r="E40" t="s">
        <v>150</v>
      </c>
      <c r="F40" t="s">
        <v>264</v>
      </c>
      <c r="G40" t="s">
        <v>294</v>
      </c>
      <c r="H40" t="s">
        <v>32</v>
      </c>
      <c r="I40" t="s">
        <v>19</v>
      </c>
      <c r="J40" s="7">
        <v>43638</v>
      </c>
      <c r="K40" s="7">
        <v>44126</v>
      </c>
      <c r="L40" s="5">
        <v>100</v>
      </c>
      <c r="M40" t="s">
        <v>27</v>
      </c>
      <c r="N40" t="s">
        <v>356</v>
      </c>
      <c r="O40">
        <v>100</v>
      </c>
      <c r="P40" t="s">
        <v>211</v>
      </c>
      <c r="Q40" t="s">
        <v>26</v>
      </c>
      <c r="R40">
        <v>139</v>
      </c>
      <c r="S40">
        <v>0</v>
      </c>
      <c r="T40" t="s">
        <v>83</v>
      </c>
      <c r="U40" t="s">
        <v>63</v>
      </c>
      <c r="V40">
        <v>2.29</v>
      </c>
      <c r="W40">
        <v>2.7</v>
      </c>
      <c r="X40">
        <v>5.6</v>
      </c>
      <c r="Y40">
        <v>10.4</v>
      </c>
      <c r="Z40">
        <v>5</v>
      </c>
    </row>
    <row r="41" spans="1:26">
      <c r="A41" t="s">
        <v>357</v>
      </c>
      <c r="B41">
        <v>18</v>
      </c>
      <c r="C41" t="s">
        <v>71</v>
      </c>
      <c r="D41" t="s">
        <v>43</v>
      </c>
      <c r="E41" t="s">
        <v>311</v>
      </c>
      <c r="F41" t="s">
        <v>273</v>
      </c>
      <c r="G41" t="s">
        <v>349</v>
      </c>
      <c r="H41" t="s">
        <v>34</v>
      </c>
      <c r="I41" t="s">
        <v>16</v>
      </c>
      <c r="J41" s="7">
        <v>43810</v>
      </c>
      <c r="K41" s="7">
        <v>44023</v>
      </c>
      <c r="L41" s="5">
        <v>200</v>
      </c>
      <c r="M41" t="s">
        <v>26</v>
      </c>
      <c r="N41" t="s">
        <v>358</v>
      </c>
      <c r="O41">
        <v>200</v>
      </c>
      <c r="P41" t="s">
        <v>211</v>
      </c>
      <c r="Q41" t="s">
        <v>28</v>
      </c>
      <c r="R41">
        <v>56</v>
      </c>
      <c r="S41">
        <v>0</v>
      </c>
      <c r="T41" t="s">
        <v>83</v>
      </c>
      <c r="U41" t="s">
        <v>61</v>
      </c>
      <c r="V41">
        <v>3.44</v>
      </c>
      <c r="W41">
        <v>2.15</v>
      </c>
      <c r="X41">
        <v>6.2</v>
      </c>
      <c r="Y41">
        <v>8.8</v>
      </c>
      <c r="Z41">
        <v>11.2</v>
      </c>
    </row>
    <row r="42" spans="1:26">
      <c r="A42" t="s">
        <v>359</v>
      </c>
      <c r="B42">
        <v>65</v>
      </c>
      <c r="C42" t="s">
        <v>70</v>
      </c>
      <c r="D42" t="s">
        <v>41</v>
      </c>
      <c r="E42" t="s">
        <v>272</v>
      </c>
      <c r="F42" t="s">
        <v>150</v>
      </c>
      <c r="G42" t="s">
        <v>281</v>
      </c>
      <c r="H42" t="s">
        <v>30</v>
      </c>
      <c r="I42" t="s">
        <v>16</v>
      </c>
      <c r="J42" s="7">
        <v>45200</v>
      </c>
      <c r="K42" s="7">
        <v>45658</v>
      </c>
      <c r="L42" s="5">
        <v>100</v>
      </c>
      <c r="M42" t="s">
        <v>150</v>
      </c>
      <c r="N42" t="s">
        <v>356</v>
      </c>
      <c r="O42">
        <v>100</v>
      </c>
      <c r="P42" t="s">
        <v>205</v>
      </c>
      <c r="Q42" t="s">
        <v>26</v>
      </c>
      <c r="R42">
        <v>135</v>
      </c>
      <c r="S42">
        <v>0</v>
      </c>
      <c r="T42" t="s">
        <v>80</v>
      </c>
      <c r="U42" t="s">
        <v>61</v>
      </c>
      <c r="V42">
        <v>3.13</v>
      </c>
      <c r="W42">
        <v>1.21</v>
      </c>
      <c r="X42">
        <v>4</v>
      </c>
      <c r="Y42">
        <v>8.4</v>
      </c>
      <c r="Z42">
        <v>4.1</v>
      </c>
    </row>
    <row r="43" spans="1:26">
      <c r="A43" t="s">
        <v>360</v>
      </c>
      <c r="B43">
        <v>45</v>
      </c>
      <c r="C43" t="s">
        <v>71</v>
      </c>
      <c r="D43" t="s">
        <v>42</v>
      </c>
      <c r="E43" t="s">
        <v>259</v>
      </c>
      <c r="F43" t="s">
        <v>150</v>
      </c>
      <c r="G43" t="s">
        <v>274</v>
      </c>
      <c r="H43" t="s">
        <v>34</v>
      </c>
      <c r="I43" t="s">
        <v>19</v>
      </c>
      <c r="J43" s="7">
        <v>44738</v>
      </c>
      <c r="K43" s="7">
        <v>44983</v>
      </c>
      <c r="L43" s="5">
        <v>100</v>
      </c>
      <c r="M43" t="s">
        <v>28</v>
      </c>
      <c r="N43" t="s">
        <v>315</v>
      </c>
      <c r="O43">
        <v>100</v>
      </c>
      <c r="P43" t="s">
        <v>205</v>
      </c>
      <c r="Q43" t="s">
        <v>25</v>
      </c>
      <c r="R43">
        <v>102</v>
      </c>
      <c r="S43">
        <v>0</v>
      </c>
      <c r="T43" t="s">
        <v>83</v>
      </c>
      <c r="U43" t="s">
        <v>61</v>
      </c>
      <c r="V43">
        <v>4.96</v>
      </c>
      <c r="W43">
        <v>2.29</v>
      </c>
      <c r="X43">
        <v>8.3</v>
      </c>
      <c r="Y43">
        <v>10.6</v>
      </c>
      <c r="Z43">
        <v>14.6</v>
      </c>
    </row>
    <row r="44" spans="1:26">
      <c r="A44" t="s">
        <v>361</v>
      </c>
      <c r="B44">
        <v>44</v>
      </c>
      <c r="C44" t="s">
        <v>44</v>
      </c>
      <c r="D44" t="s">
        <v>44</v>
      </c>
      <c r="E44" t="s">
        <v>255</v>
      </c>
      <c r="F44" t="s">
        <v>260</v>
      </c>
      <c r="G44" t="s">
        <v>362</v>
      </c>
      <c r="H44" t="s">
        <v>29</v>
      </c>
      <c r="I44" t="s">
        <v>18</v>
      </c>
      <c r="J44" s="7">
        <v>44746</v>
      </c>
      <c r="K44" s="7">
        <v>45020</v>
      </c>
      <c r="L44" s="5">
        <v>200</v>
      </c>
      <c r="M44" t="s">
        <v>25</v>
      </c>
      <c r="N44" t="s">
        <v>320</v>
      </c>
      <c r="O44">
        <v>200</v>
      </c>
      <c r="P44" t="s">
        <v>211</v>
      </c>
      <c r="Q44" t="s">
        <v>150</v>
      </c>
      <c r="R44">
        <v>63</v>
      </c>
      <c r="S44">
        <v>0</v>
      </c>
      <c r="T44" t="s">
        <v>82</v>
      </c>
      <c r="U44" t="s">
        <v>61</v>
      </c>
      <c r="V44">
        <v>4.04</v>
      </c>
      <c r="W44">
        <v>3.38</v>
      </c>
      <c r="X44">
        <v>5.2</v>
      </c>
      <c r="Y44">
        <v>13.4</v>
      </c>
      <c r="Z44">
        <v>8.9</v>
      </c>
    </row>
    <row r="45" spans="1:26">
      <c r="A45" t="s">
        <v>363</v>
      </c>
      <c r="B45">
        <v>64</v>
      </c>
      <c r="C45" t="s">
        <v>44</v>
      </c>
      <c r="D45" t="s">
        <v>41</v>
      </c>
      <c r="E45" t="s">
        <v>272</v>
      </c>
      <c r="F45" t="s">
        <v>150</v>
      </c>
      <c r="G45" t="s">
        <v>294</v>
      </c>
      <c r="H45" t="s">
        <v>29</v>
      </c>
      <c r="I45" t="s">
        <v>16</v>
      </c>
      <c r="J45" s="7">
        <v>43592</v>
      </c>
      <c r="K45" s="7">
        <v>43776</v>
      </c>
      <c r="L45" s="5">
        <v>50</v>
      </c>
      <c r="M45" t="s">
        <v>25</v>
      </c>
      <c r="N45" t="s">
        <v>356</v>
      </c>
      <c r="O45">
        <v>50</v>
      </c>
      <c r="P45" t="s">
        <v>205</v>
      </c>
      <c r="Q45" t="s">
        <v>25</v>
      </c>
      <c r="R45">
        <v>136</v>
      </c>
      <c r="S45">
        <v>0</v>
      </c>
      <c r="T45" t="s">
        <v>82</v>
      </c>
      <c r="U45" t="s">
        <v>61</v>
      </c>
      <c r="V45">
        <v>4.72</v>
      </c>
      <c r="W45">
        <v>4.32</v>
      </c>
      <c r="X45">
        <v>9.7</v>
      </c>
      <c r="Y45">
        <v>8.2</v>
      </c>
      <c r="Z45">
        <v>15.4</v>
      </c>
    </row>
    <row r="46" spans="1:26">
      <c r="A46" t="s">
        <v>364</v>
      </c>
      <c r="B46">
        <v>28</v>
      </c>
      <c r="C46" t="s">
        <v>44</v>
      </c>
      <c r="D46" t="s">
        <v>44</v>
      </c>
      <c r="E46" t="s">
        <v>255</v>
      </c>
      <c r="F46" t="s">
        <v>150</v>
      </c>
      <c r="G46" t="s">
        <v>322</v>
      </c>
      <c r="H46" t="s">
        <v>29</v>
      </c>
      <c r="I46" t="s">
        <v>19</v>
      </c>
      <c r="J46" s="7">
        <v>43715</v>
      </c>
      <c r="K46" s="7">
        <v>44262</v>
      </c>
      <c r="L46" s="5">
        <v>100</v>
      </c>
      <c r="M46" t="s">
        <v>150</v>
      </c>
      <c r="N46" t="s">
        <v>365</v>
      </c>
      <c r="O46">
        <v>100</v>
      </c>
      <c r="P46" t="s">
        <v>205</v>
      </c>
      <c r="Q46" t="s">
        <v>28</v>
      </c>
      <c r="R46">
        <v>109</v>
      </c>
      <c r="S46">
        <v>0</v>
      </c>
      <c r="T46" t="s">
        <v>82</v>
      </c>
      <c r="U46" t="s">
        <v>63</v>
      </c>
      <c r="V46">
        <v>4.75</v>
      </c>
      <c r="W46">
        <v>1.72</v>
      </c>
      <c r="X46">
        <v>1.6</v>
      </c>
      <c r="Y46">
        <v>19.3</v>
      </c>
      <c r="Z46">
        <v>12.8</v>
      </c>
    </row>
    <row r="47" spans="1:26">
      <c r="A47" t="s">
        <v>366</v>
      </c>
      <c r="B47">
        <v>25</v>
      </c>
      <c r="C47" t="s">
        <v>71</v>
      </c>
      <c r="D47" t="s">
        <v>42</v>
      </c>
      <c r="E47" t="s">
        <v>272</v>
      </c>
      <c r="F47" t="s">
        <v>268</v>
      </c>
      <c r="G47" t="s">
        <v>306</v>
      </c>
      <c r="H47" t="s">
        <v>29</v>
      </c>
      <c r="I47" t="s">
        <v>19</v>
      </c>
      <c r="J47" s="7">
        <v>43862</v>
      </c>
      <c r="K47" s="7">
        <v>44378</v>
      </c>
      <c r="L47" s="5">
        <v>100</v>
      </c>
      <c r="M47" t="s">
        <v>28</v>
      </c>
      <c r="N47" t="s">
        <v>367</v>
      </c>
      <c r="O47">
        <v>100</v>
      </c>
      <c r="P47" t="s">
        <v>205</v>
      </c>
      <c r="Q47" t="s">
        <v>25</v>
      </c>
      <c r="R47">
        <v>96</v>
      </c>
      <c r="S47">
        <v>0</v>
      </c>
      <c r="T47" t="s">
        <v>78</v>
      </c>
      <c r="U47" t="s">
        <v>61</v>
      </c>
      <c r="V47">
        <v>4.37</v>
      </c>
      <c r="W47">
        <v>1.56</v>
      </c>
      <c r="X47">
        <v>8.2</v>
      </c>
      <c r="Y47">
        <v>9.6</v>
      </c>
      <c r="Z47">
        <v>5.8</v>
      </c>
    </row>
    <row r="48" spans="1:26">
      <c r="A48" t="s">
        <v>368</v>
      </c>
      <c r="B48">
        <v>34</v>
      </c>
      <c r="C48" t="s">
        <v>44</v>
      </c>
      <c r="D48" t="s">
        <v>39</v>
      </c>
      <c r="E48" t="s">
        <v>311</v>
      </c>
      <c r="F48" t="s">
        <v>150</v>
      </c>
      <c r="G48" t="s">
        <v>312</v>
      </c>
      <c r="H48" t="s">
        <v>32</v>
      </c>
      <c r="I48" t="s">
        <v>20</v>
      </c>
      <c r="J48" s="7">
        <v>44442</v>
      </c>
      <c r="K48" s="7">
        <v>44745</v>
      </c>
      <c r="L48" s="5">
        <v>50</v>
      </c>
      <c r="M48" t="s">
        <v>27</v>
      </c>
      <c r="N48" t="s">
        <v>369</v>
      </c>
      <c r="O48">
        <v>50</v>
      </c>
      <c r="P48" t="s">
        <v>211</v>
      </c>
      <c r="Q48" t="s">
        <v>25</v>
      </c>
      <c r="R48">
        <v>72</v>
      </c>
      <c r="S48">
        <v>0</v>
      </c>
      <c r="T48" t="s">
        <v>81</v>
      </c>
      <c r="U48" t="s">
        <v>63</v>
      </c>
      <c r="V48">
        <v>1.66</v>
      </c>
      <c r="W48">
        <v>4.26</v>
      </c>
      <c r="X48">
        <v>7</v>
      </c>
      <c r="Y48">
        <v>15.4</v>
      </c>
      <c r="Z48">
        <v>9.1</v>
      </c>
    </row>
    <row r="49" spans="1:26">
      <c r="A49" t="s">
        <v>370</v>
      </c>
      <c r="B49">
        <v>50</v>
      </c>
      <c r="C49" t="s">
        <v>71</v>
      </c>
      <c r="D49" t="s">
        <v>44</v>
      </c>
      <c r="E49" t="s">
        <v>311</v>
      </c>
      <c r="F49" t="s">
        <v>268</v>
      </c>
      <c r="G49" t="s">
        <v>312</v>
      </c>
      <c r="H49" t="s">
        <v>29</v>
      </c>
      <c r="I49" t="s">
        <v>16</v>
      </c>
      <c r="J49" s="7">
        <v>43846</v>
      </c>
      <c r="K49" s="7">
        <v>44181</v>
      </c>
      <c r="L49" s="5">
        <v>200</v>
      </c>
      <c r="M49" t="s">
        <v>26</v>
      </c>
      <c r="N49" t="s">
        <v>371</v>
      </c>
      <c r="O49">
        <v>200</v>
      </c>
      <c r="P49" t="s">
        <v>205</v>
      </c>
      <c r="Q49" t="s">
        <v>27</v>
      </c>
      <c r="R49">
        <v>87</v>
      </c>
      <c r="S49">
        <v>0</v>
      </c>
      <c r="T49" t="s">
        <v>81</v>
      </c>
      <c r="U49" t="s">
        <v>63</v>
      </c>
      <c r="V49">
        <v>4.51</v>
      </c>
      <c r="W49">
        <v>2.57</v>
      </c>
      <c r="X49">
        <v>8.3</v>
      </c>
      <c r="Y49">
        <v>13.9</v>
      </c>
      <c r="Z49">
        <v>9.4</v>
      </c>
    </row>
    <row r="50" spans="1:26">
      <c r="A50" t="s">
        <v>372</v>
      </c>
      <c r="B50">
        <v>71</v>
      </c>
      <c r="C50" t="s">
        <v>44</v>
      </c>
      <c r="D50" t="s">
        <v>39</v>
      </c>
      <c r="E50" t="s">
        <v>150</v>
      </c>
      <c r="F50" t="s">
        <v>150</v>
      </c>
      <c r="G50" t="s">
        <v>274</v>
      </c>
      <c r="H50" t="s">
        <v>32</v>
      </c>
      <c r="I50" t="s">
        <v>16</v>
      </c>
      <c r="J50" s="7">
        <v>45232</v>
      </c>
      <c r="K50" s="7">
        <v>45475</v>
      </c>
      <c r="L50" s="5">
        <v>100</v>
      </c>
      <c r="M50" t="s">
        <v>28</v>
      </c>
      <c r="N50" t="s">
        <v>373</v>
      </c>
      <c r="O50">
        <v>100</v>
      </c>
      <c r="P50" t="s">
        <v>211</v>
      </c>
      <c r="Q50" t="s">
        <v>150</v>
      </c>
      <c r="R50">
        <v>113</v>
      </c>
      <c r="S50">
        <v>0</v>
      </c>
      <c r="T50" t="s">
        <v>83</v>
      </c>
      <c r="U50" t="s">
        <v>61</v>
      </c>
      <c r="V50">
        <v>2.85</v>
      </c>
      <c r="W50">
        <v>2.21</v>
      </c>
      <c r="X50">
        <v>7.7</v>
      </c>
      <c r="Y50">
        <v>15</v>
      </c>
      <c r="Z50">
        <v>6.9</v>
      </c>
    </row>
    <row r="51" spans="1:26">
      <c r="A51" t="s">
        <v>374</v>
      </c>
      <c r="B51">
        <v>19</v>
      </c>
      <c r="C51" t="s">
        <v>70</v>
      </c>
      <c r="D51" t="s">
        <v>41</v>
      </c>
      <c r="E51" t="s">
        <v>150</v>
      </c>
      <c r="F51" t="s">
        <v>150</v>
      </c>
      <c r="G51" t="s">
        <v>362</v>
      </c>
      <c r="H51" t="s">
        <v>30</v>
      </c>
      <c r="I51" t="s">
        <v>20</v>
      </c>
      <c r="J51" s="7">
        <v>44485</v>
      </c>
      <c r="K51" s="7">
        <v>45032</v>
      </c>
      <c r="L51" s="5">
        <v>100</v>
      </c>
      <c r="M51" t="s">
        <v>25</v>
      </c>
      <c r="N51" t="s">
        <v>262</v>
      </c>
      <c r="O51">
        <v>100</v>
      </c>
      <c r="P51" t="s">
        <v>211</v>
      </c>
      <c r="Q51" t="s">
        <v>28</v>
      </c>
      <c r="R51">
        <v>89</v>
      </c>
      <c r="S51">
        <v>0</v>
      </c>
      <c r="T51" t="s">
        <v>80</v>
      </c>
      <c r="U51" t="s">
        <v>61</v>
      </c>
      <c r="V51">
        <v>4.6</v>
      </c>
      <c r="W51">
        <v>2.54</v>
      </c>
      <c r="X51">
        <v>5.9</v>
      </c>
      <c r="Y51">
        <v>22.3</v>
      </c>
      <c r="Z51">
        <v>13.6</v>
      </c>
    </row>
    <row r="52" spans="1:26">
      <c r="A52" t="s">
        <v>375</v>
      </c>
      <c r="B52">
        <v>19</v>
      </c>
      <c r="C52" t="s">
        <v>70</v>
      </c>
      <c r="D52" t="s">
        <v>42</v>
      </c>
      <c r="E52" t="s">
        <v>272</v>
      </c>
      <c r="F52" t="s">
        <v>150</v>
      </c>
      <c r="G52" t="s">
        <v>362</v>
      </c>
      <c r="H52" t="s">
        <v>29</v>
      </c>
      <c r="I52" t="s">
        <v>18</v>
      </c>
      <c r="J52" s="7">
        <v>45030</v>
      </c>
      <c r="K52" s="7">
        <v>45426</v>
      </c>
      <c r="L52" s="5">
        <v>50</v>
      </c>
      <c r="M52" t="s">
        <v>150</v>
      </c>
      <c r="N52" t="s">
        <v>376</v>
      </c>
      <c r="O52">
        <v>50</v>
      </c>
      <c r="P52" t="s">
        <v>206</v>
      </c>
      <c r="Q52" t="s">
        <v>26</v>
      </c>
      <c r="R52">
        <v>163</v>
      </c>
      <c r="S52">
        <v>1</v>
      </c>
      <c r="T52" t="s">
        <v>82</v>
      </c>
      <c r="U52" t="s">
        <v>61</v>
      </c>
      <c r="V52">
        <v>1.47</v>
      </c>
      <c r="W52">
        <v>4.76</v>
      </c>
      <c r="X52">
        <v>6.6</v>
      </c>
      <c r="Y52">
        <v>12</v>
      </c>
      <c r="Z52">
        <v>5.4</v>
      </c>
    </row>
    <row r="53" spans="1:26">
      <c r="A53" t="s">
        <v>377</v>
      </c>
      <c r="B53">
        <v>76</v>
      </c>
      <c r="C53" t="s">
        <v>44</v>
      </c>
      <c r="D53" t="s">
        <v>42</v>
      </c>
      <c r="E53" t="s">
        <v>255</v>
      </c>
      <c r="F53" t="s">
        <v>273</v>
      </c>
      <c r="G53" t="s">
        <v>297</v>
      </c>
      <c r="H53" t="s">
        <v>29</v>
      </c>
      <c r="I53" t="s">
        <v>16</v>
      </c>
      <c r="J53" s="7">
        <v>44870</v>
      </c>
      <c r="K53" s="7">
        <v>45143</v>
      </c>
      <c r="L53" s="5">
        <v>150</v>
      </c>
      <c r="M53" t="s">
        <v>150</v>
      </c>
      <c r="N53" t="s">
        <v>378</v>
      </c>
      <c r="O53">
        <v>150</v>
      </c>
      <c r="P53" t="s">
        <v>205</v>
      </c>
      <c r="Q53" t="s">
        <v>150</v>
      </c>
      <c r="R53">
        <v>111</v>
      </c>
      <c r="S53">
        <v>0</v>
      </c>
      <c r="T53" t="s">
        <v>82</v>
      </c>
      <c r="U53" t="s">
        <v>61</v>
      </c>
      <c r="V53">
        <v>4.18</v>
      </c>
      <c r="W53">
        <v>3.48</v>
      </c>
      <c r="X53">
        <v>5.8</v>
      </c>
      <c r="Y53">
        <v>22.1</v>
      </c>
      <c r="Z53">
        <v>16.4</v>
      </c>
    </row>
    <row r="54" spans="1:26">
      <c r="A54" t="s">
        <v>379</v>
      </c>
      <c r="B54">
        <v>47</v>
      </c>
      <c r="C54" t="s">
        <v>71</v>
      </c>
      <c r="D54" t="s">
        <v>41</v>
      </c>
      <c r="E54" t="s">
        <v>259</v>
      </c>
      <c r="F54" t="s">
        <v>150</v>
      </c>
      <c r="G54" t="s">
        <v>274</v>
      </c>
      <c r="H54" t="s">
        <v>29</v>
      </c>
      <c r="I54" t="s">
        <v>18</v>
      </c>
      <c r="J54" s="7">
        <v>43539</v>
      </c>
      <c r="K54" s="7">
        <v>43936</v>
      </c>
      <c r="L54" s="5">
        <v>150</v>
      </c>
      <c r="M54" t="s">
        <v>28</v>
      </c>
      <c r="N54" t="s">
        <v>380</v>
      </c>
      <c r="O54">
        <v>150</v>
      </c>
      <c r="P54" t="s">
        <v>206</v>
      </c>
      <c r="Q54" t="s">
        <v>27</v>
      </c>
      <c r="R54">
        <v>108</v>
      </c>
      <c r="S54">
        <v>1</v>
      </c>
      <c r="T54" t="s">
        <v>82</v>
      </c>
      <c r="U54" t="s">
        <v>61</v>
      </c>
      <c r="V54">
        <v>1.61</v>
      </c>
      <c r="W54">
        <v>2.25</v>
      </c>
      <c r="X54">
        <v>3.2</v>
      </c>
      <c r="Y54">
        <v>19.4</v>
      </c>
      <c r="Z54">
        <v>3.6</v>
      </c>
    </row>
    <row r="55" spans="1:26">
      <c r="A55" t="s">
        <v>381</v>
      </c>
      <c r="B55">
        <v>33</v>
      </c>
      <c r="C55" t="s">
        <v>71</v>
      </c>
      <c r="D55" t="s">
        <v>41</v>
      </c>
      <c r="E55" t="s">
        <v>150</v>
      </c>
      <c r="F55" t="s">
        <v>150</v>
      </c>
      <c r="G55" t="s">
        <v>306</v>
      </c>
      <c r="H55" t="s">
        <v>29</v>
      </c>
      <c r="I55" t="s">
        <v>18</v>
      </c>
      <c r="J55" s="7">
        <v>44258</v>
      </c>
      <c r="K55" s="7">
        <v>44776</v>
      </c>
      <c r="L55" s="5">
        <v>100</v>
      </c>
      <c r="M55" t="s">
        <v>27</v>
      </c>
      <c r="N55" t="s">
        <v>382</v>
      </c>
      <c r="O55">
        <v>100</v>
      </c>
      <c r="P55" t="s">
        <v>211</v>
      </c>
      <c r="Q55" t="s">
        <v>150</v>
      </c>
      <c r="R55">
        <v>74</v>
      </c>
      <c r="S55">
        <v>0</v>
      </c>
      <c r="T55" t="s">
        <v>83</v>
      </c>
      <c r="U55" t="s">
        <v>61</v>
      </c>
      <c r="V55">
        <v>3.28</v>
      </c>
      <c r="W55">
        <v>4.05</v>
      </c>
      <c r="X55">
        <v>8.9</v>
      </c>
      <c r="Y55">
        <v>12.2</v>
      </c>
      <c r="Z55">
        <v>17</v>
      </c>
    </row>
    <row r="56" spans="1:26">
      <c r="A56" t="s">
        <v>383</v>
      </c>
      <c r="B56">
        <v>75</v>
      </c>
      <c r="C56" t="s">
        <v>44</v>
      </c>
      <c r="D56" t="s">
        <v>44</v>
      </c>
      <c r="E56" t="s">
        <v>259</v>
      </c>
      <c r="F56" t="s">
        <v>277</v>
      </c>
      <c r="G56" t="s">
        <v>281</v>
      </c>
      <c r="H56" t="s">
        <v>29</v>
      </c>
      <c r="I56" t="s">
        <v>16</v>
      </c>
      <c r="J56" s="7">
        <v>43560</v>
      </c>
      <c r="K56" s="7">
        <v>43835</v>
      </c>
      <c r="L56" s="5">
        <v>200</v>
      </c>
      <c r="M56" t="s">
        <v>28</v>
      </c>
      <c r="N56" t="s">
        <v>384</v>
      </c>
      <c r="O56">
        <v>200</v>
      </c>
      <c r="P56" t="s">
        <v>206</v>
      </c>
      <c r="Q56" t="s">
        <v>28</v>
      </c>
      <c r="R56">
        <v>80</v>
      </c>
      <c r="S56">
        <v>1</v>
      </c>
      <c r="T56" t="s">
        <v>82</v>
      </c>
      <c r="U56" t="s">
        <v>63</v>
      </c>
      <c r="V56">
        <v>1.44</v>
      </c>
      <c r="W56">
        <v>4.39</v>
      </c>
      <c r="X56">
        <v>2.1</v>
      </c>
      <c r="Y56">
        <v>13.2</v>
      </c>
      <c r="Z56">
        <v>16.6</v>
      </c>
    </row>
    <row r="57" spans="1:26">
      <c r="A57" t="s">
        <v>385</v>
      </c>
      <c r="B57">
        <v>29</v>
      </c>
      <c r="C57" t="s">
        <v>70</v>
      </c>
      <c r="D57" t="s">
        <v>42</v>
      </c>
      <c r="E57" t="s">
        <v>311</v>
      </c>
      <c r="F57" t="s">
        <v>150</v>
      </c>
      <c r="G57" t="s">
        <v>291</v>
      </c>
      <c r="H57" t="s">
        <v>30</v>
      </c>
      <c r="I57" t="s">
        <v>20</v>
      </c>
      <c r="J57" s="7">
        <v>44774</v>
      </c>
      <c r="K57" s="7">
        <v>45139</v>
      </c>
      <c r="L57" s="5">
        <v>200</v>
      </c>
      <c r="M57" t="s">
        <v>150</v>
      </c>
      <c r="N57" t="s">
        <v>386</v>
      </c>
      <c r="O57">
        <v>200</v>
      </c>
      <c r="P57" t="s">
        <v>206</v>
      </c>
      <c r="Q57" t="s">
        <v>150</v>
      </c>
      <c r="R57">
        <v>101</v>
      </c>
      <c r="S57">
        <v>1</v>
      </c>
      <c r="T57" t="s">
        <v>82</v>
      </c>
      <c r="U57" t="s">
        <v>63</v>
      </c>
      <c r="V57">
        <v>1.6</v>
      </c>
      <c r="W57">
        <v>1.92</v>
      </c>
      <c r="X57">
        <v>7.5</v>
      </c>
      <c r="Y57">
        <v>19</v>
      </c>
      <c r="Z57">
        <v>13.9</v>
      </c>
    </row>
    <row r="58" spans="1:26">
      <c r="A58" t="s">
        <v>387</v>
      </c>
      <c r="B58">
        <v>22</v>
      </c>
      <c r="C58" t="s">
        <v>44</v>
      </c>
      <c r="D58" t="s">
        <v>44</v>
      </c>
      <c r="E58" t="s">
        <v>255</v>
      </c>
      <c r="F58" t="s">
        <v>264</v>
      </c>
      <c r="G58" t="s">
        <v>269</v>
      </c>
      <c r="H58" t="s">
        <v>34</v>
      </c>
      <c r="I58" t="s">
        <v>20</v>
      </c>
      <c r="J58" s="7">
        <v>43505</v>
      </c>
      <c r="K58" s="7">
        <v>43870</v>
      </c>
      <c r="L58" s="5">
        <v>100</v>
      </c>
      <c r="M58" t="s">
        <v>26</v>
      </c>
      <c r="N58" t="s">
        <v>388</v>
      </c>
      <c r="O58">
        <v>100</v>
      </c>
      <c r="P58" t="s">
        <v>205</v>
      </c>
      <c r="Q58" t="s">
        <v>28</v>
      </c>
      <c r="R58">
        <v>127</v>
      </c>
      <c r="S58">
        <v>0</v>
      </c>
      <c r="T58" t="s">
        <v>81</v>
      </c>
      <c r="U58" t="s">
        <v>61</v>
      </c>
      <c r="V58">
        <v>3.78</v>
      </c>
      <c r="W58">
        <v>3.17</v>
      </c>
      <c r="X58">
        <v>3.3</v>
      </c>
      <c r="Y58">
        <v>12.2</v>
      </c>
      <c r="Z58">
        <v>6.1</v>
      </c>
    </row>
    <row r="59" spans="1:26">
      <c r="A59" t="s">
        <v>389</v>
      </c>
      <c r="B59">
        <v>80</v>
      </c>
      <c r="C59" t="s">
        <v>70</v>
      </c>
      <c r="D59" t="s">
        <v>44</v>
      </c>
      <c r="E59" t="s">
        <v>255</v>
      </c>
      <c r="F59" t="s">
        <v>264</v>
      </c>
      <c r="G59" t="s">
        <v>288</v>
      </c>
      <c r="H59" t="s">
        <v>29</v>
      </c>
      <c r="I59" t="s">
        <v>19</v>
      </c>
      <c r="J59" s="7">
        <v>45017</v>
      </c>
      <c r="K59" s="7">
        <v>45566</v>
      </c>
      <c r="L59" s="5">
        <v>150</v>
      </c>
      <c r="M59" t="s">
        <v>27</v>
      </c>
      <c r="N59" t="s">
        <v>390</v>
      </c>
      <c r="O59">
        <v>150</v>
      </c>
      <c r="P59" t="s">
        <v>211</v>
      </c>
      <c r="Q59" t="s">
        <v>25</v>
      </c>
      <c r="R59">
        <v>89</v>
      </c>
      <c r="S59">
        <v>0</v>
      </c>
      <c r="T59" t="s">
        <v>78</v>
      </c>
      <c r="U59" t="s">
        <v>63</v>
      </c>
      <c r="V59">
        <v>4.63</v>
      </c>
      <c r="W59">
        <v>3.33</v>
      </c>
      <c r="X59">
        <v>4.6</v>
      </c>
      <c r="Y59">
        <v>14.3</v>
      </c>
      <c r="Z59">
        <v>19.1</v>
      </c>
    </row>
    <row r="60" spans="1:26">
      <c r="A60" t="s">
        <v>391</v>
      </c>
      <c r="B60">
        <v>49</v>
      </c>
      <c r="C60" t="s">
        <v>44</v>
      </c>
      <c r="D60" t="s">
        <v>41</v>
      </c>
      <c r="E60" t="s">
        <v>150</v>
      </c>
      <c r="F60" t="s">
        <v>150</v>
      </c>
      <c r="G60" t="s">
        <v>291</v>
      </c>
      <c r="H60" t="s">
        <v>30</v>
      </c>
      <c r="I60" t="s">
        <v>20</v>
      </c>
      <c r="J60" s="7">
        <v>44261</v>
      </c>
      <c r="K60" s="7">
        <v>44536</v>
      </c>
      <c r="L60" s="5">
        <v>150</v>
      </c>
      <c r="M60" t="s">
        <v>150</v>
      </c>
      <c r="N60" t="s">
        <v>378</v>
      </c>
      <c r="O60">
        <v>150</v>
      </c>
      <c r="P60" t="s">
        <v>211</v>
      </c>
      <c r="Q60" t="s">
        <v>25</v>
      </c>
      <c r="R60">
        <v>174</v>
      </c>
      <c r="S60">
        <v>0</v>
      </c>
      <c r="T60" t="s">
        <v>78</v>
      </c>
      <c r="U60" t="s">
        <v>63</v>
      </c>
      <c r="V60">
        <v>1.61</v>
      </c>
      <c r="W60">
        <v>3.34</v>
      </c>
      <c r="X60">
        <v>5.6</v>
      </c>
      <c r="Y60">
        <v>17</v>
      </c>
      <c r="Z60">
        <v>3.3</v>
      </c>
    </row>
    <row r="61" spans="1:26">
      <c r="A61" t="s">
        <v>392</v>
      </c>
      <c r="B61">
        <v>81</v>
      </c>
      <c r="C61" t="s">
        <v>44</v>
      </c>
      <c r="D61" t="s">
        <v>39</v>
      </c>
      <c r="E61" t="s">
        <v>259</v>
      </c>
      <c r="F61" t="s">
        <v>277</v>
      </c>
      <c r="G61" t="s">
        <v>291</v>
      </c>
      <c r="H61" t="s">
        <v>30</v>
      </c>
      <c r="I61" t="s">
        <v>18</v>
      </c>
      <c r="J61" s="7">
        <v>43724</v>
      </c>
      <c r="K61" s="7">
        <v>43906</v>
      </c>
      <c r="L61" s="5">
        <v>150</v>
      </c>
      <c r="M61" t="s">
        <v>26</v>
      </c>
      <c r="N61" t="s">
        <v>393</v>
      </c>
      <c r="O61">
        <v>150</v>
      </c>
      <c r="P61" t="s">
        <v>206</v>
      </c>
      <c r="Q61" t="s">
        <v>150</v>
      </c>
      <c r="R61">
        <v>45</v>
      </c>
      <c r="S61">
        <v>1</v>
      </c>
      <c r="T61" t="s">
        <v>83</v>
      </c>
      <c r="U61" t="s">
        <v>63</v>
      </c>
      <c r="V61">
        <v>4.49</v>
      </c>
      <c r="W61">
        <v>4.73</v>
      </c>
      <c r="X61">
        <v>6.1</v>
      </c>
      <c r="Y61">
        <v>18.5</v>
      </c>
      <c r="Z61">
        <v>18.7</v>
      </c>
    </row>
    <row r="62" spans="1:26">
      <c r="A62" t="s">
        <v>394</v>
      </c>
      <c r="B62">
        <v>36</v>
      </c>
      <c r="C62" t="s">
        <v>71</v>
      </c>
      <c r="D62" t="s">
        <v>44</v>
      </c>
      <c r="E62" t="s">
        <v>150</v>
      </c>
      <c r="F62" t="s">
        <v>150</v>
      </c>
      <c r="G62" t="s">
        <v>327</v>
      </c>
      <c r="H62" t="s">
        <v>34</v>
      </c>
      <c r="I62" t="s">
        <v>16</v>
      </c>
      <c r="J62" s="7">
        <v>44327</v>
      </c>
      <c r="K62" s="7">
        <v>44572</v>
      </c>
      <c r="L62" s="5">
        <v>100</v>
      </c>
      <c r="M62" t="s">
        <v>27</v>
      </c>
      <c r="N62" t="s">
        <v>395</v>
      </c>
      <c r="O62">
        <v>100</v>
      </c>
      <c r="P62" t="s">
        <v>206</v>
      </c>
      <c r="Q62" t="s">
        <v>25</v>
      </c>
      <c r="R62">
        <v>121</v>
      </c>
      <c r="S62">
        <v>1</v>
      </c>
      <c r="T62" t="s">
        <v>78</v>
      </c>
      <c r="U62" t="s">
        <v>63</v>
      </c>
      <c r="V62">
        <v>3.83</v>
      </c>
      <c r="W62">
        <v>1.61</v>
      </c>
      <c r="X62">
        <v>6.2</v>
      </c>
      <c r="Y62">
        <v>16.9</v>
      </c>
      <c r="Z62">
        <v>10.2</v>
      </c>
    </row>
    <row r="63" spans="1:26">
      <c r="A63" t="s">
        <v>396</v>
      </c>
      <c r="B63">
        <v>66</v>
      </c>
      <c r="C63" t="s">
        <v>70</v>
      </c>
      <c r="D63" t="s">
        <v>39</v>
      </c>
      <c r="E63" t="s">
        <v>259</v>
      </c>
      <c r="F63" t="s">
        <v>277</v>
      </c>
      <c r="G63" t="s">
        <v>274</v>
      </c>
      <c r="H63" t="s">
        <v>34</v>
      </c>
      <c r="I63" t="s">
        <v>16</v>
      </c>
      <c r="J63" s="7">
        <v>44115</v>
      </c>
      <c r="K63" s="7">
        <v>44662</v>
      </c>
      <c r="L63" s="5">
        <v>100</v>
      </c>
      <c r="M63" t="s">
        <v>25</v>
      </c>
      <c r="N63" t="s">
        <v>286</v>
      </c>
      <c r="O63">
        <v>100</v>
      </c>
      <c r="P63" t="s">
        <v>211</v>
      </c>
      <c r="Q63" t="s">
        <v>28</v>
      </c>
      <c r="R63">
        <v>90</v>
      </c>
      <c r="S63">
        <v>0</v>
      </c>
      <c r="T63" t="s">
        <v>81</v>
      </c>
      <c r="U63" t="s">
        <v>61</v>
      </c>
      <c r="V63">
        <v>3.95</v>
      </c>
      <c r="W63">
        <v>4.74</v>
      </c>
      <c r="X63">
        <v>9.3</v>
      </c>
      <c r="Y63">
        <v>14.1</v>
      </c>
      <c r="Z63">
        <v>4.9</v>
      </c>
    </row>
    <row r="64" spans="1:26">
      <c r="A64" t="s">
        <v>397</v>
      </c>
      <c r="B64">
        <v>39</v>
      </c>
      <c r="C64" t="s">
        <v>44</v>
      </c>
      <c r="D64" t="s">
        <v>42</v>
      </c>
      <c r="E64" t="s">
        <v>150</v>
      </c>
      <c r="F64" t="s">
        <v>264</v>
      </c>
      <c r="G64" t="s">
        <v>278</v>
      </c>
      <c r="H64" t="s">
        <v>30</v>
      </c>
      <c r="I64" t="s">
        <v>16</v>
      </c>
      <c r="J64" s="7">
        <v>44342</v>
      </c>
      <c r="K64" s="7">
        <v>44556</v>
      </c>
      <c r="L64" s="5">
        <v>50</v>
      </c>
      <c r="M64" t="s">
        <v>27</v>
      </c>
      <c r="N64" t="s">
        <v>398</v>
      </c>
      <c r="O64">
        <v>50</v>
      </c>
      <c r="P64" t="s">
        <v>205</v>
      </c>
      <c r="Q64" t="s">
        <v>27</v>
      </c>
      <c r="R64">
        <v>72</v>
      </c>
      <c r="S64">
        <v>0</v>
      </c>
      <c r="T64" t="s">
        <v>82</v>
      </c>
      <c r="U64" t="s">
        <v>61</v>
      </c>
      <c r="V64">
        <v>4.94</v>
      </c>
      <c r="W64">
        <v>4.36</v>
      </c>
      <c r="X64">
        <v>2.1</v>
      </c>
      <c r="Y64">
        <v>22.6</v>
      </c>
      <c r="Z64">
        <v>17.8</v>
      </c>
    </row>
    <row r="65" spans="1:26">
      <c r="A65" t="s">
        <v>399</v>
      </c>
      <c r="B65">
        <v>66</v>
      </c>
      <c r="C65" t="s">
        <v>70</v>
      </c>
      <c r="D65" t="s">
        <v>44</v>
      </c>
      <c r="E65" t="s">
        <v>272</v>
      </c>
      <c r="F65" t="s">
        <v>260</v>
      </c>
      <c r="G65" t="s">
        <v>274</v>
      </c>
      <c r="H65" t="s">
        <v>30</v>
      </c>
      <c r="I65" t="s">
        <v>18</v>
      </c>
      <c r="J65" s="7">
        <v>44618</v>
      </c>
      <c r="K65" s="7">
        <v>44799</v>
      </c>
      <c r="L65" s="5">
        <v>150</v>
      </c>
      <c r="M65" t="s">
        <v>150</v>
      </c>
      <c r="N65" t="s">
        <v>400</v>
      </c>
      <c r="O65">
        <v>150</v>
      </c>
      <c r="P65" t="s">
        <v>206</v>
      </c>
      <c r="Q65" t="s">
        <v>28</v>
      </c>
      <c r="R65">
        <v>117</v>
      </c>
      <c r="S65">
        <v>1</v>
      </c>
      <c r="T65" t="s">
        <v>78</v>
      </c>
      <c r="U65" t="s">
        <v>61</v>
      </c>
      <c r="V65">
        <v>3.08</v>
      </c>
      <c r="W65">
        <v>3.37</v>
      </c>
      <c r="X65">
        <v>4.6</v>
      </c>
      <c r="Y65">
        <v>7</v>
      </c>
      <c r="Z65">
        <v>8.7</v>
      </c>
    </row>
    <row r="66" spans="1:26">
      <c r="A66" t="s">
        <v>401</v>
      </c>
      <c r="B66">
        <v>38</v>
      </c>
      <c r="C66" t="s">
        <v>44</v>
      </c>
      <c r="D66" t="s">
        <v>42</v>
      </c>
      <c r="E66" t="s">
        <v>255</v>
      </c>
      <c r="F66" t="s">
        <v>150</v>
      </c>
      <c r="G66" t="s">
        <v>294</v>
      </c>
      <c r="H66" t="s">
        <v>32</v>
      </c>
      <c r="I66" t="s">
        <v>20</v>
      </c>
      <c r="J66" s="7">
        <v>43667</v>
      </c>
      <c r="K66" s="7">
        <v>43911</v>
      </c>
      <c r="L66" s="5">
        <v>200</v>
      </c>
      <c r="M66" t="s">
        <v>28</v>
      </c>
      <c r="N66" t="s">
        <v>402</v>
      </c>
      <c r="O66">
        <v>200</v>
      </c>
      <c r="P66" t="s">
        <v>211</v>
      </c>
      <c r="Q66" t="s">
        <v>26</v>
      </c>
      <c r="R66">
        <v>78</v>
      </c>
      <c r="S66">
        <v>0</v>
      </c>
      <c r="T66" t="s">
        <v>82</v>
      </c>
      <c r="U66" t="s">
        <v>61</v>
      </c>
      <c r="V66">
        <v>4.21</v>
      </c>
      <c r="W66">
        <v>1.02</v>
      </c>
      <c r="X66">
        <v>4</v>
      </c>
      <c r="Y66">
        <v>13.2</v>
      </c>
      <c r="Z66">
        <v>12.1</v>
      </c>
    </row>
    <row r="67" spans="1:26">
      <c r="A67" t="s">
        <v>403</v>
      </c>
      <c r="B67">
        <v>54</v>
      </c>
      <c r="C67" t="s">
        <v>70</v>
      </c>
      <c r="D67" t="s">
        <v>41</v>
      </c>
      <c r="E67" t="s">
        <v>311</v>
      </c>
      <c r="F67" t="s">
        <v>268</v>
      </c>
      <c r="G67" t="s">
        <v>319</v>
      </c>
      <c r="H67" t="s">
        <v>34</v>
      </c>
      <c r="I67" t="s">
        <v>18</v>
      </c>
      <c r="J67" s="7">
        <v>43617</v>
      </c>
      <c r="K67" s="7">
        <v>43983</v>
      </c>
      <c r="L67" s="5">
        <v>50</v>
      </c>
      <c r="M67" t="s">
        <v>25</v>
      </c>
      <c r="N67" t="s">
        <v>404</v>
      </c>
      <c r="O67">
        <v>50</v>
      </c>
      <c r="P67" t="s">
        <v>206</v>
      </c>
      <c r="Q67" t="s">
        <v>28</v>
      </c>
      <c r="R67">
        <v>82</v>
      </c>
      <c r="S67">
        <v>1</v>
      </c>
      <c r="T67" t="s">
        <v>78</v>
      </c>
      <c r="U67" t="s">
        <v>61</v>
      </c>
      <c r="V67">
        <v>4.68</v>
      </c>
      <c r="W67">
        <v>2.39</v>
      </c>
      <c r="X67">
        <v>4.1</v>
      </c>
      <c r="Y67">
        <v>19.3</v>
      </c>
      <c r="Z67">
        <v>10.7</v>
      </c>
    </row>
    <row r="68" spans="1:26">
      <c r="A68" t="s">
        <v>405</v>
      </c>
      <c r="B68">
        <v>28</v>
      </c>
      <c r="C68" t="s">
        <v>70</v>
      </c>
      <c r="D68" t="s">
        <v>42</v>
      </c>
      <c r="E68" t="s">
        <v>150</v>
      </c>
      <c r="F68" t="s">
        <v>150</v>
      </c>
      <c r="G68" t="s">
        <v>269</v>
      </c>
      <c r="H68" t="s">
        <v>34</v>
      </c>
      <c r="I68" t="s">
        <v>19</v>
      </c>
      <c r="J68" s="7">
        <v>43787</v>
      </c>
      <c r="K68" s="7">
        <v>44153</v>
      </c>
      <c r="L68" s="5">
        <v>100</v>
      </c>
      <c r="M68" t="s">
        <v>27</v>
      </c>
      <c r="N68" t="s">
        <v>406</v>
      </c>
      <c r="O68">
        <v>100</v>
      </c>
      <c r="P68" t="s">
        <v>211</v>
      </c>
      <c r="Q68" t="s">
        <v>28</v>
      </c>
      <c r="R68">
        <v>97</v>
      </c>
      <c r="S68">
        <v>0</v>
      </c>
      <c r="T68" t="s">
        <v>82</v>
      </c>
      <c r="U68" t="s">
        <v>61</v>
      </c>
      <c r="V68">
        <v>1.9</v>
      </c>
      <c r="W68">
        <v>2.81</v>
      </c>
      <c r="X68">
        <v>2.3</v>
      </c>
      <c r="Y68">
        <v>9.2</v>
      </c>
      <c r="Z68">
        <v>11.5</v>
      </c>
    </row>
    <row r="69" spans="1:26">
      <c r="A69" t="s">
        <v>407</v>
      </c>
      <c r="B69">
        <v>51</v>
      </c>
      <c r="C69" t="s">
        <v>71</v>
      </c>
      <c r="D69" t="s">
        <v>39</v>
      </c>
      <c r="E69" t="s">
        <v>255</v>
      </c>
      <c r="F69" t="s">
        <v>277</v>
      </c>
      <c r="G69" t="s">
        <v>294</v>
      </c>
      <c r="H69" t="s">
        <v>32</v>
      </c>
      <c r="I69" t="s">
        <v>20</v>
      </c>
      <c r="J69" s="7">
        <v>45034</v>
      </c>
      <c r="K69" s="7">
        <v>45217</v>
      </c>
      <c r="L69" s="5">
        <v>200</v>
      </c>
      <c r="M69" t="s">
        <v>27</v>
      </c>
      <c r="N69" t="s">
        <v>408</v>
      </c>
      <c r="O69">
        <v>200</v>
      </c>
      <c r="P69" t="s">
        <v>211</v>
      </c>
      <c r="Q69" t="s">
        <v>150</v>
      </c>
      <c r="R69">
        <v>50</v>
      </c>
      <c r="S69">
        <v>0</v>
      </c>
      <c r="T69" t="s">
        <v>82</v>
      </c>
      <c r="U69" t="s">
        <v>63</v>
      </c>
      <c r="V69">
        <v>2.68</v>
      </c>
      <c r="W69">
        <v>4.66</v>
      </c>
      <c r="X69">
        <v>4.3</v>
      </c>
      <c r="Y69">
        <v>16.5</v>
      </c>
      <c r="Z69">
        <v>13.7</v>
      </c>
    </row>
    <row r="70" spans="1:26">
      <c r="A70" t="s">
        <v>409</v>
      </c>
      <c r="B70">
        <v>82</v>
      </c>
      <c r="C70" t="s">
        <v>44</v>
      </c>
      <c r="D70" t="s">
        <v>44</v>
      </c>
      <c r="E70" t="s">
        <v>255</v>
      </c>
      <c r="F70" t="s">
        <v>150</v>
      </c>
      <c r="G70" t="s">
        <v>306</v>
      </c>
      <c r="H70" t="s">
        <v>30</v>
      </c>
      <c r="I70" t="s">
        <v>16</v>
      </c>
      <c r="J70" s="7">
        <v>44626</v>
      </c>
      <c r="K70" s="7">
        <v>44901</v>
      </c>
      <c r="L70" s="5">
        <v>100</v>
      </c>
      <c r="M70" t="s">
        <v>28</v>
      </c>
      <c r="N70" t="s">
        <v>410</v>
      </c>
      <c r="O70">
        <v>100</v>
      </c>
      <c r="P70" t="s">
        <v>206</v>
      </c>
      <c r="Q70" t="s">
        <v>27</v>
      </c>
      <c r="R70">
        <v>81</v>
      </c>
      <c r="S70">
        <v>1</v>
      </c>
      <c r="T70" t="s">
        <v>78</v>
      </c>
      <c r="U70" t="s">
        <v>61</v>
      </c>
      <c r="V70">
        <v>1.05</v>
      </c>
      <c r="W70">
        <v>3.65</v>
      </c>
      <c r="X70">
        <v>2.6</v>
      </c>
      <c r="Y70">
        <v>23.3</v>
      </c>
      <c r="Z70">
        <v>5.5</v>
      </c>
    </row>
    <row r="71" spans="1:26">
      <c r="A71" t="s">
        <v>411</v>
      </c>
      <c r="B71">
        <v>58</v>
      </c>
      <c r="C71" t="s">
        <v>44</v>
      </c>
      <c r="D71" t="s">
        <v>42</v>
      </c>
      <c r="E71" t="s">
        <v>311</v>
      </c>
      <c r="F71" t="s">
        <v>260</v>
      </c>
      <c r="G71" t="s">
        <v>319</v>
      </c>
      <c r="H71" t="s">
        <v>32</v>
      </c>
      <c r="I71" t="s">
        <v>19</v>
      </c>
      <c r="J71" s="7">
        <v>45166</v>
      </c>
      <c r="K71" s="7">
        <v>45350</v>
      </c>
      <c r="L71" s="5">
        <v>200</v>
      </c>
      <c r="M71" t="s">
        <v>27</v>
      </c>
      <c r="N71" t="s">
        <v>289</v>
      </c>
      <c r="O71">
        <v>200</v>
      </c>
      <c r="P71" t="s">
        <v>206</v>
      </c>
      <c r="Q71" t="s">
        <v>25</v>
      </c>
      <c r="R71">
        <v>180</v>
      </c>
      <c r="S71">
        <v>1</v>
      </c>
      <c r="T71" t="s">
        <v>80</v>
      </c>
      <c r="U71" t="s">
        <v>63</v>
      </c>
      <c r="V71">
        <v>2.66</v>
      </c>
      <c r="W71">
        <v>1.34</v>
      </c>
      <c r="X71">
        <v>10</v>
      </c>
      <c r="Y71">
        <v>15</v>
      </c>
      <c r="Z71">
        <v>13.1</v>
      </c>
    </row>
    <row r="72" spans="1:26">
      <c r="A72" t="s">
        <v>412</v>
      </c>
      <c r="B72">
        <v>31</v>
      </c>
      <c r="C72" t="s">
        <v>44</v>
      </c>
      <c r="D72" t="s">
        <v>42</v>
      </c>
      <c r="E72" t="s">
        <v>150</v>
      </c>
      <c r="F72" t="s">
        <v>150</v>
      </c>
      <c r="G72" t="s">
        <v>327</v>
      </c>
      <c r="H72" t="s">
        <v>34</v>
      </c>
      <c r="I72" t="s">
        <v>19</v>
      </c>
      <c r="J72" s="7">
        <v>44881</v>
      </c>
      <c r="K72" s="7">
        <v>45338</v>
      </c>
      <c r="L72" s="5">
        <v>200</v>
      </c>
      <c r="M72" t="s">
        <v>26</v>
      </c>
      <c r="N72" t="s">
        <v>413</v>
      </c>
      <c r="O72">
        <v>200</v>
      </c>
      <c r="P72" t="s">
        <v>211</v>
      </c>
      <c r="Q72" t="s">
        <v>26</v>
      </c>
      <c r="R72">
        <v>132</v>
      </c>
      <c r="S72">
        <v>0</v>
      </c>
      <c r="T72" t="s">
        <v>83</v>
      </c>
      <c r="U72" t="s">
        <v>61</v>
      </c>
      <c r="V72">
        <v>1.27</v>
      </c>
      <c r="W72">
        <v>4</v>
      </c>
      <c r="X72">
        <v>2.9</v>
      </c>
      <c r="Y72">
        <v>22.2</v>
      </c>
      <c r="Z72">
        <v>6.5</v>
      </c>
    </row>
    <row r="73" spans="1:26">
      <c r="A73" t="s">
        <v>414</v>
      </c>
      <c r="B73">
        <v>60</v>
      </c>
      <c r="C73" t="s">
        <v>44</v>
      </c>
      <c r="D73" t="s">
        <v>41</v>
      </c>
      <c r="E73" t="s">
        <v>311</v>
      </c>
      <c r="F73" t="s">
        <v>150</v>
      </c>
      <c r="G73" t="s">
        <v>322</v>
      </c>
      <c r="H73" t="s">
        <v>32</v>
      </c>
      <c r="I73" t="s">
        <v>16</v>
      </c>
      <c r="J73" s="7">
        <v>44326</v>
      </c>
      <c r="K73" s="7">
        <v>44630</v>
      </c>
      <c r="L73" s="5">
        <v>200</v>
      </c>
      <c r="M73" t="s">
        <v>28</v>
      </c>
      <c r="N73" t="s">
        <v>282</v>
      </c>
      <c r="O73">
        <v>200</v>
      </c>
      <c r="P73" t="s">
        <v>205</v>
      </c>
      <c r="Q73" t="s">
        <v>27</v>
      </c>
      <c r="R73">
        <v>112</v>
      </c>
      <c r="S73">
        <v>0</v>
      </c>
      <c r="T73" t="s">
        <v>81</v>
      </c>
      <c r="U73" t="s">
        <v>61</v>
      </c>
      <c r="V73">
        <v>1.76</v>
      </c>
      <c r="W73">
        <v>1.15</v>
      </c>
      <c r="X73">
        <v>5.2</v>
      </c>
      <c r="Y73">
        <v>16.2</v>
      </c>
      <c r="Z73">
        <v>4.1</v>
      </c>
    </row>
    <row r="74" spans="1:26">
      <c r="A74" t="s">
        <v>415</v>
      </c>
      <c r="B74">
        <v>29</v>
      </c>
      <c r="C74" t="s">
        <v>71</v>
      </c>
      <c r="D74" t="s">
        <v>43</v>
      </c>
      <c r="E74" t="s">
        <v>259</v>
      </c>
      <c r="F74" t="s">
        <v>150</v>
      </c>
      <c r="G74" t="s">
        <v>261</v>
      </c>
      <c r="H74" t="s">
        <v>34</v>
      </c>
      <c r="I74" t="s">
        <v>19</v>
      </c>
      <c r="J74" s="7">
        <v>43734</v>
      </c>
      <c r="K74" s="7">
        <v>43977</v>
      </c>
      <c r="L74" s="5">
        <v>50</v>
      </c>
      <c r="M74" t="s">
        <v>25</v>
      </c>
      <c r="N74" t="s">
        <v>340</v>
      </c>
      <c r="O74">
        <v>50</v>
      </c>
      <c r="P74" t="s">
        <v>205</v>
      </c>
      <c r="Q74" t="s">
        <v>25</v>
      </c>
      <c r="R74">
        <v>37</v>
      </c>
      <c r="S74">
        <v>0</v>
      </c>
      <c r="T74" t="s">
        <v>78</v>
      </c>
      <c r="U74" t="s">
        <v>63</v>
      </c>
      <c r="V74">
        <v>4.1</v>
      </c>
      <c r="W74">
        <v>2.81</v>
      </c>
      <c r="X74">
        <v>5.7</v>
      </c>
      <c r="Y74">
        <v>13.9</v>
      </c>
      <c r="Z74">
        <v>9.8</v>
      </c>
    </row>
    <row r="75" spans="1:26">
      <c r="A75" t="s">
        <v>416</v>
      </c>
      <c r="B75">
        <v>43</v>
      </c>
      <c r="C75" t="s">
        <v>71</v>
      </c>
      <c r="D75" t="s">
        <v>41</v>
      </c>
      <c r="E75" t="s">
        <v>311</v>
      </c>
      <c r="F75" t="s">
        <v>264</v>
      </c>
      <c r="G75" t="s">
        <v>278</v>
      </c>
      <c r="H75" t="s">
        <v>32</v>
      </c>
      <c r="I75" t="s">
        <v>19</v>
      </c>
      <c r="J75" s="7">
        <v>44817</v>
      </c>
      <c r="K75" s="7">
        <v>45304</v>
      </c>
      <c r="L75" s="5">
        <v>50</v>
      </c>
      <c r="M75" t="s">
        <v>28</v>
      </c>
      <c r="N75" t="s">
        <v>417</v>
      </c>
      <c r="O75">
        <v>50</v>
      </c>
      <c r="P75" t="s">
        <v>205</v>
      </c>
      <c r="Q75" t="s">
        <v>27</v>
      </c>
      <c r="R75">
        <v>75</v>
      </c>
      <c r="S75">
        <v>0</v>
      </c>
      <c r="T75" t="s">
        <v>82</v>
      </c>
      <c r="U75" t="s">
        <v>61</v>
      </c>
      <c r="V75">
        <v>3.24</v>
      </c>
      <c r="W75">
        <v>1.62</v>
      </c>
      <c r="X75">
        <v>2.6</v>
      </c>
      <c r="Y75">
        <v>21.5</v>
      </c>
      <c r="Z75">
        <v>19.1</v>
      </c>
    </row>
    <row r="76" spans="1:26">
      <c r="A76" t="s">
        <v>418</v>
      </c>
      <c r="B76">
        <v>62</v>
      </c>
      <c r="C76" t="s">
        <v>71</v>
      </c>
      <c r="D76" t="s">
        <v>39</v>
      </c>
      <c r="E76" t="s">
        <v>311</v>
      </c>
      <c r="F76" t="s">
        <v>260</v>
      </c>
      <c r="G76" t="s">
        <v>291</v>
      </c>
      <c r="H76" t="s">
        <v>30</v>
      </c>
      <c r="I76" t="s">
        <v>18</v>
      </c>
      <c r="J76" s="7">
        <v>44143</v>
      </c>
      <c r="K76" s="7">
        <v>44628</v>
      </c>
      <c r="L76" s="5">
        <v>100</v>
      </c>
      <c r="M76" t="s">
        <v>27</v>
      </c>
      <c r="N76" t="s">
        <v>419</v>
      </c>
      <c r="O76">
        <v>100</v>
      </c>
      <c r="P76" t="s">
        <v>205</v>
      </c>
      <c r="Q76" t="s">
        <v>28</v>
      </c>
      <c r="R76">
        <v>151</v>
      </c>
      <c r="S76">
        <v>0</v>
      </c>
      <c r="T76" t="s">
        <v>78</v>
      </c>
      <c r="U76" t="s">
        <v>63</v>
      </c>
      <c r="V76">
        <v>2.49</v>
      </c>
      <c r="W76">
        <v>2.08</v>
      </c>
      <c r="X76">
        <v>6.8</v>
      </c>
      <c r="Y76">
        <v>13.4</v>
      </c>
      <c r="Z76">
        <v>3.4</v>
      </c>
    </row>
    <row r="77" spans="1:26">
      <c r="A77" t="s">
        <v>420</v>
      </c>
      <c r="B77">
        <v>19</v>
      </c>
      <c r="C77" t="s">
        <v>71</v>
      </c>
      <c r="D77" t="s">
        <v>39</v>
      </c>
      <c r="E77" t="s">
        <v>255</v>
      </c>
      <c r="F77" t="s">
        <v>150</v>
      </c>
      <c r="G77" t="s">
        <v>362</v>
      </c>
      <c r="H77" t="s">
        <v>32</v>
      </c>
      <c r="I77" t="s">
        <v>20</v>
      </c>
      <c r="J77" s="7">
        <v>44727</v>
      </c>
      <c r="K77" s="7">
        <v>45031</v>
      </c>
      <c r="L77" s="5">
        <v>100</v>
      </c>
      <c r="M77" t="s">
        <v>150</v>
      </c>
      <c r="N77" t="s">
        <v>421</v>
      </c>
      <c r="O77">
        <v>100</v>
      </c>
      <c r="P77" t="s">
        <v>206</v>
      </c>
      <c r="Q77" t="s">
        <v>28</v>
      </c>
      <c r="R77">
        <v>160</v>
      </c>
      <c r="S77">
        <v>1</v>
      </c>
      <c r="T77" t="s">
        <v>81</v>
      </c>
      <c r="U77" t="s">
        <v>61</v>
      </c>
      <c r="V77">
        <v>1.62</v>
      </c>
      <c r="W77">
        <v>3.86</v>
      </c>
      <c r="X77">
        <v>6.9</v>
      </c>
      <c r="Y77">
        <v>6.5</v>
      </c>
      <c r="Z77">
        <v>6.8</v>
      </c>
    </row>
    <row r="78" spans="1:26">
      <c r="A78" t="s">
        <v>422</v>
      </c>
      <c r="B78">
        <v>56</v>
      </c>
      <c r="C78" t="s">
        <v>44</v>
      </c>
      <c r="D78" t="s">
        <v>42</v>
      </c>
      <c r="E78" t="s">
        <v>272</v>
      </c>
      <c r="F78" t="s">
        <v>264</v>
      </c>
      <c r="G78" t="s">
        <v>256</v>
      </c>
      <c r="H78" t="s">
        <v>32</v>
      </c>
      <c r="I78" t="s">
        <v>19</v>
      </c>
      <c r="J78" s="7">
        <v>44291</v>
      </c>
      <c r="K78" s="7">
        <v>44717</v>
      </c>
      <c r="L78" s="5">
        <v>100</v>
      </c>
      <c r="M78" t="s">
        <v>25</v>
      </c>
      <c r="N78" t="s">
        <v>336</v>
      </c>
      <c r="O78">
        <v>100</v>
      </c>
      <c r="P78" t="s">
        <v>205</v>
      </c>
      <c r="Q78" t="s">
        <v>150</v>
      </c>
      <c r="R78">
        <v>65</v>
      </c>
      <c r="S78">
        <v>0</v>
      </c>
      <c r="T78" t="s">
        <v>83</v>
      </c>
      <c r="U78" t="s">
        <v>61</v>
      </c>
      <c r="V78">
        <v>1.92</v>
      </c>
      <c r="W78">
        <v>3.69</v>
      </c>
      <c r="X78">
        <v>1.2</v>
      </c>
      <c r="Y78">
        <v>7.9</v>
      </c>
      <c r="Z78">
        <v>16.6</v>
      </c>
    </row>
    <row r="79" spans="1:26">
      <c r="A79" t="s">
        <v>423</v>
      </c>
      <c r="B79">
        <v>55</v>
      </c>
      <c r="C79" t="s">
        <v>70</v>
      </c>
      <c r="D79" t="s">
        <v>43</v>
      </c>
      <c r="E79" t="s">
        <v>272</v>
      </c>
      <c r="F79" t="s">
        <v>277</v>
      </c>
      <c r="G79" t="s">
        <v>274</v>
      </c>
      <c r="H79" t="s">
        <v>30</v>
      </c>
      <c r="I79" t="s">
        <v>19</v>
      </c>
      <c r="J79" s="7">
        <v>44153</v>
      </c>
      <c r="K79" s="7">
        <v>44638</v>
      </c>
      <c r="L79" s="5">
        <v>200</v>
      </c>
      <c r="M79" t="s">
        <v>150</v>
      </c>
      <c r="N79" t="s">
        <v>424</v>
      </c>
      <c r="O79">
        <v>200</v>
      </c>
      <c r="P79" t="s">
        <v>205</v>
      </c>
      <c r="Q79" t="s">
        <v>26</v>
      </c>
      <c r="R79">
        <v>105</v>
      </c>
      <c r="S79">
        <v>0</v>
      </c>
      <c r="T79" t="s">
        <v>83</v>
      </c>
      <c r="U79" t="s">
        <v>61</v>
      </c>
      <c r="V79">
        <v>1.71</v>
      </c>
      <c r="W79">
        <v>3.61</v>
      </c>
      <c r="X79">
        <v>3.1</v>
      </c>
      <c r="Y79">
        <v>7.8</v>
      </c>
      <c r="Z79">
        <v>7.1</v>
      </c>
    </row>
    <row r="80" spans="1:26">
      <c r="A80" t="s">
        <v>425</v>
      </c>
      <c r="B80">
        <v>34</v>
      </c>
      <c r="C80" t="s">
        <v>44</v>
      </c>
      <c r="D80" t="s">
        <v>39</v>
      </c>
      <c r="E80" t="s">
        <v>255</v>
      </c>
      <c r="F80" t="s">
        <v>150</v>
      </c>
      <c r="G80" t="s">
        <v>288</v>
      </c>
      <c r="H80" t="s">
        <v>32</v>
      </c>
      <c r="I80" t="s">
        <v>16</v>
      </c>
      <c r="J80" s="7">
        <v>43990</v>
      </c>
      <c r="K80" s="7">
        <v>44508</v>
      </c>
      <c r="L80" s="5">
        <v>150</v>
      </c>
      <c r="M80" t="s">
        <v>150</v>
      </c>
      <c r="N80" t="s">
        <v>400</v>
      </c>
      <c r="O80">
        <v>150</v>
      </c>
      <c r="P80" t="s">
        <v>205</v>
      </c>
      <c r="Q80" t="s">
        <v>150</v>
      </c>
      <c r="R80">
        <v>148</v>
      </c>
      <c r="S80">
        <v>0</v>
      </c>
      <c r="T80" t="s">
        <v>83</v>
      </c>
      <c r="U80" t="s">
        <v>61</v>
      </c>
      <c r="V80">
        <v>3.89</v>
      </c>
      <c r="W80">
        <v>4.42</v>
      </c>
      <c r="X80">
        <v>8.5</v>
      </c>
      <c r="Y80">
        <v>13.1</v>
      </c>
      <c r="Z80">
        <v>14.4</v>
      </c>
    </row>
    <row r="81" spans="1:26">
      <c r="A81" t="s">
        <v>426</v>
      </c>
      <c r="B81">
        <v>24</v>
      </c>
      <c r="C81" t="s">
        <v>44</v>
      </c>
      <c r="D81" t="s">
        <v>44</v>
      </c>
      <c r="E81" t="s">
        <v>255</v>
      </c>
      <c r="F81" t="s">
        <v>150</v>
      </c>
      <c r="G81" t="s">
        <v>294</v>
      </c>
      <c r="H81" t="s">
        <v>34</v>
      </c>
      <c r="I81" t="s">
        <v>18</v>
      </c>
      <c r="J81" s="7">
        <v>44985</v>
      </c>
      <c r="K81" s="7">
        <v>45471</v>
      </c>
      <c r="L81" s="5">
        <v>200</v>
      </c>
      <c r="M81" t="s">
        <v>150</v>
      </c>
      <c r="N81" t="s">
        <v>289</v>
      </c>
      <c r="O81">
        <v>200</v>
      </c>
      <c r="P81" t="s">
        <v>206</v>
      </c>
      <c r="Q81" t="s">
        <v>26</v>
      </c>
      <c r="R81">
        <v>117</v>
      </c>
      <c r="S81">
        <v>1</v>
      </c>
      <c r="T81" t="s">
        <v>82</v>
      </c>
      <c r="U81" t="s">
        <v>61</v>
      </c>
      <c r="V81">
        <v>1.82</v>
      </c>
      <c r="W81">
        <v>2.17</v>
      </c>
      <c r="X81">
        <v>9.1</v>
      </c>
      <c r="Y81">
        <v>6.2</v>
      </c>
      <c r="Z81">
        <v>4.5</v>
      </c>
    </row>
    <row r="82" spans="1:26">
      <c r="A82" t="s">
        <v>427</v>
      </c>
      <c r="B82">
        <v>36</v>
      </c>
      <c r="C82" t="s">
        <v>70</v>
      </c>
      <c r="D82" t="s">
        <v>41</v>
      </c>
      <c r="E82" t="s">
        <v>311</v>
      </c>
      <c r="F82" t="s">
        <v>273</v>
      </c>
      <c r="G82" t="s">
        <v>256</v>
      </c>
      <c r="H82" t="s">
        <v>29</v>
      </c>
      <c r="I82" t="s">
        <v>16</v>
      </c>
      <c r="J82" s="7">
        <v>44688</v>
      </c>
      <c r="K82" s="7">
        <v>45237</v>
      </c>
      <c r="L82" s="5">
        <v>100</v>
      </c>
      <c r="M82" t="s">
        <v>26</v>
      </c>
      <c r="N82" t="s">
        <v>428</v>
      </c>
      <c r="O82">
        <v>100</v>
      </c>
      <c r="P82" t="s">
        <v>205</v>
      </c>
      <c r="Q82" t="s">
        <v>27</v>
      </c>
      <c r="R82">
        <v>139</v>
      </c>
      <c r="S82">
        <v>0</v>
      </c>
      <c r="T82" t="s">
        <v>82</v>
      </c>
      <c r="U82" t="s">
        <v>61</v>
      </c>
      <c r="V82">
        <v>1.83</v>
      </c>
      <c r="W82">
        <v>1.11</v>
      </c>
      <c r="X82">
        <v>2.6</v>
      </c>
      <c r="Y82">
        <v>16.5</v>
      </c>
      <c r="Z82">
        <v>10.2</v>
      </c>
    </row>
    <row r="83" spans="1:26">
      <c r="A83" t="s">
        <v>429</v>
      </c>
      <c r="B83">
        <v>79</v>
      </c>
      <c r="C83" t="s">
        <v>70</v>
      </c>
      <c r="D83" t="s">
        <v>42</v>
      </c>
      <c r="E83" t="s">
        <v>311</v>
      </c>
      <c r="F83" t="s">
        <v>150</v>
      </c>
      <c r="G83" t="s">
        <v>327</v>
      </c>
      <c r="H83" t="s">
        <v>29</v>
      </c>
      <c r="I83" t="s">
        <v>19</v>
      </c>
      <c r="J83" s="7">
        <v>45017</v>
      </c>
      <c r="K83" s="7">
        <v>45505</v>
      </c>
      <c r="L83" s="5">
        <v>50</v>
      </c>
      <c r="M83" t="s">
        <v>26</v>
      </c>
      <c r="N83" t="s">
        <v>367</v>
      </c>
      <c r="O83">
        <v>50</v>
      </c>
      <c r="P83" t="s">
        <v>211</v>
      </c>
      <c r="Q83" t="s">
        <v>26</v>
      </c>
      <c r="R83">
        <v>56</v>
      </c>
      <c r="S83">
        <v>0</v>
      </c>
      <c r="T83" t="s">
        <v>82</v>
      </c>
      <c r="U83" t="s">
        <v>61</v>
      </c>
      <c r="V83">
        <v>4.57</v>
      </c>
      <c r="W83">
        <v>4.27</v>
      </c>
      <c r="X83">
        <v>4.1</v>
      </c>
      <c r="Y83">
        <v>10.7</v>
      </c>
      <c r="Z83">
        <v>9.5</v>
      </c>
    </row>
    <row r="84" spans="1:26">
      <c r="A84" t="s">
        <v>430</v>
      </c>
      <c r="B84">
        <v>39</v>
      </c>
      <c r="C84" t="s">
        <v>71</v>
      </c>
      <c r="D84" t="s">
        <v>42</v>
      </c>
      <c r="E84" t="s">
        <v>150</v>
      </c>
      <c r="F84" t="s">
        <v>150</v>
      </c>
      <c r="G84" t="s">
        <v>431</v>
      </c>
      <c r="H84" t="s">
        <v>32</v>
      </c>
      <c r="I84" t="s">
        <v>20</v>
      </c>
      <c r="J84" s="7">
        <v>43998</v>
      </c>
      <c r="K84" s="7">
        <v>44332</v>
      </c>
      <c r="L84" s="5">
        <v>100</v>
      </c>
      <c r="M84" t="s">
        <v>27</v>
      </c>
      <c r="N84" t="s">
        <v>354</v>
      </c>
      <c r="O84">
        <v>100</v>
      </c>
      <c r="P84" t="s">
        <v>206</v>
      </c>
      <c r="Q84" t="s">
        <v>26</v>
      </c>
      <c r="R84">
        <v>63</v>
      </c>
      <c r="S84">
        <v>1</v>
      </c>
      <c r="T84" t="s">
        <v>78</v>
      </c>
      <c r="U84" t="s">
        <v>63</v>
      </c>
      <c r="V84">
        <v>3.36</v>
      </c>
      <c r="W84">
        <v>2.07</v>
      </c>
      <c r="X84">
        <v>6.6</v>
      </c>
      <c r="Y84">
        <v>13.4</v>
      </c>
      <c r="Z84">
        <v>12.4</v>
      </c>
    </row>
    <row r="85" spans="1:26">
      <c r="A85" t="s">
        <v>432</v>
      </c>
      <c r="B85">
        <v>82</v>
      </c>
      <c r="C85" t="s">
        <v>71</v>
      </c>
      <c r="D85" t="s">
        <v>42</v>
      </c>
      <c r="E85" t="s">
        <v>150</v>
      </c>
      <c r="F85" t="s">
        <v>150</v>
      </c>
      <c r="G85" t="s">
        <v>291</v>
      </c>
      <c r="H85" t="s">
        <v>34</v>
      </c>
      <c r="I85" t="s">
        <v>19</v>
      </c>
      <c r="J85" s="7">
        <v>45201</v>
      </c>
      <c r="K85" s="7">
        <v>45659</v>
      </c>
      <c r="L85" s="5">
        <v>50</v>
      </c>
      <c r="M85" t="s">
        <v>28</v>
      </c>
      <c r="N85" t="s">
        <v>433</v>
      </c>
      <c r="O85">
        <v>50</v>
      </c>
      <c r="P85" t="s">
        <v>206</v>
      </c>
      <c r="Q85" t="s">
        <v>27</v>
      </c>
      <c r="R85">
        <v>143</v>
      </c>
      <c r="S85">
        <v>1</v>
      </c>
      <c r="T85" t="s">
        <v>82</v>
      </c>
      <c r="U85" t="s">
        <v>63</v>
      </c>
      <c r="V85">
        <v>2.74</v>
      </c>
      <c r="W85">
        <v>2.18</v>
      </c>
      <c r="X85">
        <v>9.5</v>
      </c>
      <c r="Y85">
        <v>19.7</v>
      </c>
      <c r="Z85">
        <v>5.4</v>
      </c>
    </row>
    <row r="86" spans="1:26">
      <c r="A86" t="s">
        <v>434</v>
      </c>
      <c r="B86">
        <v>50</v>
      </c>
      <c r="C86" t="s">
        <v>70</v>
      </c>
      <c r="D86" t="s">
        <v>41</v>
      </c>
      <c r="E86" t="s">
        <v>259</v>
      </c>
      <c r="F86" t="s">
        <v>150</v>
      </c>
      <c r="G86" t="s">
        <v>312</v>
      </c>
      <c r="H86" t="s">
        <v>32</v>
      </c>
      <c r="I86" t="s">
        <v>20</v>
      </c>
      <c r="J86" s="7">
        <v>43786</v>
      </c>
      <c r="K86" s="7">
        <v>44091</v>
      </c>
      <c r="L86" s="5">
        <v>100</v>
      </c>
      <c r="M86" t="s">
        <v>28</v>
      </c>
      <c r="N86" t="s">
        <v>435</v>
      </c>
      <c r="O86">
        <v>100</v>
      </c>
      <c r="P86" t="s">
        <v>206</v>
      </c>
      <c r="Q86" t="s">
        <v>28</v>
      </c>
      <c r="R86">
        <v>157</v>
      </c>
      <c r="S86">
        <v>1</v>
      </c>
      <c r="T86" t="s">
        <v>78</v>
      </c>
      <c r="U86" t="s">
        <v>63</v>
      </c>
      <c r="V86">
        <v>4.47</v>
      </c>
      <c r="W86">
        <v>2.95</v>
      </c>
      <c r="X86">
        <v>9.1</v>
      </c>
      <c r="Y86">
        <v>20.4</v>
      </c>
      <c r="Z86">
        <v>10.2</v>
      </c>
    </row>
    <row r="87" spans="1:26">
      <c r="A87" t="s">
        <v>436</v>
      </c>
      <c r="B87">
        <v>51</v>
      </c>
      <c r="C87" t="s">
        <v>44</v>
      </c>
      <c r="D87" t="s">
        <v>41</v>
      </c>
      <c r="E87" t="s">
        <v>150</v>
      </c>
      <c r="F87" t="s">
        <v>150</v>
      </c>
      <c r="G87" t="s">
        <v>362</v>
      </c>
      <c r="H87" t="s">
        <v>30</v>
      </c>
      <c r="I87" t="s">
        <v>16</v>
      </c>
      <c r="J87" s="7">
        <v>45145</v>
      </c>
      <c r="K87" s="7">
        <v>45664</v>
      </c>
      <c r="L87" s="5">
        <v>200</v>
      </c>
      <c r="M87" t="s">
        <v>26</v>
      </c>
      <c r="N87" t="s">
        <v>320</v>
      </c>
      <c r="O87">
        <v>200</v>
      </c>
      <c r="P87" t="s">
        <v>205</v>
      </c>
      <c r="Q87" t="s">
        <v>28</v>
      </c>
      <c r="R87">
        <v>58</v>
      </c>
      <c r="S87">
        <v>0</v>
      </c>
      <c r="T87" t="s">
        <v>80</v>
      </c>
      <c r="U87" t="s">
        <v>61</v>
      </c>
      <c r="V87">
        <v>1.09</v>
      </c>
      <c r="W87">
        <v>2.07</v>
      </c>
      <c r="X87">
        <v>5.9</v>
      </c>
      <c r="Y87">
        <v>17.4</v>
      </c>
      <c r="Z87">
        <v>7.4</v>
      </c>
    </row>
    <row r="88" spans="1:26">
      <c r="A88" t="s">
        <v>437</v>
      </c>
      <c r="B88">
        <v>37</v>
      </c>
      <c r="C88" t="s">
        <v>71</v>
      </c>
      <c r="D88" t="s">
        <v>44</v>
      </c>
      <c r="E88" t="s">
        <v>311</v>
      </c>
      <c r="F88" t="s">
        <v>150</v>
      </c>
      <c r="G88" t="s">
        <v>284</v>
      </c>
      <c r="H88" t="s">
        <v>32</v>
      </c>
      <c r="I88" t="s">
        <v>18</v>
      </c>
      <c r="J88" s="7">
        <v>44690</v>
      </c>
      <c r="K88" s="7">
        <v>45086</v>
      </c>
      <c r="L88" s="5">
        <v>50</v>
      </c>
      <c r="M88" t="s">
        <v>26</v>
      </c>
      <c r="N88" t="s">
        <v>438</v>
      </c>
      <c r="O88">
        <v>50</v>
      </c>
      <c r="P88" t="s">
        <v>211</v>
      </c>
      <c r="Q88" t="s">
        <v>150</v>
      </c>
      <c r="R88">
        <v>110</v>
      </c>
      <c r="S88">
        <v>0</v>
      </c>
      <c r="T88" t="s">
        <v>82</v>
      </c>
      <c r="U88" t="s">
        <v>63</v>
      </c>
      <c r="V88">
        <v>1.56</v>
      </c>
      <c r="W88">
        <v>4.34</v>
      </c>
      <c r="X88">
        <v>9.9</v>
      </c>
      <c r="Y88">
        <v>15.5</v>
      </c>
      <c r="Z88">
        <v>5.9</v>
      </c>
    </row>
    <row r="89" spans="1:26">
      <c r="A89" t="s">
        <v>439</v>
      </c>
      <c r="B89">
        <v>30</v>
      </c>
      <c r="C89" t="s">
        <v>71</v>
      </c>
      <c r="D89" t="s">
        <v>42</v>
      </c>
      <c r="E89" t="s">
        <v>259</v>
      </c>
      <c r="F89" t="s">
        <v>150</v>
      </c>
      <c r="G89" t="s">
        <v>288</v>
      </c>
      <c r="H89" t="s">
        <v>32</v>
      </c>
      <c r="I89" t="s">
        <v>19</v>
      </c>
      <c r="J89" s="7">
        <v>44843</v>
      </c>
      <c r="K89" s="7">
        <v>45360</v>
      </c>
      <c r="L89" s="5">
        <v>50</v>
      </c>
      <c r="M89" t="s">
        <v>150</v>
      </c>
      <c r="N89" t="s">
        <v>440</v>
      </c>
      <c r="O89">
        <v>50</v>
      </c>
      <c r="P89" t="s">
        <v>211</v>
      </c>
      <c r="Q89" t="s">
        <v>27</v>
      </c>
      <c r="R89">
        <v>146</v>
      </c>
      <c r="S89">
        <v>0</v>
      </c>
      <c r="T89" t="s">
        <v>81</v>
      </c>
      <c r="U89" t="s">
        <v>61</v>
      </c>
      <c r="V89">
        <v>2.09</v>
      </c>
      <c r="W89">
        <v>1.07</v>
      </c>
      <c r="X89">
        <v>9.2</v>
      </c>
      <c r="Y89">
        <v>8.1</v>
      </c>
      <c r="Z89">
        <v>12.8</v>
      </c>
    </row>
    <row r="90" spans="1:26">
      <c r="A90" t="s">
        <v>441</v>
      </c>
      <c r="B90">
        <v>79</v>
      </c>
      <c r="C90" t="s">
        <v>70</v>
      </c>
      <c r="D90" t="s">
        <v>41</v>
      </c>
      <c r="E90" t="s">
        <v>311</v>
      </c>
      <c r="F90" t="s">
        <v>277</v>
      </c>
      <c r="G90" t="s">
        <v>288</v>
      </c>
      <c r="H90" t="s">
        <v>29</v>
      </c>
      <c r="I90" t="s">
        <v>20</v>
      </c>
      <c r="J90" s="7">
        <v>45164</v>
      </c>
      <c r="K90" s="7">
        <v>45622</v>
      </c>
      <c r="L90" s="5">
        <v>200</v>
      </c>
      <c r="M90" t="s">
        <v>25</v>
      </c>
      <c r="N90" t="s">
        <v>442</v>
      </c>
      <c r="O90">
        <v>200</v>
      </c>
      <c r="P90" t="s">
        <v>211</v>
      </c>
      <c r="Q90" t="s">
        <v>25</v>
      </c>
      <c r="R90">
        <v>37</v>
      </c>
      <c r="S90">
        <v>0</v>
      </c>
      <c r="T90" t="s">
        <v>78</v>
      </c>
      <c r="U90" t="s">
        <v>61</v>
      </c>
      <c r="V90">
        <v>2.1</v>
      </c>
      <c r="W90">
        <v>3.22</v>
      </c>
      <c r="X90">
        <v>6.9</v>
      </c>
      <c r="Y90">
        <v>20.9</v>
      </c>
      <c r="Z90">
        <v>6.5</v>
      </c>
    </row>
    <row r="91" spans="1:26">
      <c r="A91" t="s">
        <v>443</v>
      </c>
      <c r="B91">
        <v>80</v>
      </c>
      <c r="C91" t="s">
        <v>71</v>
      </c>
      <c r="D91" t="s">
        <v>43</v>
      </c>
      <c r="E91" t="s">
        <v>272</v>
      </c>
      <c r="F91" t="s">
        <v>264</v>
      </c>
      <c r="G91" t="s">
        <v>256</v>
      </c>
      <c r="H91" t="s">
        <v>29</v>
      </c>
      <c r="I91" t="s">
        <v>18</v>
      </c>
      <c r="J91" s="7">
        <v>44456</v>
      </c>
      <c r="K91" s="7">
        <v>44974</v>
      </c>
      <c r="L91" s="5">
        <v>50</v>
      </c>
      <c r="M91" t="s">
        <v>26</v>
      </c>
      <c r="N91" t="s">
        <v>367</v>
      </c>
      <c r="O91">
        <v>50</v>
      </c>
      <c r="P91" t="s">
        <v>205</v>
      </c>
      <c r="Q91" t="s">
        <v>27</v>
      </c>
      <c r="R91">
        <v>68</v>
      </c>
      <c r="S91">
        <v>0</v>
      </c>
      <c r="T91" t="s">
        <v>80</v>
      </c>
      <c r="U91" t="s">
        <v>63</v>
      </c>
      <c r="V91">
        <v>1.04</v>
      </c>
      <c r="W91">
        <v>1.55</v>
      </c>
      <c r="X91">
        <v>9.1</v>
      </c>
      <c r="Y91">
        <v>21.7</v>
      </c>
      <c r="Z91">
        <v>13.2</v>
      </c>
    </row>
    <row r="92" spans="1:26">
      <c r="A92" t="s">
        <v>444</v>
      </c>
      <c r="B92">
        <v>19</v>
      </c>
      <c r="C92" t="s">
        <v>44</v>
      </c>
      <c r="D92" t="s">
        <v>41</v>
      </c>
      <c r="E92" t="s">
        <v>255</v>
      </c>
      <c r="F92" t="s">
        <v>150</v>
      </c>
      <c r="G92" t="s">
        <v>269</v>
      </c>
      <c r="H92" t="s">
        <v>30</v>
      </c>
      <c r="I92" t="s">
        <v>16</v>
      </c>
      <c r="J92" s="7">
        <v>44720</v>
      </c>
      <c r="K92" s="7">
        <v>45054</v>
      </c>
      <c r="L92" s="5">
        <v>150</v>
      </c>
      <c r="M92" t="s">
        <v>25</v>
      </c>
      <c r="N92" t="s">
        <v>445</v>
      </c>
      <c r="O92">
        <v>150</v>
      </c>
      <c r="P92" t="s">
        <v>205</v>
      </c>
      <c r="Q92" t="s">
        <v>27</v>
      </c>
      <c r="R92">
        <v>133</v>
      </c>
      <c r="S92">
        <v>0</v>
      </c>
      <c r="T92" t="s">
        <v>78</v>
      </c>
      <c r="U92" t="s">
        <v>63</v>
      </c>
      <c r="V92">
        <v>3.4</v>
      </c>
      <c r="W92">
        <v>3.66</v>
      </c>
      <c r="X92">
        <v>2.6</v>
      </c>
      <c r="Y92">
        <v>22.5</v>
      </c>
      <c r="Z92">
        <v>10.1</v>
      </c>
    </row>
    <row r="93" spans="1:26">
      <c r="A93" t="s">
        <v>446</v>
      </c>
      <c r="B93">
        <v>76</v>
      </c>
      <c r="C93" t="s">
        <v>70</v>
      </c>
      <c r="D93" t="s">
        <v>44</v>
      </c>
      <c r="E93" t="s">
        <v>272</v>
      </c>
      <c r="F93" t="s">
        <v>260</v>
      </c>
      <c r="G93" t="s">
        <v>431</v>
      </c>
      <c r="H93" t="s">
        <v>32</v>
      </c>
      <c r="I93" t="s">
        <v>16</v>
      </c>
      <c r="J93" s="7">
        <v>44916</v>
      </c>
      <c r="K93" s="7">
        <v>45098</v>
      </c>
      <c r="L93" s="5">
        <v>50</v>
      </c>
      <c r="M93" t="s">
        <v>27</v>
      </c>
      <c r="N93" t="s">
        <v>447</v>
      </c>
      <c r="O93">
        <v>50</v>
      </c>
      <c r="P93" t="s">
        <v>205</v>
      </c>
      <c r="Q93" t="s">
        <v>28</v>
      </c>
      <c r="R93">
        <v>53</v>
      </c>
      <c r="S93">
        <v>0</v>
      </c>
      <c r="T93" t="s">
        <v>80</v>
      </c>
      <c r="U93" t="s">
        <v>61</v>
      </c>
      <c r="V93">
        <v>2.53</v>
      </c>
      <c r="W93">
        <v>3.08</v>
      </c>
      <c r="X93">
        <v>1.4</v>
      </c>
      <c r="Y93">
        <v>9</v>
      </c>
      <c r="Z93">
        <v>15.5</v>
      </c>
    </row>
    <row r="94" spans="1:26">
      <c r="A94" t="s">
        <v>448</v>
      </c>
      <c r="B94">
        <v>83</v>
      </c>
      <c r="C94" t="s">
        <v>44</v>
      </c>
      <c r="D94" t="s">
        <v>41</v>
      </c>
      <c r="E94" t="s">
        <v>272</v>
      </c>
      <c r="F94" t="s">
        <v>150</v>
      </c>
      <c r="G94" t="s">
        <v>327</v>
      </c>
      <c r="H94" t="s">
        <v>29</v>
      </c>
      <c r="I94" t="s">
        <v>18</v>
      </c>
      <c r="J94" s="7">
        <v>44730</v>
      </c>
      <c r="K94" s="7">
        <v>45278</v>
      </c>
      <c r="L94" s="5">
        <v>200</v>
      </c>
      <c r="M94" t="s">
        <v>150</v>
      </c>
      <c r="N94" t="s">
        <v>334</v>
      </c>
      <c r="O94">
        <v>200</v>
      </c>
      <c r="P94" t="s">
        <v>205</v>
      </c>
      <c r="Q94" t="s">
        <v>26</v>
      </c>
      <c r="R94">
        <v>30</v>
      </c>
      <c r="S94">
        <v>0</v>
      </c>
      <c r="T94" t="s">
        <v>81</v>
      </c>
      <c r="U94" t="s">
        <v>61</v>
      </c>
      <c r="V94">
        <v>1.33</v>
      </c>
      <c r="W94">
        <v>3.41</v>
      </c>
      <c r="X94">
        <v>3.2</v>
      </c>
      <c r="Y94">
        <v>13</v>
      </c>
      <c r="Z94">
        <v>7.9</v>
      </c>
    </row>
    <row r="95" spans="1:26">
      <c r="A95" t="s">
        <v>449</v>
      </c>
      <c r="B95">
        <v>55</v>
      </c>
      <c r="C95" t="s">
        <v>44</v>
      </c>
      <c r="D95" t="s">
        <v>44</v>
      </c>
      <c r="E95" t="s">
        <v>150</v>
      </c>
      <c r="F95" t="s">
        <v>150</v>
      </c>
      <c r="G95" t="s">
        <v>291</v>
      </c>
      <c r="H95" t="s">
        <v>30</v>
      </c>
      <c r="I95" t="s">
        <v>20</v>
      </c>
      <c r="J95" s="7">
        <v>44189</v>
      </c>
      <c r="K95" s="7">
        <v>44705</v>
      </c>
      <c r="L95" s="5">
        <v>200</v>
      </c>
      <c r="M95" t="s">
        <v>150</v>
      </c>
      <c r="N95" t="s">
        <v>450</v>
      </c>
      <c r="O95">
        <v>200</v>
      </c>
      <c r="P95" t="s">
        <v>206</v>
      </c>
      <c r="Q95" t="s">
        <v>26</v>
      </c>
      <c r="R95">
        <v>60</v>
      </c>
      <c r="S95">
        <v>1</v>
      </c>
      <c r="T95" t="s">
        <v>82</v>
      </c>
      <c r="U95" t="s">
        <v>63</v>
      </c>
      <c r="V95">
        <v>2.42</v>
      </c>
      <c r="W95">
        <v>3.88</v>
      </c>
      <c r="X95">
        <v>3.7</v>
      </c>
      <c r="Y95">
        <v>16.2</v>
      </c>
      <c r="Z95">
        <v>11.1</v>
      </c>
    </row>
    <row r="96" spans="1:26">
      <c r="A96" t="s">
        <v>451</v>
      </c>
      <c r="B96">
        <v>76</v>
      </c>
      <c r="C96" t="s">
        <v>71</v>
      </c>
      <c r="D96" t="s">
        <v>39</v>
      </c>
      <c r="E96" t="s">
        <v>311</v>
      </c>
      <c r="F96" t="s">
        <v>150</v>
      </c>
      <c r="G96" t="s">
        <v>291</v>
      </c>
      <c r="H96" t="s">
        <v>29</v>
      </c>
      <c r="I96" t="s">
        <v>20</v>
      </c>
      <c r="J96" s="7">
        <v>44884</v>
      </c>
      <c r="K96" s="7">
        <v>45310</v>
      </c>
      <c r="L96" s="5">
        <v>100</v>
      </c>
      <c r="M96" t="s">
        <v>28</v>
      </c>
      <c r="N96" t="s">
        <v>315</v>
      </c>
      <c r="O96">
        <v>100</v>
      </c>
      <c r="P96" t="s">
        <v>211</v>
      </c>
      <c r="Q96" t="s">
        <v>25</v>
      </c>
      <c r="R96">
        <v>153</v>
      </c>
      <c r="S96">
        <v>0</v>
      </c>
      <c r="T96" t="s">
        <v>80</v>
      </c>
      <c r="U96" t="s">
        <v>63</v>
      </c>
      <c r="V96">
        <v>3.65</v>
      </c>
      <c r="W96">
        <v>4.75</v>
      </c>
      <c r="X96">
        <v>7.6</v>
      </c>
      <c r="Y96">
        <v>9.9</v>
      </c>
      <c r="Z96">
        <v>3.5</v>
      </c>
    </row>
    <row r="97" spans="1:26">
      <c r="A97" t="s">
        <v>452</v>
      </c>
      <c r="B97">
        <v>40</v>
      </c>
      <c r="C97" t="s">
        <v>44</v>
      </c>
      <c r="D97" t="s">
        <v>41</v>
      </c>
      <c r="E97" t="s">
        <v>311</v>
      </c>
      <c r="F97" t="s">
        <v>268</v>
      </c>
      <c r="G97" t="s">
        <v>306</v>
      </c>
      <c r="H97" t="s">
        <v>32</v>
      </c>
      <c r="I97" t="s">
        <v>20</v>
      </c>
      <c r="J97" s="7">
        <v>44857</v>
      </c>
      <c r="K97" s="7">
        <v>45405</v>
      </c>
      <c r="L97" s="5">
        <v>100</v>
      </c>
      <c r="M97" t="s">
        <v>27</v>
      </c>
      <c r="N97" t="s">
        <v>453</v>
      </c>
      <c r="O97">
        <v>100</v>
      </c>
      <c r="P97" t="s">
        <v>211</v>
      </c>
      <c r="Q97" t="s">
        <v>26</v>
      </c>
      <c r="R97">
        <v>65</v>
      </c>
      <c r="S97">
        <v>0</v>
      </c>
      <c r="T97" t="s">
        <v>82</v>
      </c>
      <c r="U97" t="s">
        <v>61</v>
      </c>
      <c r="V97">
        <v>2.05</v>
      </c>
      <c r="W97">
        <v>3.38</v>
      </c>
      <c r="X97">
        <v>1.5</v>
      </c>
      <c r="Y97">
        <v>14.9</v>
      </c>
      <c r="Z97">
        <v>13.1</v>
      </c>
    </row>
    <row r="98" spans="1:26">
      <c r="A98" t="s">
        <v>454</v>
      </c>
      <c r="B98">
        <v>58</v>
      </c>
      <c r="C98" t="s">
        <v>44</v>
      </c>
      <c r="D98" t="s">
        <v>44</v>
      </c>
      <c r="E98" t="s">
        <v>259</v>
      </c>
      <c r="F98" t="s">
        <v>268</v>
      </c>
      <c r="G98" t="s">
        <v>362</v>
      </c>
      <c r="H98" t="s">
        <v>32</v>
      </c>
      <c r="I98" t="s">
        <v>18</v>
      </c>
      <c r="J98" s="7">
        <v>44092</v>
      </c>
      <c r="K98" s="7">
        <v>44610</v>
      </c>
      <c r="L98" s="5">
        <v>150</v>
      </c>
      <c r="M98" t="s">
        <v>28</v>
      </c>
      <c r="N98" t="s">
        <v>325</v>
      </c>
      <c r="O98">
        <v>150</v>
      </c>
      <c r="P98" t="s">
        <v>205</v>
      </c>
      <c r="Q98" t="s">
        <v>25</v>
      </c>
      <c r="R98">
        <v>136</v>
      </c>
      <c r="S98">
        <v>0</v>
      </c>
      <c r="T98" t="s">
        <v>80</v>
      </c>
      <c r="U98" t="s">
        <v>61</v>
      </c>
      <c r="V98">
        <v>2.34</v>
      </c>
      <c r="W98">
        <v>4.08</v>
      </c>
      <c r="X98">
        <v>2</v>
      </c>
      <c r="Y98">
        <v>7.4</v>
      </c>
      <c r="Z98">
        <v>15.4</v>
      </c>
    </row>
    <row r="99" spans="1:26">
      <c r="A99" t="s">
        <v>455</v>
      </c>
      <c r="B99">
        <v>72</v>
      </c>
      <c r="C99" t="s">
        <v>71</v>
      </c>
      <c r="D99" t="s">
        <v>44</v>
      </c>
      <c r="E99" t="s">
        <v>311</v>
      </c>
      <c r="F99" t="s">
        <v>273</v>
      </c>
      <c r="G99" t="s">
        <v>291</v>
      </c>
      <c r="H99" t="s">
        <v>29</v>
      </c>
      <c r="I99" t="s">
        <v>18</v>
      </c>
      <c r="J99" s="7">
        <v>44265</v>
      </c>
      <c r="K99" s="7">
        <v>44752</v>
      </c>
      <c r="L99" s="5">
        <v>150</v>
      </c>
      <c r="M99" t="s">
        <v>28</v>
      </c>
      <c r="N99" t="s">
        <v>433</v>
      </c>
      <c r="O99">
        <v>150</v>
      </c>
      <c r="P99" t="s">
        <v>211</v>
      </c>
      <c r="Q99" t="s">
        <v>26</v>
      </c>
      <c r="R99">
        <v>168</v>
      </c>
      <c r="S99">
        <v>0</v>
      </c>
      <c r="T99" t="s">
        <v>83</v>
      </c>
      <c r="U99" t="s">
        <v>61</v>
      </c>
      <c r="V99">
        <v>2.98</v>
      </c>
      <c r="W99">
        <v>3.75</v>
      </c>
      <c r="X99">
        <v>4.9</v>
      </c>
      <c r="Y99">
        <v>10.4</v>
      </c>
      <c r="Z99">
        <v>16.9</v>
      </c>
    </row>
    <row r="100" spans="1:26">
      <c r="A100" t="s">
        <v>456</v>
      </c>
      <c r="B100">
        <v>75</v>
      </c>
      <c r="C100" t="s">
        <v>71</v>
      </c>
      <c r="D100" t="s">
        <v>44</v>
      </c>
      <c r="E100" t="s">
        <v>255</v>
      </c>
      <c r="F100" t="s">
        <v>150</v>
      </c>
      <c r="G100" t="s">
        <v>319</v>
      </c>
      <c r="H100" t="s">
        <v>34</v>
      </c>
      <c r="I100" t="s">
        <v>18</v>
      </c>
      <c r="J100" s="7">
        <v>45270</v>
      </c>
      <c r="K100" s="7">
        <v>45787</v>
      </c>
      <c r="L100" s="5">
        <v>50</v>
      </c>
      <c r="M100" t="s">
        <v>27</v>
      </c>
      <c r="N100" t="s">
        <v>457</v>
      </c>
      <c r="O100">
        <v>50</v>
      </c>
      <c r="P100" t="s">
        <v>211</v>
      </c>
      <c r="Q100" t="s">
        <v>25</v>
      </c>
      <c r="R100">
        <v>43</v>
      </c>
      <c r="S100">
        <v>0</v>
      </c>
      <c r="T100" t="s">
        <v>83</v>
      </c>
      <c r="U100" t="s">
        <v>61</v>
      </c>
      <c r="V100">
        <v>4.2</v>
      </c>
      <c r="W100">
        <v>3.78</v>
      </c>
      <c r="X100">
        <v>3.4</v>
      </c>
      <c r="Y100">
        <v>16.6</v>
      </c>
      <c r="Z100">
        <v>9.1</v>
      </c>
    </row>
    <row r="101" spans="1:26">
      <c r="A101" t="s">
        <v>458</v>
      </c>
      <c r="B101">
        <v>43</v>
      </c>
      <c r="C101" t="s">
        <v>44</v>
      </c>
      <c r="D101" t="s">
        <v>43</v>
      </c>
      <c r="E101" t="s">
        <v>259</v>
      </c>
      <c r="F101" t="s">
        <v>150</v>
      </c>
      <c r="G101" t="s">
        <v>327</v>
      </c>
      <c r="H101" t="s">
        <v>30</v>
      </c>
      <c r="I101" t="s">
        <v>18</v>
      </c>
      <c r="J101" s="7">
        <v>44414</v>
      </c>
      <c r="K101" s="7">
        <v>44901</v>
      </c>
      <c r="L101" s="5">
        <v>50</v>
      </c>
      <c r="M101" t="s">
        <v>26</v>
      </c>
      <c r="N101" t="s">
        <v>459</v>
      </c>
      <c r="O101">
        <v>50</v>
      </c>
      <c r="P101" t="s">
        <v>205</v>
      </c>
      <c r="Q101" t="s">
        <v>28</v>
      </c>
      <c r="R101">
        <v>126</v>
      </c>
      <c r="S101">
        <v>0</v>
      </c>
      <c r="T101" t="s">
        <v>83</v>
      </c>
      <c r="U101" t="s">
        <v>61</v>
      </c>
      <c r="V101">
        <v>1.37</v>
      </c>
      <c r="W101">
        <v>4.67</v>
      </c>
      <c r="X101">
        <v>2.2</v>
      </c>
      <c r="Y101">
        <v>23.1</v>
      </c>
      <c r="Z101">
        <v>10.6</v>
      </c>
    </row>
    <row r="102" spans="1:26">
      <c r="A102" t="s">
        <v>460</v>
      </c>
      <c r="B102">
        <v>53</v>
      </c>
      <c r="C102" t="s">
        <v>44</v>
      </c>
      <c r="D102" t="s">
        <v>39</v>
      </c>
      <c r="E102" t="s">
        <v>259</v>
      </c>
      <c r="F102" t="s">
        <v>264</v>
      </c>
      <c r="G102" t="s">
        <v>312</v>
      </c>
      <c r="H102" t="s">
        <v>32</v>
      </c>
      <c r="I102" t="s">
        <v>20</v>
      </c>
      <c r="J102" s="7">
        <v>43835</v>
      </c>
      <c r="K102" s="7">
        <v>44170</v>
      </c>
      <c r="L102" s="5">
        <v>50</v>
      </c>
      <c r="M102" t="s">
        <v>25</v>
      </c>
      <c r="N102" t="s">
        <v>461</v>
      </c>
      <c r="O102">
        <v>50</v>
      </c>
      <c r="P102" t="s">
        <v>205</v>
      </c>
      <c r="Q102" t="s">
        <v>150</v>
      </c>
      <c r="R102">
        <v>48</v>
      </c>
      <c r="S102">
        <v>0</v>
      </c>
      <c r="T102" t="s">
        <v>81</v>
      </c>
      <c r="U102" t="s">
        <v>63</v>
      </c>
      <c r="V102">
        <v>1.74</v>
      </c>
      <c r="W102">
        <v>3.17</v>
      </c>
      <c r="X102">
        <v>8.9</v>
      </c>
      <c r="Y102">
        <v>19.2</v>
      </c>
      <c r="Z102">
        <v>16.7</v>
      </c>
    </row>
    <row r="103" spans="1:26">
      <c r="A103" t="s">
        <v>462</v>
      </c>
      <c r="B103">
        <v>41</v>
      </c>
      <c r="C103" t="s">
        <v>44</v>
      </c>
      <c r="D103" t="s">
        <v>42</v>
      </c>
      <c r="E103" t="s">
        <v>255</v>
      </c>
      <c r="F103" t="s">
        <v>268</v>
      </c>
      <c r="G103" t="s">
        <v>319</v>
      </c>
      <c r="H103" t="s">
        <v>34</v>
      </c>
      <c r="I103" t="s">
        <v>16</v>
      </c>
      <c r="J103" s="7">
        <v>44293</v>
      </c>
      <c r="K103" s="7">
        <v>44780</v>
      </c>
      <c r="L103" s="5">
        <v>150</v>
      </c>
      <c r="M103" t="s">
        <v>150</v>
      </c>
      <c r="N103" t="s">
        <v>345</v>
      </c>
      <c r="O103">
        <v>150</v>
      </c>
      <c r="P103" t="s">
        <v>205</v>
      </c>
      <c r="Q103" t="s">
        <v>25</v>
      </c>
      <c r="R103">
        <v>151</v>
      </c>
      <c r="S103">
        <v>0</v>
      </c>
      <c r="T103" t="s">
        <v>80</v>
      </c>
      <c r="U103" t="s">
        <v>63</v>
      </c>
      <c r="V103">
        <v>3.64</v>
      </c>
      <c r="W103">
        <v>3.77</v>
      </c>
      <c r="X103">
        <v>8.6</v>
      </c>
      <c r="Y103">
        <v>10.5</v>
      </c>
      <c r="Z103">
        <v>11.3</v>
      </c>
    </row>
    <row r="104" spans="1:26">
      <c r="A104" t="s">
        <v>463</v>
      </c>
      <c r="B104">
        <v>32</v>
      </c>
      <c r="C104" t="s">
        <v>44</v>
      </c>
      <c r="D104" t="s">
        <v>39</v>
      </c>
      <c r="E104" t="s">
        <v>272</v>
      </c>
      <c r="F104" t="s">
        <v>268</v>
      </c>
      <c r="G104" t="s">
        <v>306</v>
      </c>
      <c r="H104" t="s">
        <v>30</v>
      </c>
      <c r="I104" t="s">
        <v>16</v>
      </c>
      <c r="J104" s="7">
        <v>44403</v>
      </c>
      <c r="K104" s="7">
        <v>44618</v>
      </c>
      <c r="L104" s="5">
        <v>200</v>
      </c>
      <c r="M104" t="s">
        <v>25</v>
      </c>
      <c r="N104" t="s">
        <v>464</v>
      </c>
      <c r="O104">
        <v>200</v>
      </c>
      <c r="P104" t="s">
        <v>205</v>
      </c>
      <c r="Q104" t="s">
        <v>150</v>
      </c>
      <c r="R104">
        <v>161</v>
      </c>
      <c r="S104">
        <v>0</v>
      </c>
      <c r="T104" t="s">
        <v>80</v>
      </c>
      <c r="U104" t="s">
        <v>61</v>
      </c>
      <c r="V104">
        <v>1.88</v>
      </c>
      <c r="W104">
        <v>4.95</v>
      </c>
      <c r="X104">
        <v>9.5</v>
      </c>
      <c r="Y104">
        <v>6.7</v>
      </c>
      <c r="Z104">
        <v>15</v>
      </c>
    </row>
    <row r="105" spans="1:26">
      <c r="A105" t="s">
        <v>465</v>
      </c>
      <c r="B105">
        <v>80</v>
      </c>
      <c r="C105" t="s">
        <v>71</v>
      </c>
      <c r="D105" t="s">
        <v>39</v>
      </c>
      <c r="E105" t="s">
        <v>259</v>
      </c>
      <c r="F105" t="s">
        <v>277</v>
      </c>
      <c r="G105" t="s">
        <v>284</v>
      </c>
      <c r="H105" t="s">
        <v>30</v>
      </c>
      <c r="I105" t="s">
        <v>16</v>
      </c>
      <c r="J105" s="7">
        <v>43577</v>
      </c>
      <c r="K105" s="7">
        <v>44065</v>
      </c>
      <c r="L105" s="5">
        <v>100</v>
      </c>
      <c r="M105" t="s">
        <v>27</v>
      </c>
      <c r="N105" t="s">
        <v>330</v>
      </c>
      <c r="O105">
        <v>100</v>
      </c>
      <c r="P105" t="s">
        <v>205</v>
      </c>
      <c r="Q105" t="s">
        <v>27</v>
      </c>
      <c r="R105">
        <v>48</v>
      </c>
      <c r="S105">
        <v>0</v>
      </c>
      <c r="T105" t="s">
        <v>78</v>
      </c>
      <c r="U105" t="s">
        <v>63</v>
      </c>
      <c r="V105">
        <v>4.7</v>
      </c>
      <c r="W105">
        <v>1.72</v>
      </c>
      <c r="X105">
        <v>6.1</v>
      </c>
      <c r="Y105">
        <v>22.5</v>
      </c>
      <c r="Z105">
        <v>3.6</v>
      </c>
    </row>
    <row r="106" spans="1:26">
      <c r="A106" t="s">
        <v>466</v>
      </c>
      <c r="B106">
        <v>76</v>
      </c>
      <c r="C106" t="s">
        <v>44</v>
      </c>
      <c r="D106" t="s">
        <v>39</v>
      </c>
      <c r="E106" t="s">
        <v>311</v>
      </c>
      <c r="F106" t="s">
        <v>277</v>
      </c>
      <c r="G106" t="s">
        <v>288</v>
      </c>
      <c r="H106" t="s">
        <v>32</v>
      </c>
      <c r="I106" t="s">
        <v>16</v>
      </c>
      <c r="J106" s="7">
        <v>45025</v>
      </c>
      <c r="K106" s="7">
        <v>45391</v>
      </c>
      <c r="L106" s="5">
        <v>200</v>
      </c>
      <c r="M106" t="s">
        <v>27</v>
      </c>
      <c r="N106" t="s">
        <v>467</v>
      </c>
      <c r="O106">
        <v>200</v>
      </c>
      <c r="P106" t="s">
        <v>206</v>
      </c>
      <c r="Q106" t="s">
        <v>27</v>
      </c>
      <c r="R106">
        <v>60</v>
      </c>
      <c r="S106">
        <v>1</v>
      </c>
      <c r="T106" t="s">
        <v>80</v>
      </c>
      <c r="U106" t="s">
        <v>63</v>
      </c>
      <c r="V106">
        <v>3.79</v>
      </c>
      <c r="W106">
        <v>2.19</v>
      </c>
      <c r="X106">
        <v>9.3</v>
      </c>
      <c r="Y106">
        <v>23.5</v>
      </c>
      <c r="Z106">
        <v>19.1</v>
      </c>
    </row>
    <row r="107" spans="1:26">
      <c r="A107" t="s">
        <v>468</v>
      </c>
      <c r="B107">
        <v>26</v>
      </c>
      <c r="C107" t="s">
        <v>44</v>
      </c>
      <c r="D107" t="s">
        <v>44</v>
      </c>
      <c r="E107" t="s">
        <v>311</v>
      </c>
      <c r="F107" t="s">
        <v>150</v>
      </c>
      <c r="G107" t="s">
        <v>294</v>
      </c>
      <c r="H107" t="s">
        <v>32</v>
      </c>
      <c r="I107" t="s">
        <v>16</v>
      </c>
      <c r="J107" s="7">
        <v>44510</v>
      </c>
      <c r="K107" s="7">
        <v>44967</v>
      </c>
      <c r="L107" s="5">
        <v>50</v>
      </c>
      <c r="M107" t="s">
        <v>27</v>
      </c>
      <c r="N107" t="s">
        <v>469</v>
      </c>
      <c r="O107">
        <v>50</v>
      </c>
      <c r="P107" t="s">
        <v>205</v>
      </c>
      <c r="Q107" t="s">
        <v>28</v>
      </c>
      <c r="R107">
        <v>151</v>
      </c>
      <c r="S107">
        <v>0</v>
      </c>
      <c r="T107" t="s">
        <v>78</v>
      </c>
      <c r="U107" t="s">
        <v>63</v>
      </c>
      <c r="V107">
        <v>2.9</v>
      </c>
      <c r="W107">
        <v>4.45</v>
      </c>
      <c r="X107">
        <v>8.6</v>
      </c>
      <c r="Y107">
        <v>11.7</v>
      </c>
      <c r="Z107">
        <v>17.1</v>
      </c>
    </row>
    <row r="108" spans="1:26">
      <c r="A108" t="s">
        <v>470</v>
      </c>
      <c r="B108">
        <v>35</v>
      </c>
      <c r="C108" t="s">
        <v>44</v>
      </c>
      <c r="D108" t="s">
        <v>43</v>
      </c>
      <c r="E108" t="s">
        <v>255</v>
      </c>
      <c r="F108" t="s">
        <v>273</v>
      </c>
      <c r="G108" t="s">
        <v>362</v>
      </c>
      <c r="H108" t="s">
        <v>32</v>
      </c>
      <c r="I108" t="s">
        <v>16</v>
      </c>
      <c r="J108" s="7">
        <v>45174</v>
      </c>
      <c r="K108" s="7">
        <v>45387</v>
      </c>
      <c r="L108" s="5">
        <v>50</v>
      </c>
      <c r="M108" t="s">
        <v>25</v>
      </c>
      <c r="N108" t="s">
        <v>471</v>
      </c>
      <c r="O108">
        <v>50</v>
      </c>
      <c r="P108" t="s">
        <v>211</v>
      </c>
      <c r="Q108" t="s">
        <v>25</v>
      </c>
      <c r="R108">
        <v>170</v>
      </c>
      <c r="S108">
        <v>0</v>
      </c>
      <c r="T108" t="s">
        <v>83</v>
      </c>
      <c r="U108" t="s">
        <v>61</v>
      </c>
      <c r="V108">
        <v>1.15</v>
      </c>
      <c r="W108">
        <v>3.39</v>
      </c>
      <c r="X108">
        <v>3.1</v>
      </c>
      <c r="Y108">
        <v>8.2</v>
      </c>
      <c r="Z108">
        <v>4.3</v>
      </c>
    </row>
    <row r="109" spans="1:26">
      <c r="A109" t="s">
        <v>472</v>
      </c>
      <c r="B109">
        <v>44</v>
      </c>
      <c r="C109" t="s">
        <v>44</v>
      </c>
      <c r="D109" t="s">
        <v>39</v>
      </c>
      <c r="E109" t="s">
        <v>259</v>
      </c>
      <c r="F109" t="s">
        <v>268</v>
      </c>
      <c r="G109" t="s">
        <v>281</v>
      </c>
      <c r="H109" t="s">
        <v>30</v>
      </c>
      <c r="I109" t="s">
        <v>18</v>
      </c>
      <c r="J109" s="7">
        <v>44131</v>
      </c>
      <c r="K109" s="7">
        <v>44435</v>
      </c>
      <c r="L109" s="5">
        <v>100</v>
      </c>
      <c r="M109" t="s">
        <v>26</v>
      </c>
      <c r="N109" t="s">
        <v>473</v>
      </c>
      <c r="O109">
        <v>100</v>
      </c>
      <c r="P109" t="s">
        <v>205</v>
      </c>
      <c r="Q109" t="s">
        <v>28</v>
      </c>
      <c r="R109">
        <v>170</v>
      </c>
      <c r="S109">
        <v>0</v>
      </c>
      <c r="T109" t="s">
        <v>82</v>
      </c>
      <c r="U109" t="s">
        <v>63</v>
      </c>
      <c r="V109">
        <v>3.79</v>
      </c>
      <c r="W109">
        <v>2.36</v>
      </c>
      <c r="X109">
        <v>7.5</v>
      </c>
      <c r="Y109">
        <v>7.2</v>
      </c>
      <c r="Z109">
        <v>8.4</v>
      </c>
    </row>
    <row r="110" spans="1:26">
      <c r="A110" t="s">
        <v>474</v>
      </c>
      <c r="B110">
        <v>55</v>
      </c>
      <c r="C110" t="s">
        <v>44</v>
      </c>
      <c r="D110" t="s">
        <v>42</v>
      </c>
      <c r="E110" t="s">
        <v>150</v>
      </c>
      <c r="F110" t="s">
        <v>268</v>
      </c>
      <c r="G110" t="s">
        <v>269</v>
      </c>
      <c r="H110" t="s">
        <v>32</v>
      </c>
      <c r="I110" t="s">
        <v>19</v>
      </c>
      <c r="J110" s="7">
        <v>44156</v>
      </c>
      <c r="K110" s="7">
        <v>44429</v>
      </c>
      <c r="L110" s="5">
        <v>50</v>
      </c>
      <c r="M110" t="s">
        <v>25</v>
      </c>
      <c r="N110" t="s">
        <v>475</v>
      </c>
      <c r="O110">
        <v>50</v>
      </c>
      <c r="P110" t="s">
        <v>211</v>
      </c>
      <c r="Q110" t="s">
        <v>27</v>
      </c>
      <c r="R110">
        <v>145</v>
      </c>
      <c r="S110">
        <v>0</v>
      </c>
      <c r="T110" t="s">
        <v>81</v>
      </c>
      <c r="U110" t="s">
        <v>61</v>
      </c>
      <c r="V110">
        <v>3.16</v>
      </c>
      <c r="W110">
        <v>4.16</v>
      </c>
      <c r="X110">
        <v>3.9</v>
      </c>
      <c r="Y110">
        <v>17.3</v>
      </c>
      <c r="Z110">
        <v>18.1</v>
      </c>
    </row>
    <row r="111" spans="1:26">
      <c r="A111" t="s">
        <v>476</v>
      </c>
      <c r="B111">
        <v>37</v>
      </c>
      <c r="C111" t="s">
        <v>44</v>
      </c>
      <c r="D111" t="s">
        <v>44</v>
      </c>
      <c r="E111" t="s">
        <v>150</v>
      </c>
      <c r="F111" t="s">
        <v>150</v>
      </c>
      <c r="G111" t="s">
        <v>261</v>
      </c>
      <c r="H111" t="s">
        <v>30</v>
      </c>
      <c r="I111" t="s">
        <v>16</v>
      </c>
      <c r="J111" s="7">
        <v>44312</v>
      </c>
      <c r="K111" s="7">
        <v>44587</v>
      </c>
      <c r="L111" s="5">
        <v>200</v>
      </c>
      <c r="M111" t="s">
        <v>150</v>
      </c>
      <c r="N111" t="s">
        <v>382</v>
      </c>
      <c r="O111">
        <v>200</v>
      </c>
      <c r="P111" t="s">
        <v>205</v>
      </c>
      <c r="Q111" t="s">
        <v>150</v>
      </c>
      <c r="R111">
        <v>152</v>
      </c>
      <c r="S111">
        <v>0</v>
      </c>
      <c r="T111" t="s">
        <v>82</v>
      </c>
      <c r="U111" t="s">
        <v>61</v>
      </c>
      <c r="V111">
        <v>3.46</v>
      </c>
      <c r="W111">
        <v>1.93</v>
      </c>
      <c r="X111">
        <v>1.2</v>
      </c>
      <c r="Y111">
        <v>21.7</v>
      </c>
      <c r="Z111">
        <v>3.4</v>
      </c>
    </row>
    <row r="112" spans="1:26">
      <c r="A112" t="s">
        <v>477</v>
      </c>
      <c r="B112">
        <v>63</v>
      </c>
      <c r="C112" t="s">
        <v>70</v>
      </c>
      <c r="D112" t="s">
        <v>43</v>
      </c>
      <c r="E112" t="s">
        <v>255</v>
      </c>
      <c r="F112" t="s">
        <v>268</v>
      </c>
      <c r="G112" t="s">
        <v>294</v>
      </c>
      <c r="H112" t="s">
        <v>32</v>
      </c>
      <c r="I112" t="s">
        <v>18</v>
      </c>
      <c r="J112" s="7">
        <v>45025</v>
      </c>
      <c r="K112" s="7">
        <v>45544</v>
      </c>
      <c r="L112" s="5">
        <v>50</v>
      </c>
      <c r="M112" t="s">
        <v>28</v>
      </c>
      <c r="N112" t="s">
        <v>388</v>
      </c>
      <c r="O112">
        <v>50</v>
      </c>
      <c r="P112" t="s">
        <v>206</v>
      </c>
      <c r="Q112" t="s">
        <v>25</v>
      </c>
      <c r="R112">
        <v>178</v>
      </c>
      <c r="S112">
        <v>1</v>
      </c>
      <c r="T112" t="s">
        <v>82</v>
      </c>
      <c r="U112" t="s">
        <v>63</v>
      </c>
      <c r="V112">
        <v>4.5</v>
      </c>
      <c r="W112">
        <v>3.12</v>
      </c>
      <c r="X112">
        <v>9.5</v>
      </c>
      <c r="Y112">
        <v>20.4</v>
      </c>
      <c r="Z112">
        <v>20</v>
      </c>
    </row>
    <row r="113" spans="1:26">
      <c r="A113" t="s">
        <v>478</v>
      </c>
      <c r="B113">
        <v>22</v>
      </c>
      <c r="C113" t="s">
        <v>44</v>
      </c>
      <c r="D113" t="s">
        <v>39</v>
      </c>
      <c r="E113" t="s">
        <v>255</v>
      </c>
      <c r="F113" t="s">
        <v>150</v>
      </c>
      <c r="G113" t="s">
        <v>319</v>
      </c>
      <c r="H113" t="s">
        <v>34</v>
      </c>
      <c r="I113" t="s">
        <v>18</v>
      </c>
      <c r="J113" s="7">
        <v>44385</v>
      </c>
      <c r="K113" s="7">
        <v>44934</v>
      </c>
      <c r="L113" s="5">
        <v>150</v>
      </c>
      <c r="M113" t="s">
        <v>27</v>
      </c>
      <c r="N113" t="s">
        <v>479</v>
      </c>
      <c r="O113">
        <v>150</v>
      </c>
      <c r="P113" t="s">
        <v>205</v>
      </c>
      <c r="Q113" t="s">
        <v>28</v>
      </c>
      <c r="R113">
        <v>131</v>
      </c>
      <c r="S113">
        <v>0</v>
      </c>
      <c r="T113" t="s">
        <v>81</v>
      </c>
      <c r="U113" t="s">
        <v>63</v>
      </c>
      <c r="V113">
        <v>2.4</v>
      </c>
      <c r="W113">
        <v>4.07</v>
      </c>
      <c r="X113">
        <v>4.6</v>
      </c>
      <c r="Y113">
        <v>14.6</v>
      </c>
      <c r="Z113">
        <v>13.7</v>
      </c>
    </row>
    <row r="114" spans="1:26">
      <c r="A114" t="s">
        <v>480</v>
      </c>
      <c r="B114">
        <v>48</v>
      </c>
      <c r="C114" t="s">
        <v>44</v>
      </c>
      <c r="D114" t="s">
        <v>41</v>
      </c>
      <c r="E114" t="s">
        <v>255</v>
      </c>
      <c r="F114" t="s">
        <v>273</v>
      </c>
      <c r="G114" t="s">
        <v>288</v>
      </c>
      <c r="H114" t="s">
        <v>30</v>
      </c>
      <c r="I114" t="s">
        <v>20</v>
      </c>
      <c r="J114" s="7">
        <v>44204</v>
      </c>
      <c r="K114" s="7">
        <v>44750</v>
      </c>
      <c r="L114" s="5">
        <v>200</v>
      </c>
      <c r="M114" t="s">
        <v>28</v>
      </c>
      <c r="N114" t="s">
        <v>481</v>
      </c>
      <c r="O114">
        <v>200</v>
      </c>
      <c r="P114" t="s">
        <v>211</v>
      </c>
      <c r="Q114" t="s">
        <v>26</v>
      </c>
      <c r="R114">
        <v>40</v>
      </c>
      <c r="S114">
        <v>0</v>
      </c>
      <c r="T114" t="s">
        <v>78</v>
      </c>
      <c r="U114" t="s">
        <v>61</v>
      </c>
      <c r="V114">
        <v>4.49</v>
      </c>
      <c r="W114">
        <v>4.94</v>
      </c>
      <c r="X114">
        <v>7.9</v>
      </c>
      <c r="Y114">
        <v>13.5</v>
      </c>
      <c r="Z114">
        <v>10.2</v>
      </c>
    </row>
    <row r="115" spans="1:26">
      <c r="A115" t="s">
        <v>482</v>
      </c>
      <c r="B115">
        <v>67</v>
      </c>
      <c r="C115" t="s">
        <v>70</v>
      </c>
      <c r="D115" t="s">
        <v>43</v>
      </c>
      <c r="E115" t="s">
        <v>311</v>
      </c>
      <c r="F115" t="s">
        <v>264</v>
      </c>
      <c r="G115" t="s">
        <v>284</v>
      </c>
      <c r="H115" t="s">
        <v>32</v>
      </c>
      <c r="I115" t="s">
        <v>19</v>
      </c>
      <c r="J115" s="7">
        <v>45188</v>
      </c>
      <c r="K115" s="7">
        <v>45431</v>
      </c>
      <c r="L115" s="5">
        <v>200</v>
      </c>
      <c r="M115" t="s">
        <v>27</v>
      </c>
      <c r="N115" t="s">
        <v>300</v>
      </c>
      <c r="O115">
        <v>200</v>
      </c>
      <c r="P115" t="s">
        <v>206</v>
      </c>
      <c r="Q115" t="s">
        <v>25</v>
      </c>
      <c r="R115">
        <v>94</v>
      </c>
      <c r="S115">
        <v>1</v>
      </c>
      <c r="T115" t="s">
        <v>82</v>
      </c>
      <c r="U115" t="s">
        <v>63</v>
      </c>
      <c r="V115">
        <v>3.95</v>
      </c>
      <c r="W115">
        <v>1.96</v>
      </c>
      <c r="X115">
        <v>2</v>
      </c>
      <c r="Y115">
        <v>12.4</v>
      </c>
      <c r="Z115">
        <v>7.9</v>
      </c>
    </row>
    <row r="116" spans="1:26">
      <c r="A116" t="s">
        <v>483</v>
      </c>
      <c r="B116">
        <v>84</v>
      </c>
      <c r="C116" t="s">
        <v>70</v>
      </c>
      <c r="D116" t="s">
        <v>39</v>
      </c>
      <c r="E116" t="s">
        <v>150</v>
      </c>
      <c r="F116" t="s">
        <v>260</v>
      </c>
      <c r="G116" t="s">
        <v>306</v>
      </c>
      <c r="H116" t="s">
        <v>29</v>
      </c>
      <c r="I116" t="s">
        <v>18</v>
      </c>
      <c r="J116" s="7">
        <v>44628</v>
      </c>
      <c r="K116" s="7">
        <v>44842</v>
      </c>
      <c r="L116" s="5">
        <v>150</v>
      </c>
      <c r="M116" t="s">
        <v>26</v>
      </c>
      <c r="N116" t="s">
        <v>406</v>
      </c>
      <c r="O116">
        <v>150</v>
      </c>
      <c r="P116" t="s">
        <v>206</v>
      </c>
      <c r="Q116" t="s">
        <v>150</v>
      </c>
      <c r="R116">
        <v>60</v>
      </c>
      <c r="S116">
        <v>1</v>
      </c>
      <c r="T116" t="s">
        <v>78</v>
      </c>
      <c r="U116" t="s">
        <v>61</v>
      </c>
      <c r="V116">
        <v>2.19</v>
      </c>
      <c r="W116">
        <v>1.93</v>
      </c>
      <c r="X116">
        <v>1.4</v>
      </c>
      <c r="Y116">
        <v>6.3</v>
      </c>
      <c r="Z116">
        <v>19.8</v>
      </c>
    </row>
    <row r="117" spans="1:26">
      <c r="A117" t="s">
        <v>484</v>
      </c>
      <c r="B117">
        <v>60</v>
      </c>
      <c r="C117" t="s">
        <v>44</v>
      </c>
      <c r="D117" t="s">
        <v>42</v>
      </c>
      <c r="E117" t="s">
        <v>272</v>
      </c>
      <c r="F117" t="s">
        <v>150</v>
      </c>
      <c r="G117" t="s">
        <v>269</v>
      </c>
      <c r="H117" t="s">
        <v>30</v>
      </c>
      <c r="I117" t="s">
        <v>18</v>
      </c>
      <c r="J117" s="7">
        <v>44569</v>
      </c>
      <c r="K117" s="7">
        <v>44750</v>
      </c>
      <c r="L117" s="5">
        <v>100</v>
      </c>
      <c r="M117" t="s">
        <v>25</v>
      </c>
      <c r="N117" t="s">
        <v>388</v>
      </c>
      <c r="O117">
        <v>100</v>
      </c>
      <c r="P117" t="s">
        <v>205</v>
      </c>
      <c r="Q117" t="s">
        <v>28</v>
      </c>
      <c r="R117">
        <v>176</v>
      </c>
      <c r="S117">
        <v>0</v>
      </c>
      <c r="T117" t="s">
        <v>78</v>
      </c>
      <c r="U117" t="s">
        <v>63</v>
      </c>
      <c r="V117">
        <v>2.71</v>
      </c>
      <c r="W117">
        <v>2.54</v>
      </c>
      <c r="X117">
        <v>7.1</v>
      </c>
      <c r="Y117">
        <v>9.9</v>
      </c>
      <c r="Z117">
        <v>19.1</v>
      </c>
    </row>
    <row r="118" spans="1:26">
      <c r="A118" t="s">
        <v>485</v>
      </c>
      <c r="B118">
        <v>39</v>
      </c>
      <c r="C118" t="s">
        <v>70</v>
      </c>
      <c r="D118" t="s">
        <v>41</v>
      </c>
      <c r="E118" t="s">
        <v>255</v>
      </c>
      <c r="F118" t="s">
        <v>150</v>
      </c>
      <c r="G118" t="s">
        <v>306</v>
      </c>
      <c r="H118" t="s">
        <v>29</v>
      </c>
      <c r="I118" t="s">
        <v>19</v>
      </c>
      <c r="J118" s="7">
        <v>43570</v>
      </c>
      <c r="K118" s="7">
        <v>44027</v>
      </c>
      <c r="L118" s="5">
        <v>200</v>
      </c>
      <c r="M118" t="s">
        <v>26</v>
      </c>
      <c r="N118" t="s">
        <v>486</v>
      </c>
      <c r="O118">
        <v>200</v>
      </c>
      <c r="P118" t="s">
        <v>205</v>
      </c>
      <c r="Q118" t="s">
        <v>26</v>
      </c>
      <c r="R118">
        <v>179</v>
      </c>
      <c r="S118">
        <v>0</v>
      </c>
      <c r="T118" t="s">
        <v>78</v>
      </c>
      <c r="U118" t="s">
        <v>61</v>
      </c>
      <c r="V118">
        <v>4.15</v>
      </c>
      <c r="W118">
        <v>1.36</v>
      </c>
      <c r="X118">
        <v>4.8</v>
      </c>
      <c r="Y118">
        <v>21.8</v>
      </c>
      <c r="Z118">
        <v>19.1</v>
      </c>
    </row>
    <row r="119" spans="1:26">
      <c r="A119" t="s">
        <v>487</v>
      </c>
      <c r="B119">
        <v>39</v>
      </c>
      <c r="C119" t="s">
        <v>44</v>
      </c>
      <c r="D119" t="s">
        <v>39</v>
      </c>
      <c r="E119" t="s">
        <v>272</v>
      </c>
      <c r="F119" t="s">
        <v>150</v>
      </c>
      <c r="G119" t="s">
        <v>294</v>
      </c>
      <c r="H119" t="s">
        <v>30</v>
      </c>
      <c r="I119" t="s">
        <v>20</v>
      </c>
      <c r="J119" s="7">
        <v>44624</v>
      </c>
      <c r="K119" s="7">
        <v>44808</v>
      </c>
      <c r="L119" s="5">
        <v>100</v>
      </c>
      <c r="M119" t="s">
        <v>25</v>
      </c>
      <c r="N119" t="s">
        <v>488</v>
      </c>
      <c r="O119">
        <v>100</v>
      </c>
      <c r="P119" t="s">
        <v>206</v>
      </c>
      <c r="Q119" t="s">
        <v>26</v>
      </c>
      <c r="R119">
        <v>151</v>
      </c>
      <c r="S119">
        <v>1</v>
      </c>
      <c r="T119" t="s">
        <v>80</v>
      </c>
      <c r="U119" t="s">
        <v>63</v>
      </c>
      <c r="V119">
        <v>2.87</v>
      </c>
      <c r="W119">
        <v>3.45</v>
      </c>
      <c r="X119">
        <v>2.5</v>
      </c>
      <c r="Y119">
        <v>23.8</v>
      </c>
      <c r="Z119">
        <v>6.9</v>
      </c>
    </row>
    <row r="120" spans="1:26">
      <c r="A120" t="s">
        <v>489</v>
      </c>
      <c r="B120">
        <v>82</v>
      </c>
      <c r="C120" t="s">
        <v>71</v>
      </c>
      <c r="D120" t="s">
        <v>42</v>
      </c>
      <c r="E120" t="s">
        <v>272</v>
      </c>
      <c r="F120" t="s">
        <v>150</v>
      </c>
      <c r="G120" t="s">
        <v>306</v>
      </c>
      <c r="H120" t="s">
        <v>29</v>
      </c>
      <c r="I120" t="s">
        <v>20</v>
      </c>
      <c r="J120" s="7">
        <v>45119</v>
      </c>
      <c r="K120" s="7">
        <v>45303</v>
      </c>
      <c r="L120" s="5">
        <v>200</v>
      </c>
      <c r="M120" t="s">
        <v>27</v>
      </c>
      <c r="N120" t="s">
        <v>490</v>
      </c>
      <c r="O120">
        <v>200</v>
      </c>
      <c r="P120" t="s">
        <v>211</v>
      </c>
      <c r="Q120" t="s">
        <v>150</v>
      </c>
      <c r="R120">
        <v>180</v>
      </c>
      <c r="S120">
        <v>0</v>
      </c>
      <c r="T120" t="s">
        <v>80</v>
      </c>
      <c r="U120" t="s">
        <v>63</v>
      </c>
      <c r="V120">
        <v>4.77</v>
      </c>
      <c r="W120">
        <v>3.6</v>
      </c>
      <c r="X120">
        <v>6.5</v>
      </c>
      <c r="Y120">
        <v>15.2</v>
      </c>
      <c r="Z120">
        <v>6.9</v>
      </c>
    </row>
    <row r="121" spans="1:26">
      <c r="A121" t="s">
        <v>491</v>
      </c>
      <c r="B121">
        <v>72</v>
      </c>
      <c r="C121" t="s">
        <v>71</v>
      </c>
      <c r="D121" t="s">
        <v>39</v>
      </c>
      <c r="E121" t="s">
        <v>272</v>
      </c>
      <c r="F121" t="s">
        <v>150</v>
      </c>
      <c r="G121" t="s">
        <v>294</v>
      </c>
      <c r="H121" t="s">
        <v>32</v>
      </c>
      <c r="I121" t="s">
        <v>20</v>
      </c>
      <c r="J121" s="7">
        <v>44287</v>
      </c>
      <c r="K121" s="7">
        <v>44805</v>
      </c>
      <c r="L121" s="5">
        <v>50</v>
      </c>
      <c r="M121" t="s">
        <v>25</v>
      </c>
      <c r="N121" t="s">
        <v>262</v>
      </c>
      <c r="O121">
        <v>50</v>
      </c>
      <c r="P121" t="s">
        <v>211</v>
      </c>
      <c r="Q121" t="s">
        <v>26</v>
      </c>
      <c r="R121">
        <v>110</v>
      </c>
      <c r="S121">
        <v>0</v>
      </c>
      <c r="T121" t="s">
        <v>82</v>
      </c>
      <c r="U121" t="s">
        <v>61</v>
      </c>
      <c r="V121">
        <v>1.71</v>
      </c>
      <c r="W121">
        <v>1.88</v>
      </c>
      <c r="X121">
        <v>2.7</v>
      </c>
      <c r="Y121">
        <v>20</v>
      </c>
      <c r="Z121">
        <v>9</v>
      </c>
    </row>
    <row r="122" spans="1:26">
      <c r="A122" t="s">
        <v>492</v>
      </c>
      <c r="B122">
        <v>31</v>
      </c>
      <c r="C122" t="s">
        <v>71</v>
      </c>
      <c r="D122" t="s">
        <v>43</v>
      </c>
      <c r="E122" t="s">
        <v>255</v>
      </c>
      <c r="F122" t="s">
        <v>268</v>
      </c>
      <c r="G122" t="s">
        <v>261</v>
      </c>
      <c r="H122" t="s">
        <v>32</v>
      </c>
      <c r="I122" t="s">
        <v>19</v>
      </c>
      <c r="J122" s="7">
        <v>44665</v>
      </c>
      <c r="K122" s="7">
        <v>45091</v>
      </c>
      <c r="L122" s="5">
        <v>200</v>
      </c>
      <c r="M122" t="s">
        <v>150</v>
      </c>
      <c r="N122" t="s">
        <v>493</v>
      </c>
      <c r="O122">
        <v>200</v>
      </c>
      <c r="P122" t="s">
        <v>205</v>
      </c>
      <c r="Q122" t="s">
        <v>27</v>
      </c>
      <c r="R122">
        <v>94</v>
      </c>
      <c r="S122">
        <v>0</v>
      </c>
      <c r="T122" t="s">
        <v>81</v>
      </c>
      <c r="U122" t="s">
        <v>61</v>
      </c>
      <c r="V122">
        <v>1.23</v>
      </c>
      <c r="W122">
        <v>4.88</v>
      </c>
      <c r="X122">
        <v>9</v>
      </c>
      <c r="Y122">
        <v>22.7</v>
      </c>
      <c r="Z122">
        <v>19.9</v>
      </c>
    </row>
    <row r="123" spans="1:26">
      <c r="A123" t="s">
        <v>494</v>
      </c>
      <c r="B123">
        <v>68</v>
      </c>
      <c r="C123" t="s">
        <v>44</v>
      </c>
      <c r="D123" t="s">
        <v>41</v>
      </c>
      <c r="E123" t="s">
        <v>311</v>
      </c>
      <c r="F123" t="s">
        <v>150</v>
      </c>
      <c r="G123" t="s">
        <v>431</v>
      </c>
      <c r="H123" t="s">
        <v>30</v>
      </c>
      <c r="I123" t="s">
        <v>16</v>
      </c>
      <c r="J123" s="7">
        <v>44087</v>
      </c>
      <c r="K123" s="7">
        <v>44633</v>
      </c>
      <c r="L123" s="5">
        <v>150</v>
      </c>
      <c r="M123" t="s">
        <v>25</v>
      </c>
      <c r="N123" t="s">
        <v>495</v>
      </c>
      <c r="O123">
        <v>150</v>
      </c>
      <c r="P123" t="s">
        <v>205</v>
      </c>
      <c r="Q123" t="s">
        <v>28</v>
      </c>
      <c r="R123">
        <v>53</v>
      </c>
      <c r="S123">
        <v>0</v>
      </c>
      <c r="T123" t="s">
        <v>78</v>
      </c>
      <c r="U123" t="s">
        <v>61</v>
      </c>
      <c r="V123">
        <v>1.7</v>
      </c>
      <c r="W123">
        <v>2.58</v>
      </c>
      <c r="X123">
        <v>7.8</v>
      </c>
      <c r="Y123">
        <v>18.5</v>
      </c>
      <c r="Z123">
        <v>5.6</v>
      </c>
    </row>
    <row r="124" spans="1:26">
      <c r="A124" t="s">
        <v>496</v>
      </c>
      <c r="B124">
        <v>73</v>
      </c>
      <c r="C124" t="s">
        <v>71</v>
      </c>
      <c r="D124" t="s">
        <v>42</v>
      </c>
      <c r="E124" t="s">
        <v>150</v>
      </c>
      <c r="F124" t="s">
        <v>277</v>
      </c>
      <c r="G124" t="s">
        <v>306</v>
      </c>
      <c r="H124" t="s">
        <v>29</v>
      </c>
      <c r="I124" t="s">
        <v>20</v>
      </c>
      <c r="J124" s="7">
        <v>44855</v>
      </c>
      <c r="K124" s="7">
        <v>45281</v>
      </c>
      <c r="L124" s="5">
        <v>150</v>
      </c>
      <c r="M124" t="s">
        <v>25</v>
      </c>
      <c r="N124" t="s">
        <v>497</v>
      </c>
      <c r="O124">
        <v>150</v>
      </c>
      <c r="P124" t="s">
        <v>211</v>
      </c>
      <c r="Q124" t="s">
        <v>27</v>
      </c>
      <c r="R124">
        <v>32</v>
      </c>
      <c r="S124">
        <v>0</v>
      </c>
      <c r="T124" t="s">
        <v>78</v>
      </c>
      <c r="U124" t="s">
        <v>61</v>
      </c>
      <c r="V124">
        <v>4.26</v>
      </c>
      <c r="W124">
        <v>1.9</v>
      </c>
      <c r="X124">
        <v>3</v>
      </c>
      <c r="Y124">
        <v>15.7</v>
      </c>
      <c r="Z124">
        <v>13.1</v>
      </c>
    </row>
    <row r="125" spans="1:26">
      <c r="A125" t="s">
        <v>498</v>
      </c>
      <c r="B125">
        <v>42</v>
      </c>
      <c r="C125" t="s">
        <v>71</v>
      </c>
      <c r="D125" t="s">
        <v>44</v>
      </c>
      <c r="E125" t="s">
        <v>255</v>
      </c>
      <c r="F125" t="s">
        <v>150</v>
      </c>
      <c r="G125" t="s">
        <v>265</v>
      </c>
      <c r="H125" t="s">
        <v>30</v>
      </c>
      <c r="I125" t="s">
        <v>16</v>
      </c>
      <c r="J125" s="7">
        <v>44307</v>
      </c>
      <c r="K125" s="7">
        <v>44490</v>
      </c>
      <c r="L125" s="5">
        <v>100</v>
      </c>
      <c r="M125" t="s">
        <v>150</v>
      </c>
      <c r="N125" t="s">
        <v>419</v>
      </c>
      <c r="O125">
        <v>100</v>
      </c>
      <c r="P125" t="s">
        <v>211</v>
      </c>
      <c r="Q125" t="s">
        <v>150</v>
      </c>
      <c r="R125">
        <v>131</v>
      </c>
      <c r="S125">
        <v>0</v>
      </c>
      <c r="T125" t="s">
        <v>82</v>
      </c>
      <c r="U125" t="s">
        <v>63</v>
      </c>
      <c r="V125">
        <v>3.32</v>
      </c>
      <c r="W125">
        <v>1.37</v>
      </c>
      <c r="X125">
        <v>8.9</v>
      </c>
      <c r="Y125">
        <v>10.8</v>
      </c>
      <c r="Z125">
        <v>5.2</v>
      </c>
    </row>
    <row r="126" spans="1:26">
      <c r="A126" t="s">
        <v>499</v>
      </c>
      <c r="B126">
        <v>84</v>
      </c>
      <c r="C126" t="s">
        <v>71</v>
      </c>
      <c r="D126" t="s">
        <v>42</v>
      </c>
      <c r="E126" t="s">
        <v>311</v>
      </c>
      <c r="F126" t="s">
        <v>150</v>
      </c>
      <c r="G126" t="s">
        <v>319</v>
      </c>
      <c r="H126" t="s">
        <v>32</v>
      </c>
      <c r="I126" t="s">
        <v>19</v>
      </c>
      <c r="J126" s="7">
        <v>44306</v>
      </c>
      <c r="K126" s="7">
        <v>44581</v>
      </c>
      <c r="L126" s="5">
        <v>200</v>
      </c>
      <c r="M126" t="s">
        <v>25</v>
      </c>
      <c r="N126" t="s">
        <v>400</v>
      </c>
      <c r="O126">
        <v>200</v>
      </c>
      <c r="P126" t="s">
        <v>206</v>
      </c>
      <c r="Q126" t="s">
        <v>27</v>
      </c>
      <c r="R126">
        <v>159</v>
      </c>
      <c r="S126">
        <v>1</v>
      </c>
      <c r="T126" t="s">
        <v>83</v>
      </c>
      <c r="U126" t="s">
        <v>63</v>
      </c>
      <c r="V126">
        <v>4.55</v>
      </c>
      <c r="W126">
        <v>4.82</v>
      </c>
      <c r="X126">
        <v>8.8</v>
      </c>
      <c r="Y126">
        <v>20.6</v>
      </c>
      <c r="Z126">
        <v>14.1</v>
      </c>
    </row>
    <row r="127" spans="1:26">
      <c r="A127" t="s">
        <v>500</v>
      </c>
      <c r="B127">
        <v>82</v>
      </c>
      <c r="C127" t="s">
        <v>70</v>
      </c>
      <c r="D127" t="s">
        <v>39</v>
      </c>
      <c r="E127" t="s">
        <v>311</v>
      </c>
      <c r="F127" t="s">
        <v>150</v>
      </c>
      <c r="G127" t="s">
        <v>322</v>
      </c>
      <c r="H127" t="s">
        <v>32</v>
      </c>
      <c r="I127" t="s">
        <v>20</v>
      </c>
      <c r="J127" s="7">
        <v>44850</v>
      </c>
      <c r="K127" s="7">
        <v>45398</v>
      </c>
      <c r="L127" s="5">
        <v>100</v>
      </c>
      <c r="M127" t="s">
        <v>27</v>
      </c>
      <c r="N127" t="s">
        <v>501</v>
      </c>
      <c r="O127">
        <v>100</v>
      </c>
      <c r="P127" t="s">
        <v>206</v>
      </c>
      <c r="Q127" t="s">
        <v>27</v>
      </c>
      <c r="R127">
        <v>59</v>
      </c>
      <c r="S127">
        <v>1</v>
      </c>
      <c r="T127" t="s">
        <v>81</v>
      </c>
      <c r="U127" t="s">
        <v>63</v>
      </c>
      <c r="V127">
        <v>3.2</v>
      </c>
      <c r="W127">
        <v>1.35</v>
      </c>
      <c r="X127">
        <v>4.7</v>
      </c>
      <c r="Y127">
        <v>12.7</v>
      </c>
      <c r="Z127">
        <v>7.4</v>
      </c>
    </row>
    <row r="128" spans="1:26">
      <c r="A128" t="s">
        <v>502</v>
      </c>
      <c r="B128">
        <v>66</v>
      </c>
      <c r="C128" t="s">
        <v>44</v>
      </c>
      <c r="D128" t="s">
        <v>41</v>
      </c>
      <c r="E128" t="s">
        <v>259</v>
      </c>
      <c r="F128" t="s">
        <v>150</v>
      </c>
      <c r="G128" t="s">
        <v>261</v>
      </c>
      <c r="H128" t="s">
        <v>32</v>
      </c>
      <c r="I128" t="s">
        <v>16</v>
      </c>
      <c r="J128" s="7">
        <v>44296</v>
      </c>
      <c r="K128" s="7">
        <v>44510</v>
      </c>
      <c r="L128" s="5">
        <v>200</v>
      </c>
      <c r="M128" t="s">
        <v>150</v>
      </c>
      <c r="N128" t="s">
        <v>503</v>
      </c>
      <c r="O128">
        <v>200</v>
      </c>
      <c r="P128" t="s">
        <v>211</v>
      </c>
      <c r="Q128" t="s">
        <v>150</v>
      </c>
      <c r="R128">
        <v>120</v>
      </c>
      <c r="S128">
        <v>0</v>
      </c>
      <c r="T128" t="s">
        <v>78</v>
      </c>
      <c r="U128" t="s">
        <v>61</v>
      </c>
      <c r="V128">
        <v>3.89</v>
      </c>
      <c r="W128">
        <v>2.98</v>
      </c>
      <c r="X128">
        <v>1.7</v>
      </c>
      <c r="Y128">
        <v>10</v>
      </c>
      <c r="Z128">
        <v>14.6</v>
      </c>
    </row>
    <row r="129" spans="1:26">
      <c r="A129" t="s">
        <v>504</v>
      </c>
      <c r="B129">
        <v>41</v>
      </c>
      <c r="C129" t="s">
        <v>44</v>
      </c>
      <c r="D129" t="s">
        <v>41</v>
      </c>
      <c r="E129" t="s">
        <v>272</v>
      </c>
      <c r="F129" t="s">
        <v>150</v>
      </c>
      <c r="G129" t="s">
        <v>265</v>
      </c>
      <c r="H129" t="s">
        <v>30</v>
      </c>
      <c r="I129" t="s">
        <v>19</v>
      </c>
      <c r="J129" s="7">
        <v>43928</v>
      </c>
      <c r="K129" s="7">
        <v>44203</v>
      </c>
      <c r="L129" s="5">
        <v>150</v>
      </c>
      <c r="M129" t="s">
        <v>28</v>
      </c>
      <c r="N129" t="s">
        <v>505</v>
      </c>
      <c r="O129">
        <v>150</v>
      </c>
      <c r="P129" t="s">
        <v>206</v>
      </c>
      <c r="Q129" t="s">
        <v>27</v>
      </c>
      <c r="R129">
        <v>31</v>
      </c>
      <c r="S129">
        <v>1</v>
      </c>
      <c r="T129" t="s">
        <v>80</v>
      </c>
      <c r="U129" t="s">
        <v>63</v>
      </c>
      <c r="V129">
        <v>1.3</v>
      </c>
      <c r="W129">
        <v>4.4</v>
      </c>
      <c r="X129">
        <v>5.5</v>
      </c>
      <c r="Y129">
        <v>14.7</v>
      </c>
      <c r="Z129">
        <v>13.1</v>
      </c>
    </row>
    <row r="130" spans="1:26">
      <c r="A130" t="s">
        <v>506</v>
      </c>
      <c r="B130">
        <v>79</v>
      </c>
      <c r="C130" t="s">
        <v>70</v>
      </c>
      <c r="D130" t="s">
        <v>44</v>
      </c>
      <c r="E130" t="s">
        <v>150</v>
      </c>
      <c r="F130" t="s">
        <v>268</v>
      </c>
      <c r="G130" t="s">
        <v>322</v>
      </c>
      <c r="H130" t="s">
        <v>34</v>
      </c>
      <c r="I130" t="s">
        <v>18</v>
      </c>
      <c r="J130" s="7">
        <v>45059</v>
      </c>
      <c r="K130" s="7">
        <v>45335</v>
      </c>
      <c r="L130" s="5">
        <v>100</v>
      </c>
      <c r="M130" t="s">
        <v>25</v>
      </c>
      <c r="N130" t="s">
        <v>410</v>
      </c>
      <c r="O130">
        <v>100</v>
      </c>
      <c r="P130" t="s">
        <v>211</v>
      </c>
      <c r="Q130" t="s">
        <v>25</v>
      </c>
      <c r="R130">
        <v>38</v>
      </c>
      <c r="S130">
        <v>0</v>
      </c>
      <c r="T130" t="s">
        <v>80</v>
      </c>
      <c r="U130" t="s">
        <v>61</v>
      </c>
      <c r="V130">
        <v>4.3</v>
      </c>
      <c r="W130">
        <v>2.39</v>
      </c>
      <c r="X130">
        <v>7.1</v>
      </c>
      <c r="Y130">
        <v>16.2</v>
      </c>
      <c r="Z130">
        <v>7.5</v>
      </c>
    </row>
    <row r="131" spans="1:26">
      <c r="A131" t="s">
        <v>507</v>
      </c>
      <c r="B131">
        <v>68</v>
      </c>
      <c r="C131" t="s">
        <v>44</v>
      </c>
      <c r="D131" t="s">
        <v>41</v>
      </c>
      <c r="E131" t="s">
        <v>272</v>
      </c>
      <c r="F131" t="s">
        <v>150</v>
      </c>
      <c r="G131" t="s">
        <v>349</v>
      </c>
      <c r="H131" t="s">
        <v>34</v>
      </c>
      <c r="I131" t="s">
        <v>19</v>
      </c>
      <c r="J131" s="7">
        <v>43487</v>
      </c>
      <c r="K131" s="7">
        <v>43760</v>
      </c>
      <c r="L131" s="5">
        <v>200</v>
      </c>
      <c r="M131" t="s">
        <v>28</v>
      </c>
      <c r="N131" t="s">
        <v>450</v>
      </c>
      <c r="O131">
        <v>200</v>
      </c>
      <c r="P131" t="s">
        <v>211</v>
      </c>
      <c r="Q131" t="s">
        <v>26</v>
      </c>
      <c r="R131">
        <v>170</v>
      </c>
      <c r="S131">
        <v>0</v>
      </c>
      <c r="T131" t="s">
        <v>81</v>
      </c>
      <c r="U131" t="s">
        <v>63</v>
      </c>
      <c r="V131">
        <v>4.51</v>
      </c>
      <c r="W131">
        <v>4.19</v>
      </c>
      <c r="X131">
        <v>6.9</v>
      </c>
      <c r="Y131">
        <v>21.3</v>
      </c>
      <c r="Z131">
        <v>17.7</v>
      </c>
    </row>
    <row r="132" spans="1:26">
      <c r="A132" t="s">
        <v>508</v>
      </c>
      <c r="B132">
        <v>52</v>
      </c>
      <c r="C132" t="s">
        <v>70</v>
      </c>
      <c r="D132" t="s">
        <v>44</v>
      </c>
      <c r="E132" t="s">
        <v>150</v>
      </c>
      <c r="F132" t="s">
        <v>260</v>
      </c>
      <c r="G132" t="s">
        <v>261</v>
      </c>
      <c r="H132" t="s">
        <v>30</v>
      </c>
      <c r="I132" t="s">
        <v>20</v>
      </c>
      <c r="J132" s="7">
        <v>44375</v>
      </c>
      <c r="K132" s="7">
        <v>44740</v>
      </c>
      <c r="L132" s="5">
        <v>150</v>
      </c>
      <c r="M132" t="s">
        <v>26</v>
      </c>
      <c r="N132" t="s">
        <v>509</v>
      </c>
      <c r="O132">
        <v>150</v>
      </c>
      <c r="P132" t="s">
        <v>205</v>
      </c>
      <c r="Q132" t="s">
        <v>26</v>
      </c>
      <c r="R132">
        <v>55</v>
      </c>
      <c r="S132">
        <v>0</v>
      </c>
      <c r="T132" t="s">
        <v>81</v>
      </c>
      <c r="U132" t="s">
        <v>63</v>
      </c>
      <c r="V132">
        <v>3.83</v>
      </c>
      <c r="W132">
        <v>4.35</v>
      </c>
      <c r="X132">
        <v>7.3</v>
      </c>
      <c r="Y132">
        <v>18.2</v>
      </c>
      <c r="Z132">
        <v>13.5</v>
      </c>
    </row>
    <row r="133" spans="1:26">
      <c r="A133" t="s">
        <v>510</v>
      </c>
      <c r="B133">
        <v>73</v>
      </c>
      <c r="C133" t="s">
        <v>70</v>
      </c>
      <c r="D133" t="s">
        <v>41</v>
      </c>
      <c r="E133" t="s">
        <v>259</v>
      </c>
      <c r="F133" t="s">
        <v>150</v>
      </c>
      <c r="G133" t="s">
        <v>281</v>
      </c>
      <c r="H133" t="s">
        <v>34</v>
      </c>
      <c r="I133" t="s">
        <v>16</v>
      </c>
      <c r="J133" s="7">
        <v>44028</v>
      </c>
      <c r="K133" s="7">
        <v>44271</v>
      </c>
      <c r="L133" s="5">
        <v>150</v>
      </c>
      <c r="M133" t="s">
        <v>150</v>
      </c>
      <c r="N133" t="s">
        <v>493</v>
      </c>
      <c r="O133">
        <v>150</v>
      </c>
      <c r="P133" t="s">
        <v>205</v>
      </c>
      <c r="Q133" t="s">
        <v>28</v>
      </c>
      <c r="R133">
        <v>131</v>
      </c>
      <c r="S133">
        <v>0</v>
      </c>
      <c r="T133" t="s">
        <v>83</v>
      </c>
      <c r="U133" t="s">
        <v>63</v>
      </c>
      <c r="V133">
        <v>4.01</v>
      </c>
      <c r="W133">
        <v>1.63</v>
      </c>
      <c r="X133">
        <v>8.9</v>
      </c>
      <c r="Y133">
        <v>21.7</v>
      </c>
      <c r="Z133">
        <v>3.5</v>
      </c>
    </row>
    <row r="134" spans="1:26">
      <c r="A134" t="s">
        <v>511</v>
      </c>
      <c r="B134">
        <v>25</v>
      </c>
      <c r="C134" t="s">
        <v>71</v>
      </c>
      <c r="D134" t="s">
        <v>39</v>
      </c>
      <c r="E134" t="s">
        <v>272</v>
      </c>
      <c r="F134" t="s">
        <v>150</v>
      </c>
      <c r="G134" t="s">
        <v>284</v>
      </c>
      <c r="H134" t="s">
        <v>34</v>
      </c>
      <c r="I134" t="s">
        <v>19</v>
      </c>
      <c r="J134" s="7">
        <v>44359</v>
      </c>
      <c r="K134" s="7">
        <v>44785</v>
      </c>
      <c r="L134" s="5">
        <v>150</v>
      </c>
      <c r="M134" t="s">
        <v>28</v>
      </c>
      <c r="N134" t="s">
        <v>512</v>
      </c>
      <c r="O134">
        <v>150</v>
      </c>
      <c r="P134" t="s">
        <v>211</v>
      </c>
      <c r="Q134" t="s">
        <v>25</v>
      </c>
      <c r="R134">
        <v>80</v>
      </c>
      <c r="S134">
        <v>0</v>
      </c>
      <c r="T134" t="s">
        <v>80</v>
      </c>
      <c r="U134" t="s">
        <v>63</v>
      </c>
      <c r="V134">
        <v>4.3</v>
      </c>
      <c r="W134">
        <v>1.52</v>
      </c>
      <c r="X134">
        <v>4</v>
      </c>
      <c r="Y134">
        <v>19.4</v>
      </c>
      <c r="Z134">
        <v>5.7</v>
      </c>
    </row>
    <row r="135" spans="1:26">
      <c r="A135" t="s">
        <v>513</v>
      </c>
      <c r="B135">
        <v>54</v>
      </c>
      <c r="C135" t="s">
        <v>70</v>
      </c>
      <c r="D135" t="s">
        <v>39</v>
      </c>
      <c r="E135" t="s">
        <v>255</v>
      </c>
      <c r="F135" t="s">
        <v>260</v>
      </c>
      <c r="G135" t="s">
        <v>294</v>
      </c>
      <c r="H135" t="s">
        <v>34</v>
      </c>
      <c r="I135" t="s">
        <v>19</v>
      </c>
      <c r="J135" s="7">
        <v>44870</v>
      </c>
      <c r="K135" s="7">
        <v>45112</v>
      </c>
      <c r="L135" s="5">
        <v>150</v>
      </c>
      <c r="M135" t="s">
        <v>25</v>
      </c>
      <c r="N135" t="s">
        <v>514</v>
      </c>
      <c r="O135">
        <v>150</v>
      </c>
      <c r="P135" t="s">
        <v>206</v>
      </c>
      <c r="Q135" t="s">
        <v>26</v>
      </c>
      <c r="R135">
        <v>117</v>
      </c>
      <c r="S135">
        <v>1</v>
      </c>
      <c r="T135" t="s">
        <v>78</v>
      </c>
      <c r="U135" t="s">
        <v>61</v>
      </c>
      <c r="V135">
        <v>4.27</v>
      </c>
      <c r="W135">
        <v>4.33</v>
      </c>
      <c r="X135">
        <v>5.6</v>
      </c>
      <c r="Y135">
        <v>6.1</v>
      </c>
      <c r="Z135">
        <v>7.9</v>
      </c>
    </row>
    <row r="136" spans="1:26">
      <c r="A136" t="s">
        <v>515</v>
      </c>
      <c r="B136">
        <v>58</v>
      </c>
      <c r="C136" t="s">
        <v>44</v>
      </c>
      <c r="D136" t="s">
        <v>39</v>
      </c>
      <c r="E136" t="s">
        <v>150</v>
      </c>
      <c r="F136" t="s">
        <v>150</v>
      </c>
      <c r="G136" t="s">
        <v>297</v>
      </c>
      <c r="H136" t="s">
        <v>32</v>
      </c>
      <c r="I136" t="s">
        <v>20</v>
      </c>
      <c r="J136" s="7">
        <v>44549</v>
      </c>
      <c r="K136" s="7">
        <v>44976</v>
      </c>
      <c r="L136" s="5">
        <v>200</v>
      </c>
      <c r="M136" t="s">
        <v>26</v>
      </c>
      <c r="N136" t="s">
        <v>516</v>
      </c>
      <c r="O136">
        <v>200</v>
      </c>
      <c r="P136" t="s">
        <v>206</v>
      </c>
      <c r="Q136" t="s">
        <v>26</v>
      </c>
      <c r="R136">
        <v>94</v>
      </c>
      <c r="S136">
        <v>1</v>
      </c>
      <c r="T136" t="s">
        <v>83</v>
      </c>
      <c r="U136" t="s">
        <v>63</v>
      </c>
      <c r="V136">
        <v>3.47</v>
      </c>
      <c r="W136">
        <v>4.92</v>
      </c>
      <c r="X136">
        <v>6.7</v>
      </c>
      <c r="Y136">
        <v>10.7</v>
      </c>
      <c r="Z136">
        <v>13.8</v>
      </c>
    </row>
    <row r="137" spans="1:26">
      <c r="A137" t="s">
        <v>517</v>
      </c>
      <c r="B137">
        <v>39</v>
      </c>
      <c r="C137" t="s">
        <v>70</v>
      </c>
      <c r="D137" t="s">
        <v>42</v>
      </c>
      <c r="E137" t="s">
        <v>311</v>
      </c>
      <c r="F137" t="s">
        <v>260</v>
      </c>
      <c r="G137" t="s">
        <v>319</v>
      </c>
      <c r="H137" t="s">
        <v>29</v>
      </c>
      <c r="I137" t="s">
        <v>16</v>
      </c>
      <c r="J137" s="7">
        <v>44829</v>
      </c>
      <c r="K137" s="7">
        <v>45041</v>
      </c>
      <c r="L137" s="5">
        <v>50</v>
      </c>
      <c r="M137" t="s">
        <v>25</v>
      </c>
      <c r="N137" t="s">
        <v>518</v>
      </c>
      <c r="O137">
        <v>50</v>
      </c>
      <c r="P137" t="s">
        <v>205</v>
      </c>
      <c r="Q137" t="s">
        <v>27</v>
      </c>
      <c r="R137">
        <v>109</v>
      </c>
      <c r="S137">
        <v>0</v>
      </c>
      <c r="T137" t="s">
        <v>78</v>
      </c>
      <c r="U137" t="s">
        <v>63</v>
      </c>
      <c r="V137">
        <v>3.16</v>
      </c>
      <c r="W137">
        <v>4.12</v>
      </c>
      <c r="X137">
        <v>2</v>
      </c>
      <c r="Y137">
        <v>19.7</v>
      </c>
      <c r="Z137">
        <v>12.2</v>
      </c>
    </row>
    <row r="138" spans="1:26">
      <c r="A138" t="s">
        <v>519</v>
      </c>
      <c r="B138">
        <v>54</v>
      </c>
      <c r="C138" t="s">
        <v>70</v>
      </c>
      <c r="D138" t="s">
        <v>41</v>
      </c>
      <c r="E138" t="s">
        <v>259</v>
      </c>
      <c r="F138" t="s">
        <v>150</v>
      </c>
      <c r="G138" t="s">
        <v>288</v>
      </c>
      <c r="H138" t="s">
        <v>29</v>
      </c>
      <c r="I138" t="s">
        <v>16</v>
      </c>
      <c r="J138" s="7">
        <v>44375</v>
      </c>
      <c r="K138" s="7">
        <v>44770</v>
      </c>
      <c r="L138" s="5">
        <v>200</v>
      </c>
      <c r="M138" t="s">
        <v>150</v>
      </c>
      <c r="N138" t="s">
        <v>307</v>
      </c>
      <c r="O138">
        <v>200</v>
      </c>
      <c r="P138" t="s">
        <v>205</v>
      </c>
      <c r="Q138" t="s">
        <v>26</v>
      </c>
      <c r="R138">
        <v>146</v>
      </c>
      <c r="S138">
        <v>0</v>
      </c>
      <c r="T138" t="s">
        <v>80</v>
      </c>
      <c r="U138" t="s">
        <v>61</v>
      </c>
      <c r="V138">
        <v>4.85</v>
      </c>
      <c r="W138">
        <v>2.37</v>
      </c>
      <c r="X138">
        <v>6.7</v>
      </c>
      <c r="Y138">
        <v>22.8</v>
      </c>
      <c r="Z138">
        <v>4.7</v>
      </c>
    </row>
    <row r="139" spans="1:26">
      <c r="A139" t="s">
        <v>520</v>
      </c>
      <c r="B139">
        <v>85</v>
      </c>
      <c r="C139" t="s">
        <v>44</v>
      </c>
      <c r="D139" t="s">
        <v>44</v>
      </c>
      <c r="E139" t="s">
        <v>150</v>
      </c>
      <c r="F139" t="s">
        <v>150</v>
      </c>
      <c r="G139" t="s">
        <v>269</v>
      </c>
      <c r="H139" t="s">
        <v>30</v>
      </c>
      <c r="I139" t="s">
        <v>16</v>
      </c>
      <c r="J139" s="7">
        <v>44693</v>
      </c>
      <c r="K139" s="7">
        <v>45058</v>
      </c>
      <c r="L139" s="5">
        <v>150</v>
      </c>
      <c r="M139" t="s">
        <v>150</v>
      </c>
      <c r="N139" t="s">
        <v>521</v>
      </c>
      <c r="O139">
        <v>150</v>
      </c>
      <c r="P139" t="s">
        <v>206</v>
      </c>
      <c r="Q139" t="s">
        <v>25</v>
      </c>
      <c r="R139">
        <v>64</v>
      </c>
      <c r="S139">
        <v>1</v>
      </c>
      <c r="T139" t="s">
        <v>81</v>
      </c>
      <c r="U139" t="s">
        <v>61</v>
      </c>
      <c r="V139">
        <v>4.75</v>
      </c>
      <c r="W139">
        <v>3.75</v>
      </c>
      <c r="X139">
        <v>1.6</v>
      </c>
      <c r="Y139">
        <v>11.4</v>
      </c>
      <c r="Z139">
        <v>15</v>
      </c>
    </row>
    <row r="140" spans="1:26">
      <c r="A140" t="s">
        <v>522</v>
      </c>
      <c r="B140">
        <v>78</v>
      </c>
      <c r="C140" t="s">
        <v>44</v>
      </c>
      <c r="D140" t="s">
        <v>42</v>
      </c>
      <c r="E140" t="s">
        <v>272</v>
      </c>
      <c r="F140" t="s">
        <v>150</v>
      </c>
      <c r="G140" t="s">
        <v>269</v>
      </c>
      <c r="H140" t="s">
        <v>32</v>
      </c>
      <c r="I140" t="s">
        <v>16</v>
      </c>
      <c r="J140" s="7">
        <v>44701</v>
      </c>
      <c r="K140" s="7">
        <v>44977</v>
      </c>
      <c r="L140" s="5">
        <v>50</v>
      </c>
      <c r="M140" t="s">
        <v>150</v>
      </c>
      <c r="N140" t="s">
        <v>493</v>
      </c>
      <c r="O140">
        <v>50</v>
      </c>
      <c r="P140" t="s">
        <v>211</v>
      </c>
      <c r="Q140" t="s">
        <v>27</v>
      </c>
      <c r="R140">
        <v>93</v>
      </c>
      <c r="S140">
        <v>0</v>
      </c>
      <c r="T140" t="s">
        <v>78</v>
      </c>
      <c r="U140" t="s">
        <v>61</v>
      </c>
      <c r="V140">
        <v>1.27</v>
      </c>
      <c r="W140">
        <v>3.33</v>
      </c>
      <c r="X140">
        <v>4.1</v>
      </c>
      <c r="Y140">
        <v>17.2</v>
      </c>
      <c r="Z140">
        <v>3.8</v>
      </c>
    </row>
    <row r="141" spans="1:26">
      <c r="A141" t="s">
        <v>523</v>
      </c>
      <c r="B141">
        <v>66</v>
      </c>
      <c r="C141" t="s">
        <v>71</v>
      </c>
      <c r="D141" t="s">
        <v>39</v>
      </c>
      <c r="E141" t="s">
        <v>311</v>
      </c>
      <c r="F141" t="s">
        <v>273</v>
      </c>
      <c r="G141" t="s">
        <v>349</v>
      </c>
      <c r="H141" t="s">
        <v>32</v>
      </c>
      <c r="I141" t="s">
        <v>19</v>
      </c>
      <c r="J141" s="7">
        <v>45060</v>
      </c>
      <c r="K141" s="7">
        <v>45336</v>
      </c>
      <c r="L141" s="5">
        <v>50</v>
      </c>
      <c r="M141" t="s">
        <v>26</v>
      </c>
      <c r="N141" t="s">
        <v>328</v>
      </c>
      <c r="O141">
        <v>50</v>
      </c>
      <c r="P141" t="s">
        <v>206</v>
      </c>
      <c r="Q141" t="s">
        <v>27</v>
      </c>
      <c r="R141">
        <v>145</v>
      </c>
      <c r="S141">
        <v>1</v>
      </c>
      <c r="T141" t="s">
        <v>81</v>
      </c>
      <c r="U141" t="s">
        <v>61</v>
      </c>
      <c r="V141">
        <v>4.49</v>
      </c>
      <c r="W141">
        <v>4.89</v>
      </c>
      <c r="X141">
        <v>9.7</v>
      </c>
      <c r="Y141">
        <v>19.5</v>
      </c>
      <c r="Z141">
        <v>5.2</v>
      </c>
    </row>
    <row r="142" spans="1:26">
      <c r="A142" t="s">
        <v>524</v>
      </c>
      <c r="B142">
        <v>42</v>
      </c>
      <c r="C142" t="s">
        <v>70</v>
      </c>
      <c r="D142" t="s">
        <v>42</v>
      </c>
      <c r="E142" t="s">
        <v>259</v>
      </c>
      <c r="F142" t="s">
        <v>268</v>
      </c>
      <c r="G142" t="s">
        <v>312</v>
      </c>
      <c r="H142" t="s">
        <v>30</v>
      </c>
      <c r="I142" t="s">
        <v>16</v>
      </c>
      <c r="J142" s="7">
        <v>44321</v>
      </c>
      <c r="K142" s="7">
        <v>44839</v>
      </c>
      <c r="L142" s="5">
        <v>200</v>
      </c>
      <c r="M142" t="s">
        <v>28</v>
      </c>
      <c r="N142" t="s">
        <v>289</v>
      </c>
      <c r="O142">
        <v>200</v>
      </c>
      <c r="P142" t="s">
        <v>206</v>
      </c>
      <c r="Q142" t="s">
        <v>27</v>
      </c>
      <c r="R142">
        <v>85</v>
      </c>
      <c r="S142">
        <v>1</v>
      </c>
      <c r="T142" t="s">
        <v>81</v>
      </c>
      <c r="U142" t="s">
        <v>61</v>
      </c>
      <c r="V142">
        <v>4.03</v>
      </c>
      <c r="W142">
        <v>1.1</v>
      </c>
      <c r="X142">
        <v>1.2</v>
      </c>
      <c r="Y142">
        <v>11.8</v>
      </c>
      <c r="Z142">
        <v>11.3</v>
      </c>
    </row>
    <row r="143" spans="1:26">
      <c r="A143" t="s">
        <v>525</v>
      </c>
      <c r="B143">
        <v>57</v>
      </c>
      <c r="C143" t="s">
        <v>70</v>
      </c>
      <c r="D143" t="s">
        <v>39</v>
      </c>
      <c r="E143" t="s">
        <v>272</v>
      </c>
      <c r="F143" t="s">
        <v>150</v>
      </c>
      <c r="G143" t="s">
        <v>291</v>
      </c>
      <c r="H143" t="s">
        <v>32</v>
      </c>
      <c r="I143" t="s">
        <v>16</v>
      </c>
      <c r="J143" s="7">
        <v>43839</v>
      </c>
      <c r="K143" s="7">
        <v>44386</v>
      </c>
      <c r="L143" s="5">
        <v>200</v>
      </c>
      <c r="M143" t="s">
        <v>25</v>
      </c>
      <c r="N143" t="s">
        <v>526</v>
      </c>
      <c r="O143">
        <v>200</v>
      </c>
      <c r="P143" t="s">
        <v>206</v>
      </c>
      <c r="Q143" t="s">
        <v>26</v>
      </c>
      <c r="R143">
        <v>94</v>
      </c>
      <c r="S143">
        <v>1</v>
      </c>
      <c r="T143" t="s">
        <v>82</v>
      </c>
      <c r="U143" t="s">
        <v>63</v>
      </c>
      <c r="V143">
        <v>4.08</v>
      </c>
      <c r="W143">
        <v>3.73</v>
      </c>
      <c r="X143">
        <v>5</v>
      </c>
      <c r="Y143">
        <v>10.9</v>
      </c>
      <c r="Z143">
        <v>20</v>
      </c>
    </row>
    <row r="144" spans="1:26">
      <c r="A144" t="s">
        <v>527</v>
      </c>
      <c r="B144">
        <v>33</v>
      </c>
      <c r="C144" t="s">
        <v>44</v>
      </c>
      <c r="D144" t="s">
        <v>41</v>
      </c>
      <c r="E144" t="s">
        <v>272</v>
      </c>
      <c r="F144" t="s">
        <v>150</v>
      </c>
      <c r="G144" t="s">
        <v>431</v>
      </c>
      <c r="H144" t="s">
        <v>30</v>
      </c>
      <c r="I144" t="s">
        <v>16</v>
      </c>
      <c r="J144" s="7">
        <v>44067</v>
      </c>
      <c r="K144" s="7">
        <v>44616</v>
      </c>
      <c r="L144" s="5">
        <v>50</v>
      </c>
      <c r="M144" t="s">
        <v>26</v>
      </c>
      <c r="N144" t="s">
        <v>528</v>
      </c>
      <c r="O144">
        <v>50</v>
      </c>
      <c r="P144" t="s">
        <v>211</v>
      </c>
      <c r="Q144" t="s">
        <v>150</v>
      </c>
      <c r="R144">
        <v>70</v>
      </c>
      <c r="S144">
        <v>0</v>
      </c>
      <c r="T144" t="s">
        <v>83</v>
      </c>
      <c r="U144" t="s">
        <v>63</v>
      </c>
      <c r="V144">
        <v>2.7</v>
      </c>
      <c r="W144">
        <v>2.81</v>
      </c>
      <c r="X144">
        <v>2.5</v>
      </c>
      <c r="Y144">
        <v>20.3</v>
      </c>
      <c r="Z144">
        <v>14.8</v>
      </c>
    </row>
    <row r="145" spans="1:26">
      <c r="A145" t="s">
        <v>529</v>
      </c>
      <c r="B145">
        <v>50</v>
      </c>
      <c r="C145" t="s">
        <v>70</v>
      </c>
      <c r="D145" t="s">
        <v>39</v>
      </c>
      <c r="E145" t="s">
        <v>259</v>
      </c>
      <c r="F145" t="s">
        <v>277</v>
      </c>
      <c r="G145" t="s">
        <v>278</v>
      </c>
      <c r="H145" t="s">
        <v>29</v>
      </c>
      <c r="I145" t="s">
        <v>18</v>
      </c>
      <c r="J145" s="7">
        <v>44713</v>
      </c>
      <c r="K145" s="7">
        <v>44958</v>
      </c>
      <c r="L145" s="5">
        <v>150</v>
      </c>
      <c r="M145" t="s">
        <v>28</v>
      </c>
      <c r="N145" t="s">
        <v>521</v>
      </c>
      <c r="O145">
        <v>150</v>
      </c>
      <c r="P145" t="s">
        <v>206</v>
      </c>
      <c r="Q145" t="s">
        <v>25</v>
      </c>
      <c r="R145">
        <v>151</v>
      </c>
      <c r="S145">
        <v>1</v>
      </c>
      <c r="T145" t="s">
        <v>80</v>
      </c>
      <c r="U145" t="s">
        <v>63</v>
      </c>
      <c r="V145">
        <v>1.88</v>
      </c>
      <c r="W145">
        <v>1.33</v>
      </c>
      <c r="X145">
        <v>7.1</v>
      </c>
      <c r="Y145">
        <v>17.8</v>
      </c>
      <c r="Z145">
        <v>7.6</v>
      </c>
    </row>
    <row r="146" spans="1:26">
      <c r="A146" t="s">
        <v>530</v>
      </c>
      <c r="B146">
        <v>65</v>
      </c>
      <c r="C146" t="s">
        <v>71</v>
      </c>
      <c r="D146" t="s">
        <v>41</v>
      </c>
      <c r="E146" t="s">
        <v>259</v>
      </c>
      <c r="F146" t="s">
        <v>268</v>
      </c>
      <c r="G146" t="s">
        <v>256</v>
      </c>
      <c r="H146" t="s">
        <v>29</v>
      </c>
      <c r="I146" t="s">
        <v>16</v>
      </c>
      <c r="J146" s="7">
        <v>44505</v>
      </c>
      <c r="K146" s="7">
        <v>45021</v>
      </c>
      <c r="L146" s="5">
        <v>50</v>
      </c>
      <c r="M146" t="s">
        <v>27</v>
      </c>
      <c r="N146" t="s">
        <v>531</v>
      </c>
      <c r="O146">
        <v>50</v>
      </c>
      <c r="P146" t="s">
        <v>211</v>
      </c>
      <c r="Q146" t="s">
        <v>25</v>
      </c>
      <c r="R146">
        <v>118</v>
      </c>
      <c r="S146">
        <v>0</v>
      </c>
      <c r="T146" t="s">
        <v>82</v>
      </c>
      <c r="U146" t="s">
        <v>63</v>
      </c>
      <c r="V146">
        <v>4.8</v>
      </c>
      <c r="W146">
        <v>1.6</v>
      </c>
      <c r="X146">
        <v>4.9</v>
      </c>
      <c r="Y146">
        <v>23</v>
      </c>
      <c r="Z146">
        <v>10.1</v>
      </c>
    </row>
    <row r="147" spans="1:26">
      <c r="A147" t="s">
        <v>532</v>
      </c>
      <c r="B147">
        <v>20</v>
      </c>
      <c r="C147" t="s">
        <v>44</v>
      </c>
      <c r="D147" t="s">
        <v>43</v>
      </c>
      <c r="E147" t="s">
        <v>150</v>
      </c>
      <c r="F147" t="s">
        <v>150</v>
      </c>
      <c r="G147" t="s">
        <v>322</v>
      </c>
      <c r="H147" t="s">
        <v>29</v>
      </c>
      <c r="I147" t="s">
        <v>20</v>
      </c>
      <c r="J147" s="7">
        <v>44814</v>
      </c>
      <c r="K147" s="7">
        <v>45240</v>
      </c>
      <c r="L147" s="5">
        <v>200</v>
      </c>
      <c r="M147" t="s">
        <v>25</v>
      </c>
      <c r="N147" t="s">
        <v>406</v>
      </c>
      <c r="O147">
        <v>200</v>
      </c>
      <c r="P147" t="s">
        <v>205</v>
      </c>
      <c r="Q147" t="s">
        <v>150</v>
      </c>
      <c r="R147">
        <v>112</v>
      </c>
      <c r="S147">
        <v>0</v>
      </c>
      <c r="T147" t="s">
        <v>82</v>
      </c>
      <c r="U147" t="s">
        <v>61</v>
      </c>
      <c r="V147">
        <v>3.55</v>
      </c>
      <c r="W147">
        <v>2.59</v>
      </c>
      <c r="X147">
        <v>3.5</v>
      </c>
      <c r="Y147">
        <v>23.7</v>
      </c>
      <c r="Z147">
        <v>10</v>
      </c>
    </row>
    <row r="148" spans="1:26">
      <c r="A148" t="s">
        <v>533</v>
      </c>
      <c r="B148">
        <v>38</v>
      </c>
      <c r="C148" t="s">
        <v>71</v>
      </c>
      <c r="D148" t="s">
        <v>44</v>
      </c>
      <c r="E148" t="s">
        <v>259</v>
      </c>
      <c r="F148" t="s">
        <v>264</v>
      </c>
      <c r="G148" t="s">
        <v>319</v>
      </c>
      <c r="H148" t="s">
        <v>32</v>
      </c>
      <c r="I148" t="s">
        <v>20</v>
      </c>
      <c r="J148" s="7">
        <v>43786</v>
      </c>
      <c r="K148" s="7">
        <v>44152</v>
      </c>
      <c r="L148" s="5">
        <v>100</v>
      </c>
      <c r="M148" t="s">
        <v>25</v>
      </c>
      <c r="N148" t="s">
        <v>534</v>
      </c>
      <c r="O148">
        <v>100</v>
      </c>
      <c r="P148" t="s">
        <v>205</v>
      </c>
      <c r="Q148" t="s">
        <v>26</v>
      </c>
      <c r="R148">
        <v>112</v>
      </c>
      <c r="S148">
        <v>0</v>
      </c>
      <c r="T148" t="s">
        <v>83</v>
      </c>
      <c r="U148" t="s">
        <v>61</v>
      </c>
      <c r="V148">
        <v>4.58</v>
      </c>
      <c r="W148">
        <v>1.92</v>
      </c>
      <c r="X148">
        <v>2.9</v>
      </c>
      <c r="Y148">
        <v>6.6</v>
      </c>
      <c r="Z148">
        <v>14.1</v>
      </c>
    </row>
    <row r="149" spans="1:26">
      <c r="A149" t="s">
        <v>535</v>
      </c>
      <c r="B149">
        <v>42</v>
      </c>
      <c r="C149" t="s">
        <v>44</v>
      </c>
      <c r="D149" t="s">
        <v>43</v>
      </c>
      <c r="E149" t="s">
        <v>255</v>
      </c>
      <c r="F149" t="s">
        <v>264</v>
      </c>
      <c r="G149" t="s">
        <v>256</v>
      </c>
      <c r="H149" t="s">
        <v>34</v>
      </c>
      <c r="I149" t="s">
        <v>19</v>
      </c>
      <c r="J149" s="7">
        <v>43513</v>
      </c>
      <c r="K149" s="7">
        <v>43999</v>
      </c>
      <c r="L149" s="5">
        <v>50</v>
      </c>
      <c r="M149" t="s">
        <v>26</v>
      </c>
      <c r="N149" t="s">
        <v>503</v>
      </c>
      <c r="O149">
        <v>50</v>
      </c>
      <c r="P149" t="s">
        <v>206</v>
      </c>
      <c r="Q149" t="s">
        <v>26</v>
      </c>
      <c r="R149">
        <v>57</v>
      </c>
      <c r="S149">
        <v>1</v>
      </c>
      <c r="T149" t="s">
        <v>82</v>
      </c>
      <c r="U149" t="s">
        <v>63</v>
      </c>
      <c r="V149">
        <v>2.47</v>
      </c>
      <c r="W149">
        <v>4.46</v>
      </c>
      <c r="X149">
        <v>5.3</v>
      </c>
      <c r="Y149">
        <v>23.4</v>
      </c>
      <c r="Z149">
        <v>6.2</v>
      </c>
    </row>
    <row r="150" spans="1:26">
      <c r="A150" t="s">
        <v>536</v>
      </c>
      <c r="B150">
        <v>30</v>
      </c>
      <c r="C150" t="s">
        <v>71</v>
      </c>
      <c r="D150" t="s">
        <v>44</v>
      </c>
      <c r="E150" t="s">
        <v>272</v>
      </c>
      <c r="F150" t="s">
        <v>150</v>
      </c>
      <c r="G150" t="s">
        <v>349</v>
      </c>
      <c r="H150" t="s">
        <v>32</v>
      </c>
      <c r="I150" t="s">
        <v>16</v>
      </c>
      <c r="J150" s="7">
        <v>44306</v>
      </c>
      <c r="K150" s="7">
        <v>44824</v>
      </c>
      <c r="L150" s="5">
        <v>50</v>
      </c>
      <c r="M150" t="s">
        <v>26</v>
      </c>
      <c r="N150" t="s">
        <v>300</v>
      </c>
      <c r="O150">
        <v>50</v>
      </c>
      <c r="P150" t="s">
        <v>211</v>
      </c>
      <c r="Q150" t="s">
        <v>28</v>
      </c>
      <c r="R150">
        <v>149</v>
      </c>
      <c r="S150">
        <v>0</v>
      </c>
      <c r="T150" t="s">
        <v>83</v>
      </c>
      <c r="U150" t="s">
        <v>61</v>
      </c>
      <c r="V150">
        <v>4.47</v>
      </c>
      <c r="W150">
        <v>4.11</v>
      </c>
      <c r="X150">
        <v>7.9</v>
      </c>
      <c r="Y150">
        <v>21.2</v>
      </c>
      <c r="Z150">
        <v>15.9</v>
      </c>
    </row>
    <row r="151" spans="1:26">
      <c r="A151" t="s">
        <v>537</v>
      </c>
      <c r="B151">
        <v>71</v>
      </c>
      <c r="C151" t="s">
        <v>70</v>
      </c>
      <c r="D151" t="s">
        <v>42</v>
      </c>
      <c r="E151" t="s">
        <v>255</v>
      </c>
      <c r="F151" t="s">
        <v>277</v>
      </c>
      <c r="G151" t="s">
        <v>294</v>
      </c>
      <c r="H151" t="s">
        <v>32</v>
      </c>
      <c r="I151" t="s">
        <v>16</v>
      </c>
      <c r="J151" s="7">
        <v>44078</v>
      </c>
      <c r="K151" s="7">
        <v>44290</v>
      </c>
      <c r="L151" s="5">
        <v>100</v>
      </c>
      <c r="M151" t="s">
        <v>27</v>
      </c>
      <c r="N151" t="s">
        <v>538</v>
      </c>
      <c r="O151">
        <v>100</v>
      </c>
      <c r="P151" t="s">
        <v>205</v>
      </c>
      <c r="Q151" t="s">
        <v>26</v>
      </c>
      <c r="R151">
        <v>175</v>
      </c>
      <c r="S151">
        <v>0</v>
      </c>
      <c r="T151" t="s">
        <v>78</v>
      </c>
      <c r="U151" t="s">
        <v>61</v>
      </c>
      <c r="V151">
        <v>3.5</v>
      </c>
      <c r="W151">
        <v>1.52</v>
      </c>
      <c r="X151">
        <v>1.3</v>
      </c>
      <c r="Y151">
        <v>22.6</v>
      </c>
      <c r="Z151">
        <v>13.5</v>
      </c>
    </row>
    <row r="152" spans="1:26">
      <c r="A152" t="s">
        <v>539</v>
      </c>
      <c r="B152">
        <v>31</v>
      </c>
      <c r="C152" t="s">
        <v>44</v>
      </c>
      <c r="D152" t="s">
        <v>44</v>
      </c>
      <c r="E152" t="s">
        <v>150</v>
      </c>
      <c r="F152" t="s">
        <v>150</v>
      </c>
      <c r="G152" t="s">
        <v>261</v>
      </c>
      <c r="H152" t="s">
        <v>29</v>
      </c>
      <c r="I152" t="s">
        <v>18</v>
      </c>
      <c r="J152" s="7">
        <v>44087</v>
      </c>
      <c r="K152" s="7">
        <v>44513</v>
      </c>
      <c r="L152" s="5">
        <v>150</v>
      </c>
      <c r="M152" t="s">
        <v>26</v>
      </c>
      <c r="N152" t="s">
        <v>467</v>
      </c>
      <c r="O152">
        <v>150</v>
      </c>
      <c r="P152" t="s">
        <v>205</v>
      </c>
      <c r="Q152" t="s">
        <v>150</v>
      </c>
      <c r="R152">
        <v>125</v>
      </c>
      <c r="S152">
        <v>0</v>
      </c>
      <c r="T152" t="s">
        <v>82</v>
      </c>
      <c r="U152" t="s">
        <v>61</v>
      </c>
      <c r="V152">
        <v>4.19</v>
      </c>
      <c r="W152">
        <v>2.93</v>
      </c>
      <c r="X152">
        <v>2.1</v>
      </c>
      <c r="Y152">
        <v>8.3</v>
      </c>
      <c r="Z152">
        <v>14.7</v>
      </c>
    </row>
    <row r="153" spans="1:26">
      <c r="A153" t="s">
        <v>540</v>
      </c>
      <c r="B153">
        <v>59</v>
      </c>
      <c r="C153" t="s">
        <v>44</v>
      </c>
      <c r="D153" t="s">
        <v>41</v>
      </c>
      <c r="E153" t="s">
        <v>255</v>
      </c>
      <c r="F153" t="s">
        <v>150</v>
      </c>
      <c r="G153" t="s">
        <v>297</v>
      </c>
      <c r="H153" t="s">
        <v>32</v>
      </c>
      <c r="I153" t="s">
        <v>19</v>
      </c>
      <c r="J153" s="7">
        <v>44786</v>
      </c>
      <c r="K153" s="7">
        <v>44970</v>
      </c>
      <c r="L153" s="5">
        <v>50</v>
      </c>
      <c r="M153" t="s">
        <v>25</v>
      </c>
      <c r="N153" t="s">
        <v>541</v>
      </c>
      <c r="O153">
        <v>50</v>
      </c>
      <c r="P153" t="s">
        <v>206</v>
      </c>
      <c r="Q153" t="s">
        <v>150</v>
      </c>
      <c r="R153">
        <v>31</v>
      </c>
      <c r="S153">
        <v>1</v>
      </c>
      <c r="T153" t="s">
        <v>81</v>
      </c>
      <c r="U153" t="s">
        <v>63</v>
      </c>
      <c r="V153">
        <v>2.72</v>
      </c>
      <c r="W153">
        <v>1.8</v>
      </c>
      <c r="X153">
        <v>5.4</v>
      </c>
      <c r="Y153">
        <v>7.2</v>
      </c>
      <c r="Z153">
        <v>12.9</v>
      </c>
    </row>
    <row r="154" spans="1:26">
      <c r="A154" t="s">
        <v>542</v>
      </c>
      <c r="B154">
        <v>45</v>
      </c>
      <c r="C154" t="s">
        <v>70</v>
      </c>
      <c r="D154" t="s">
        <v>42</v>
      </c>
      <c r="E154" t="s">
        <v>150</v>
      </c>
      <c r="F154" t="s">
        <v>150</v>
      </c>
      <c r="G154" t="s">
        <v>349</v>
      </c>
      <c r="H154" t="s">
        <v>30</v>
      </c>
      <c r="I154" t="s">
        <v>16</v>
      </c>
      <c r="J154" s="7">
        <v>43689</v>
      </c>
      <c r="K154" s="7">
        <v>43933</v>
      </c>
      <c r="L154" s="5">
        <v>100</v>
      </c>
      <c r="M154" t="s">
        <v>150</v>
      </c>
      <c r="N154" t="s">
        <v>531</v>
      </c>
      <c r="O154">
        <v>100</v>
      </c>
      <c r="P154" t="s">
        <v>211</v>
      </c>
      <c r="Q154" t="s">
        <v>150</v>
      </c>
      <c r="R154">
        <v>53</v>
      </c>
      <c r="S154">
        <v>0</v>
      </c>
      <c r="T154" t="s">
        <v>80</v>
      </c>
      <c r="U154" t="s">
        <v>61</v>
      </c>
      <c r="V154">
        <v>2.08</v>
      </c>
      <c r="W154">
        <v>4.19</v>
      </c>
      <c r="X154">
        <v>3.8</v>
      </c>
      <c r="Y154">
        <v>14.2</v>
      </c>
      <c r="Z154">
        <v>3.2</v>
      </c>
    </row>
    <row r="155" spans="1:26">
      <c r="A155" t="s">
        <v>543</v>
      </c>
      <c r="B155">
        <v>45</v>
      </c>
      <c r="C155" t="s">
        <v>44</v>
      </c>
      <c r="D155" t="s">
        <v>42</v>
      </c>
      <c r="E155" t="s">
        <v>150</v>
      </c>
      <c r="F155" t="s">
        <v>150</v>
      </c>
      <c r="G155" t="s">
        <v>288</v>
      </c>
      <c r="H155" t="s">
        <v>34</v>
      </c>
      <c r="I155" t="s">
        <v>16</v>
      </c>
      <c r="J155" s="7">
        <v>45240</v>
      </c>
      <c r="K155" s="7">
        <v>45422</v>
      </c>
      <c r="L155" s="5">
        <v>200</v>
      </c>
      <c r="M155" t="s">
        <v>28</v>
      </c>
      <c r="N155" t="s">
        <v>380</v>
      </c>
      <c r="O155">
        <v>200</v>
      </c>
      <c r="P155" t="s">
        <v>211</v>
      </c>
      <c r="Q155" t="s">
        <v>150</v>
      </c>
      <c r="R155">
        <v>141</v>
      </c>
      <c r="S155">
        <v>0</v>
      </c>
      <c r="T155" t="s">
        <v>82</v>
      </c>
      <c r="U155" t="s">
        <v>63</v>
      </c>
      <c r="V155">
        <v>1.29</v>
      </c>
      <c r="W155">
        <v>2.57</v>
      </c>
      <c r="X155">
        <v>5.3</v>
      </c>
      <c r="Y155">
        <v>16.8</v>
      </c>
      <c r="Z155">
        <v>8</v>
      </c>
    </row>
    <row r="156" spans="1:26">
      <c r="A156" t="s">
        <v>544</v>
      </c>
      <c r="B156">
        <v>47</v>
      </c>
      <c r="C156" t="s">
        <v>44</v>
      </c>
      <c r="D156" t="s">
        <v>44</v>
      </c>
      <c r="E156" t="s">
        <v>311</v>
      </c>
      <c r="F156" t="s">
        <v>150</v>
      </c>
      <c r="G156" t="s">
        <v>297</v>
      </c>
      <c r="H156" t="s">
        <v>29</v>
      </c>
      <c r="I156" t="s">
        <v>19</v>
      </c>
      <c r="J156" s="7">
        <v>44937</v>
      </c>
      <c r="K156" s="7">
        <v>45362</v>
      </c>
      <c r="L156" s="5">
        <v>100</v>
      </c>
      <c r="M156" t="s">
        <v>25</v>
      </c>
      <c r="N156" t="s">
        <v>545</v>
      </c>
      <c r="O156">
        <v>100</v>
      </c>
      <c r="P156" t="s">
        <v>206</v>
      </c>
      <c r="Q156" t="s">
        <v>27</v>
      </c>
      <c r="R156">
        <v>144</v>
      </c>
      <c r="S156">
        <v>1</v>
      </c>
      <c r="T156" t="s">
        <v>80</v>
      </c>
      <c r="U156" t="s">
        <v>63</v>
      </c>
      <c r="V156">
        <v>3.78</v>
      </c>
      <c r="W156">
        <v>4.44</v>
      </c>
      <c r="X156">
        <v>8</v>
      </c>
      <c r="Y156">
        <v>6.7</v>
      </c>
      <c r="Z156">
        <v>11.2</v>
      </c>
    </row>
    <row r="157" spans="1:26">
      <c r="A157" t="s">
        <v>546</v>
      </c>
      <c r="B157">
        <v>46</v>
      </c>
      <c r="C157" t="s">
        <v>70</v>
      </c>
      <c r="D157" t="s">
        <v>39</v>
      </c>
      <c r="E157" t="s">
        <v>272</v>
      </c>
      <c r="F157" t="s">
        <v>264</v>
      </c>
      <c r="G157" t="s">
        <v>294</v>
      </c>
      <c r="H157" t="s">
        <v>34</v>
      </c>
      <c r="I157" t="s">
        <v>16</v>
      </c>
      <c r="J157" s="7">
        <v>45116</v>
      </c>
      <c r="K157" s="7">
        <v>45331</v>
      </c>
      <c r="L157" s="5">
        <v>200</v>
      </c>
      <c r="M157" t="s">
        <v>27</v>
      </c>
      <c r="N157" t="s">
        <v>547</v>
      </c>
      <c r="O157">
        <v>200</v>
      </c>
      <c r="P157" t="s">
        <v>205</v>
      </c>
      <c r="Q157" t="s">
        <v>26</v>
      </c>
      <c r="R157">
        <v>154</v>
      </c>
      <c r="S157">
        <v>0</v>
      </c>
      <c r="T157" t="s">
        <v>82</v>
      </c>
      <c r="U157" t="s">
        <v>63</v>
      </c>
      <c r="V157">
        <v>1.42</v>
      </c>
      <c r="W157">
        <v>1.97</v>
      </c>
      <c r="X157">
        <v>9.9</v>
      </c>
      <c r="Y157">
        <v>8.6</v>
      </c>
      <c r="Z157">
        <v>11.5</v>
      </c>
    </row>
    <row r="158" spans="1:26">
      <c r="A158" t="s">
        <v>548</v>
      </c>
      <c r="B158">
        <v>85</v>
      </c>
      <c r="C158" t="s">
        <v>71</v>
      </c>
      <c r="D158" t="s">
        <v>41</v>
      </c>
      <c r="E158" t="s">
        <v>311</v>
      </c>
      <c r="F158" t="s">
        <v>260</v>
      </c>
      <c r="G158" t="s">
        <v>256</v>
      </c>
      <c r="H158" t="s">
        <v>29</v>
      </c>
      <c r="I158" t="s">
        <v>16</v>
      </c>
      <c r="J158" s="7">
        <v>44754</v>
      </c>
      <c r="K158" s="7">
        <v>45089</v>
      </c>
      <c r="L158" s="5">
        <v>100</v>
      </c>
      <c r="M158" t="s">
        <v>150</v>
      </c>
      <c r="N158" t="s">
        <v>380</v>
      </c>
      <c r="O158">
        <v>100</v>
      </c>
      <c r="P158" t="s">
        <v>211</v>
      </c>
      <c r="Q158" t="s">
        <v>26</v>
      </c>
      <c r="R158">
        <v>119</v>
      </c>
      <c r="S158">
        <v>0</v>
      </c>
      <c r="T158" t="s">
        <v>80</v>
      </c>
      <c r="U158" t="s">
        <v>61</v>
      </c>
      <c r="V158">
        <v>3.47</v>
      </c>
      <c r="W158">
        <v>3.81</v>
      </c>
      <c r="X158">
        <v>6</v>
      </c>
      <c r="Y158">
        <v>6.2</v>
      </c>
      <c r="Z158">
        <v>8.5</v>
      </c>
    </row>
    <row r="159" spans="1:26">
      <c r="A159" t="s">
        <v>549</v>
      </c>
      <c r="B159">
        <v>36</v>
      </c>
      <c r="C159" t="s">
        <v>70</v>
      </c>
      <c r="D159" t="s">
        <v>42</v>
      </c>
      <c r="E159" t="s">
        <v>259</v>
      </c>
      <c r="F159" t="s">
        <v>264</v>
      </c>
      <c r="G159" t="s">
        <v>281</v>
      </c>
      <c r="H159" t="s">
        <v>29</v>
      </c>
      <c r="I159" t="s">
        <v>16</v>
      </c>
      <c r="J159" s="7">
        <v>43575</v>
      </c>
      <c r="K159" s="7">
        <v>43819</v>
      </c>
      <c r="L159" s="5">
        <v>150</v>
      </c>
      <c r="M159" t="s">
        <v>150</v>
      </c>
      <c r="N159" t="s">
        <v>309</v>
      </c>
      <c r="O159">
        <v>150</v>
      </c>
      <c r="P159" t="s">
        <v>206</v>
      </c>
      <c r="Q159" t="s">
        <v>150</v>
      </c>
      <c r="R159">
        <v>145</v>
      </c>
      <c r="S159">
        <v>1</v>
      </c>
      <c r="T159" t="s">
        <v>82</v>
      </c>
      <c r="U159" t="s">
        <v>63</v>
      </c>
      <c r="V159">
        <v>3.07</v>
      </c>
      <c r="W159">
        <v>1.35</v>
      </c>
      <c r="X159">
        <v>4.2</v>
      </c>
      <c r="Y159">
        <v>6.6</v>
      </c>
      <c r="Z159">
        <v>4.3</v>
      </c>
    </row>
    <row r="160" spans="1:26">
      <c r="A160" t="s">
        <v>550</v>
      </c>
      <c r="B160">
        <v>60</v>
      </c>
      <c r="C160" t="s">
        <v>71</v>
      </c>
      <c r="D160" t="s">
        <v>44</v>
      </c>
      <c r="E160" t="s">
        <v>259</v>
      </c>
      <c r="F160" t="s">
        <v>268</v>
      </c>
      <c r="G160" t="s">
        <v>322</v>
      </c>
      <c r="H160" t="s">
        <v>34</v>
      </c>
      <c r="I160" t="s">
        <v>18</v>
      </c>
      <c r="J160" s="7">
        <v>43665</v>
      </c>
      <c r="K160" s="7">
        <v>44154</v>
      </c>
      <c r="L160" s="5">
        <v>50</v>
      </c>
      <c r="M160" t="s">
        <v>26</v>
      </c>
      <c r="N160" t="s">
        <v>435</v>
      </c>
      <c r="O160">
        <v>50</v>
      </c>
      <c r="P160" t="s">
        <v>206</v>
      </c>
      <c r="Q160" t="s">
        <v>25</v>
      </c>
      <c r="R160">
        <v>99</v>
      </c>
      <c r="S160">
        <v>1</v>
      </c>
      <c r="T160" t="s">
        <v>83</v>
      </c>
      <c r="U160" t="s">
        <v>61</v>
      </c>
      <c r="V160">
        <v>2.59</v>
      </c>
      <c r="W160">
        <v>1.53</v>
      </c>
      <c r="X160">
        <v>6.1</v>
      </c>
      <c r="Y160">
        <v>18.4</v>
      </c>
      <c r="Z160">
        <v>16.6</v>
      </c>
    </row>
    <row r="161" spans="1:26">
      <c r="A161" t="s">
        <v>551</v>
      </c>
      <c r="B161">
        <v>19</v>
      </c>
      <c r="C161" t="s">
        <v>71</v>
      </c>
      <c r="D161" t="s">
        <v>43</v>
      </c>
      <c r="E161" t="s">
        <v>150</v>
      </c>
      <c r="F161" t="s">
        <v>150</v>
      </c>
      <c r="G161" t="s">
        <v>327</v>
      </c>
      <c r="H161" t="s">
        <v>29</v>
      </c>
      <c r="I161" t="s">
        <v>16</v>
      </c>
      <c r="J161" s="7">
        <v>44513</v>
      </c>
      <c r="K161" s="7">
        <v>44786</v>
      </c>
      <c r="L161" s="5">
        <v>200</v>
      </c>
      <c r="M161" t="s">
        <v>28</v>
      </c>
      <c r="N161" t="s">
        <v>471</v>
      </c>
      <c r="O161">
        <v>200</v>
      </c>
      <c r="P161" t="s">
        <v>205</v>
      </c>
      <c r="Q161" t="s">
        <v>28</v>
      </c>
      <c r="R161">
        <v>77</v>
      </c>
      <c r="S161">
        <v>0</v>
      </c>
      <c r="T161" t="s">
        <v>78</v>
      </c>
      <c r="U161" t="s">
        <v>61</v>
      </c>
      <c r="V161">
        <v>1.8</v>
      </c>
      <c r="W161">
        <v>1.67</v>
      </c>
      <c r="X161">
        <v>1.9</v>
      </c>
      <c r="Y161">
        <v>17.5</v>
      </c>
      <c r="Z161">
        <v>15</v>
      </c>
    </row>
    <row r="162" spans="1:26">
      <c r="A162" t="s">
        <v>552</v>
      </c>
      <c r="B162">
        <v>20</v>
      </c>
      <c r="C162" t="s">
        <v>71</v>
      </c>
      <c r="D162" t="s">
        <v>41</v>
      </c>
      <c r="E162" t="s">
        <v>255</v>
      </c>
      <c r="F162" t="s">
        <v>260</v>
      </c>
      <c r="G162" t="s">
        <v>297</v>
      </c>
      <c r="H162" t="s">
        <v>30</v>
      </c>
      <c r="I162" t="s">
        <v>16</v>
      </c>
      <c r="J162" s="7">
        <v>44512</v>
      </c>
      <c r="K162" s="7">
        <v>44846</v>
      </c>
      <c r="L162" s="5">
        <v>150</v>
      </c>
      <c r="M162" t="s">
        <v>25</v>
      </c>
      <c r="N162" t="s">
        <v>413</v>
      </c>
      <c r="O162">
        <v>150</v>
      </c>
      <c r="P162" t="s">
        <v>206</v>
      </c>
      <c r="Q162" t="s">
        <v>150</v>
      </c>
      <c r="R162">
        <v>129</v>
      </c>
      <c r="S162">
        <v>1</v>
      </c>
      <c r="T162" t="s">
        <v>83</v>
      </c>
      <c r="U162" t="s">
        <v>61</v>
      </c>
      <c r="V162">
        <v>1.13</v>
      </c>
      <c r="W162">
        <v>4.74</v>
      </c>
      <c r="X162">
        <v>1.5</v>
      </c>
      <c r="Y162">
        <v>15.7</v>
      </c>
      <c r="Z162">
        <v>15.1</v>
      </c>
    </row>
    <row r="163" spans="1:26">
      <c r="A163" t="s">
        <v>553</v>
      </c>
      <c r="B163">
        <v>46</v>
      </c>
      <c r="C163" t="s">
        <v>71</v>
      </c>
      <c r="D163" t="s">
        <v>39</v>
      </c>
      <c r="E163" t="s">
        <v>272</v>
      </c>
      <c r="F163" t="s">
        <v>150</v>
      </c>
      <c r="G163" t="s">
        <v>294</v>
      </c>
      <c r="H163" t="s">
        <v>34</v>
      </c>
      <c r="I163" t="s">
        <v>18</v>
      </c>
      <c r="J163" s="7">
        <v>44670</v>
      </c>
      <c r="K163" s="7">
        <v>44914</v>
      </c>
      <c r="L163" s="5">
        <v>200</v>
      </c>
      <c r="M163" t="s">
        <v>25</v>
      </c>
      <c r="N163" t="s">
        <v>554</v>
      </c>
      <c r="O163">
        <v>200</v>
      </c>
      <c r="P163" t="s">
        <v>205</v>
      </c>
      <c r="Q163" t="s">
        <v>26</v>
      </c>
      <c r="R163">
        <v>82</v>
      </c>
      <c r="S163">
        <v>0</v>
      </c>
      <c r="T163" t="s">
        <v>78</v>
      </c>
      <c r="U163" t="s">
        <v>63</v>
      </c>
      <c r="V163">
        <v>4.48</v>
      </c>
      <c r="W163">
        <v>3.86</v>
      </c>
      <c r="X163">
        <v>8.2</v>
      </c>
      <c r="Y163">
        <v>12.1</v>
      </c>
      <c r="Z163">
        <v>16.9</v>
      </c>
    </row>
    <row r="164" spans="1:26">
      <c r="A164" t="s">
        <v>555</v>
      </c>
      <c r="B164">
        <v>35</v>
      </c>
      <c r="C164" t="s">
        <v>70</v>
      </c>
      <c r="D164" t="s">
        <v>44</v>
      </c>
      <c r="E164" t="s">
        <v>259</v>
      </c>
      <c r="F164" t="s">
        <v>273</v>
      </c>
      <c r="G164" t="s">
        <v>274</v>
      </c>
      <c r="H164" t="s">
        <v>30</v>
      </c>
      <c r="I164" t="s">
        <v>19</v>
      </c>
      <c r="J164" s="7">
        <v>43726</v>
      </c>
      <c r="K164" s="7">
        <v>44245</v>
      </c>
      <c r="L164" s="5">
        <v>50</v>
      </c>
      <c r="M164" t="s">
        <v>150</v>
      </c>
      <c r="N164" t="s">
        <v>556</v>
      </c>
      <c r="O164">
        <v>50</v>
      </c>
      <c r="P164" t="s">
        <v>205</v>
      </c>
      <c r="Q164" t="s">
        <v>28</v>
      </c>
      <c r="R164">
        <v>111</v>
      </c>
      <c r="S164">
        <v>0</v>
      </c>
      <c r="T164" t="s">
        <v>82</v>
      </c>
      <c r="U164" t="s">
        <v>61</v>
      </c>
      <c r="V164">
        <v>1.32</v>
      </c>
      <c r="W164">
        <v>4.58</v>
      </c>
      <c r="X164">
        <v>5.9</v>
      </c>
      <c r="Y164">
        <v>20.7</v>
      </c>
      <c r="Z164">
        <v>10.7</v>
      </c>
    </row>
    <row r="165" spans="1:26">
      <c r="A165" t="s">
        <v>557</v>
      </c>
      <c r="B165">
        <v>56</v>
      </c>
      <c r="C165" t="s">
        <v>70</v>
      </c>
      <c r="D165" t="s">
        <v>39</v>
      </c>
      <c r="E165" t="s">
        <v>259</v>
      </c>
      <c r="F165" t="s">
        <v>150</v>
      </c>
      <c r="G165" t="s">
        <v>284</v>
      </c>
      <c r="H165" t="s">
        <v>30</v>
      </c>
      <c r="I165" t="s">
        <v>18</v>
      </c>
      <c r="J165" s="7">
        <v>43758</v>
      </c>
      <c r="K165" s="7">
        <v>44063</v>
      </c>
      <c r="L165" s="5">
        <v>100</v>
      </c>
      <c r="M165" t="s">
        <v>26</v>
      </c>
      <c r="N165" t="s">
        <v>464</v>
      </c>
      <c r="O165">
        <v>100</v>
      </c>
      <c r="P165" t="s">
        <v>211</v>
      </c>
      <c r="Q165" t="s">
        <v>28</v>
      </c>
      <c r="R165">
        <v>152</v>
      </c>
      <c r="S165">
        <v>0</v>
      </c>
      <c r="T165" t="s">
        <v>78</v>
      </c>
      <c r="U165" t="s">
        <v>61</v>
      </c>
      <c r="V165">
        <v>3.57</v>
      </c>
      <c r="W165">
        <v>3.11</v>
      </c>
      <c r="X165">
        <v>7.6</v>
      </c>
      <c r="Y165">
        <v>7.5</v>
      </c>
      <c r="Z165">
        <v>4</v>
      </c>
    </row>
    <row r="166" spans="1:26">
      <c r="A166" t="s">
        <v>558</v>
      </c>
      <c r="B166">
        <v>65</v>
      </c>
      <c r="C166" t="s">
        <v>71</v>
      </c>
      <c r="D166" t="s">
        <v>43</v>
      </c>
      <c r="E166" t="s">
        <v>272</v>
      </c>
      <c r="F166" t="s">
        <v>273</v>
      </c>
      <c r="G166" t="s">
        <v>278</v>
      </c>
      <c r="H166" t="s">
        <v>30</v>
      </c>
      <c r="I166" t="s">
        <v>16</v>
      </c>
      <c r="J166" s="7">
        <v>44570</v>
      </c>
      <c r="K166" s="7">
        <v>44935</v>
      </c>
      <c r="L166" s="5">
        <v>100</v>
      </c>
      <c r="M166" t="s">
        <v>26</v>
      </c>
      <c r="N166" t="s">
        <v>503</v>
      </c>
      <c r="O166">
        <v>100</v>
      </c>
      <c r="P166" t="s">
        <v>211</v>
      </c>
      <c r="Q166" t="s">
        <v>25</v>
      </c>
      <c r="R166">
        <v>155</v>
      </c>
      <c r="S166">
        <v>0</v>
      </c>
      <c r="T166" t="s">
        <v>81</v>
      </c>
      <c r="U166" t="s">
        <v>61</v>
      </c>
      <c r="V166">
        <v>1.99</v>
      </c>
      <c r="W166">
        <v>1.64</v>
      </c>
      <c r="X166">
        <v>8.8</v>
      </c>
      <c r="Y166">
        <v>9.9</v>
      </c>
      <c r="Z166">
        <v>19.6</v>
      </c>
    </row>
    <row r="167" spans="1:26">
      <c r="A167" t="s">
        <v>559</v>
      </c>
      <c r="B167">
        <v>49</v>
      </c>
      <c r="C167" t="s">
        <v>70</v>
      </c>
      <c r="D167" t="s">
        <v>43</v>
      </c>
      <c r="E167" t="s">
        <v>311</v>
      </c>
      <c r="F167" t="s">
        <v>150</v>
      </c>
      <c r="G167" t="s">
        <v>297</v>
      </c>
      <c r="H167" t="s">
        <v>32</v>
      </c>
      <c r="I167" t="s">
        <v>20</v>
      </c>
      <c r="J167" s="7">
        <v>45279</v>
      </c>
      <c r="K167" s="7">
        <v>45735</v>
      </c>
      <c r="L167" s="5">
        <v>50</v>
      </c>
      <c r="M167" t="s">
        <v>28</v>
      </c>
      <c r="N167" t="s">
        <v>438</v>
      </c>
      <c r="O167">
        <v>50</v>
      </c>
      <c r="P167" t="s">
        <v>206</v>
      </c>
      <c r="Q167" t="s">
        <v>25</v>
      </c>
      <c r="R167">
        <v>167</v>
      </c>
      <c r="S167">
        <v>1</v>
      </c>
      <c r="T167" t="s">
        <v>82</v>
      </c>
      <c r="U167" t="s">
        <v>63</v>
      </c>
      <c r="V167">
        <v>2.35</v>
      </c>
      <c r="W167">
        <v>1.73</v>
      </c>
      <c r="X167">
        <v>8.1</v>
      </c>
      <c r="Y167">
        <v>17.9</v>
      </c>
      <c r="Z167">
        <v>11.5</v>
      </c>
    </row>
    <row r="168" spans="1:26">
      <c r="A168" t="s">
        <v>560</v>
      </c>
      <c r="B168">
        <v>67</v>
      </c>
      <c r="C168" t="s">
        <v>44</v>
      </c>
      <c r="D168" t="s">
        <v>42</v>
      </c>
      <c r="E168" t="s">
        <v>259</v>
      </c>
      <c r="F168" t="s">
        <v>260</v>
      </c>
      <c r="G168" t="s">
        <v>362</v>
      </c>
      <c r="H168" t="s">
        <v>32</v>
      </c>
      <c r="I168" t="s">
        <v>20</v>
      </c>
      <c r="J168" s="7">
        <v>44022</v>
      </c>
      <c r="K168" s="7">
        <v>44479</v>
      </c>
      <c r="L168" s="5">
        <v>50</v>
      </c>
      <c r="M168" t="s">
        <v>25</v>
      </c>
      <c r="N168" t="s">
        <v>292</v>
      </c>
      <c r="O168">
        <v>50</v>
      </c>
      <c r="P168" t="s">
        <v>211</v>
      </c>
      <c r="Q168" t="s">
        <v>28</v>
      </c>
      <c r="R168">
        <v>158</v>
      </c>
      <c r="S168">
        <v>0</v>
      </c>
      <c r="T168" t="s">
        <v>83</v>
      </c>
      <c r="U168" t="s">
        <v>63</v>
      </c>
      <c r="V168">
        <v>3.22</v>
      </c>
      <c r="W168">
        <v>3.88</v>
      </c>
      <c r="X168">
        <v>3.1</v>
      </c>
      <c r="Y168">
        <v>23.9</v>
      </c>
      <c r="Z168">
        <v>19.6</v>
      </c>
    </row>
    <row r="169" spans="1:26">
      <c r="A169" t="s">
        <v>561</v>
      </c>
      <c r="B169">
        <v>35</v>
      </c>
      <c r="C169" t="s">
        <v>70</v>
      </c>
      <c r="D169" t="s">
        <v>43</v>
      </c>
      <c r="E169" t="s">
        <v>150</v>
      </c>
      <c r="F169" t="s">
        <v>273</v>
      </c>
      <c r="G169" t="s">
        <v>431</v>
      </c>
      <c r="H169" t="s">
        <v>30</v>
      </c>
      <c r="I169" t="s">
        <v>20</v>
      </c>
      <c r="J169" s="7">
        <v>43596</v>
      </c>
      <c r="K169" s="7">
        <v>44115</v>
      </c>
      <c r="L169" s="5">
        <v>100</v>
      </c>
      <c r="M169" t="s">
        <v>28</v>
      </c>
      <c r="N169" t="s">
        <v>562</v>
      </c>
      <c r="O169">
        <v>100</v>
      </c>
      <c r="P169" t="s">
        <v>211</v>
      </c>
      <c r="Q169" t="s">
        <v>150</v>
      </c>
      <c r="R169">
        <v>51</v>
      </c>
      <c r="S169">
        <v>0</v>
      </c>
      <c r="T169" t="s">
        <v>80</v>
      </c>
      <c r="U169" t="s">
        <v>61</v>
      </c>
      <c r="V169">
        <v>3.6</v>
      </c>
      <c r="W169">
        <v>1.8</v>
      </c>
      <c r="X169">
        <v>7.1</v>
      </c>
      <c r="Y169">
        <v>7.3</v>
      </c>
      <c r="Z169">
        <v>3.5</v>
      </c>
    </row>
    <row r="170" spans="1:26">
      <c r="A170" t="s">
        <v>563</v>
      </c>
      <c r="B170">
        <v>83</v>
      </c>
      <c r="C170" t="s">
        <v>44</v>
      </c>
      <c r="D170" t="s">
        <v>41</v>
      </c>
      <c r="E170" t="s">
        <v>272</v>
      </c>
      <c r="F170" t="s">
        <v>150</v>
      </c>
      <c r="G170" t="s">
        <v>291</v>
      </c>
      <c r="H170" t="s">
        <v>30</v>
      </c>
      <c r="I170" t="s">
        <v>19</v>
      </c>
      <c r="J170" s="7">
        <v>45258</v>
      </c>
      <c r="K170" s="7">
        <v>45501</v>
      </c>
      <c r="L170" s="5">
        <v>100</v>
      </c>
      <c r="M170" t="s">
        <v>26</v>
      </c>
      <c r="N170" t="s">
        <v>490</v>
      </c>
      <c r="O170">
        <v>100</v>
      </c>
      <c r="P170" t="s">
        <v>205</v>
      </c>
      <c r="Q170" t="s">
        <v>28</v>
      </c>
      <c r="R170">
        <v>137</v>
      </c>
      <c r="S170">
        <v>0</v>
      </c>
      <c r="T170" t="s">
        <v>81</v>
      </c>
      <c r="U170" t="s">
        <v>61</v>
      </c>
      <c r="V170">
        <v>2.03</v>
      </c>
      <c r="W170">
        <v>2.85</v>
      </c>
      <c r="X170">
        <v>8.8</v>
      </c>
      <c r="Y170">
        <v>19.1</v>
      </c>
      <c r="Z170">
        <v>15.6</v>
      </c>
    </row>
    <row r="171" spans="1:26">
      <c r="A171" t="s">
        <v>564</v>
      </c>
      <c r="B171">
        <v>75</v>
      </c>
      <c r="C171" t="s">
        <v>70</v>
      </c>
      <c r="D171" t="s">
        <v>41</v>
      </c>
      <c r="E171" t="s">
        <v>311</v>
      </c>
      <c r="F171" t="s">
        <v>150</v>
      </c>
      <c r="G171" t="s">
        <v>278</v>
      </c>
      <c r="H171" t="s">
        <v>29</v>
      </c>
      <c r="I171" t="s">
        <v>19</v>
      </c>
      <c r="J171" s="7">
        <v>43693</v>
      </c>
      <c r="K171" s="7">
        <v>44090</v>
      </c>
      <c r="L171" s="5">
        <v>50</v>
      </c>
      <c r="M171" t="s">
        <v>27</v>
      </c>
      <c r="N171" t="s">
        <v>501</v>
      </c>
      <c r="O171">
        <v>50</v>
      </c>
      <c r="P171" t="s">
        <v>205</v>
      </c>
      <c r="Q171" t="s">
        <v>27</v>
      </c>
      <c r="R171">
        <v>146</v>
      </c>
      <c r="S171">
        <v>0</v>
      </c>
      <c r="T171" t="s">
        <v>82</v>
      </c>
      <c r="U171" t="s">
        <v>61</v>
      </c>
      <c r="V171">
        <v>2.7</v>
      </c>
      <c r="W171">
        <v>2.38</v>
      </c>
      <c r="X171">
        <v>4.3</v>
      </c>
      <c r="Y171">
        <v>23.8</v>
      </c>
      <c r="Z171">
        <v>3.7</v>
      </c>
    </row>
    <row r="172" spans="1:26">
      <c r="A172" t="s">
        <v>565</v>
      </c>
      <c r="B172">
        <v>28</v>
      </c>
      <c r="C172" t="s">
        <v>44</v>
      </c>
      <c r="D172" t="s">
        <v>44</v>
      </c>
      <c r="E172" t="s">
        <v>311</v>
      </c>
      <c r="F172" t="s">
        <v>268</v>
      </c>
      <c r="G172" t="s">
        <v>322</v>
      </c>
      <c r="H172" t="s">
        <v>30</v>
      </c>
      <c r="I172" t="s">
        <v>16</v>
      </c>
      <c r="J172" s="7">
        <v>43892</v>
      </c>
      <c r="K172" s="7">
        <v>44379</v>
      </c>
      <c r="L172" s="5">
        <v>150</v>
      </c>
      <c r="M172" t="s">
        <v>26</v>
      </c>
      <c r="N172" t="s">
        <v>279</v>
      </c>
      <c r="O172">
        <v>150</v>
      </c>
      <c r="P172" t="s">
        <v>205</v>
      </c>
      <c r="Q172" t="s">
        <v>25</v>
      </c>
      <c r="R172">
        <v>106</v>
      </c>
      <c r="S172">
        <v>0</v>
      </c>
      <c r="T172" t="s">
        <v>81</v>
      </c>
      <c r="U172" t="s">
        <v>63</v>
      </c>
      <c r="V172">
        <v>4.47</v>
      </c>
      <c r="W172">
        <v>3.31</v>
      </c>
      <c r="X172">
        <v>4.9</v>
      </c>
      <c r="Y172">
        <v>19.1</v>
      </c>
      <c r="Z172">
        <v>11.3</v>
      </c>
    </row>
    <row r="173" spans="1:26">
      <c r="A173" t="s">
        <v>566</v>
      </c>
      <c r="B173">
        <v>24</v>
      </c>
      <c r="C173" t="s">
        <v>71</v>
      </c>
      <c r="D173" t="s">
        <v>43</v>
      </c>
      <c r="E173" t="s">
        <v>259</v>
      </c>
      <c r="F173" t="s">
        <v>264</v>
      </c>
      <c r="G173" t="s">
        <v>306</v>
      </c>
      <c r="H173" t="s">
        <v>30</v>
      </c>
      <c r="I173" t="s">
        <v>20</v>
      </c>
      <c r="J173" s="7">
        <v>45079</v>
      </c>
      <c r="K173" s="7">
        <v>45293</v>
      </c>
      <c r="L173" s="5">
        <v>150</v>
      </c>
      <c r="M173" t="s">
        <v>150</v>
      </c>
      <c r="N173" t="s">
        <v>567</v>
      </c>
      <c r="O173">
        <v>150</v>
      </c>
      <c r="P173" t="s">
        <v>211</v>
      </c>
      <c r="Q173" t="s">
        <v>25</v>
      </c>
      <c r="R173">
        <v>46</v>
      </c>
      <c r="S173">
        <v>0</v>
      </c>
      <c r="T173" t="s">
        <v>81</v>
      </c>
      <c r="U173" t="s">
        <v>61</v>
      </c>
      <c r="V173">
        <v>4.49</v>
      </c>
      <c r="W173">
        <v>4.6</v>
      </c>
      <c r="X173">
        <v>4.8</v>
      </c>
      <c r="Y173">
        <v>11</v>
      </c>
      <c r="Z173">
        <v>13.1</v>
      </c>
    </row>
    <row r="174" spans="1:26">
      <c r="A174" t="s">
        <v>568</v>
      </c>
      <c r="B174">
        <v>35</v>
      </c>
      <c r="C174" t="s">
        <v>71</v>
      </c>
      <c r="D174" t="s">
        <v>39</v>
      </c>
      <c r="E174" t="s">
        <v>150</v>
      </c>
      <c r="F174" t="s">
        <v>150</v>
      </c>
      <c r="G174" t="s">
        <v>349</v>
      </c>
      <c r="H174" t="s">
        <v>30</v>
      </c>
      <c r="I174" t="s">
        <v>18</v>
      </c>
      <c r="J174" s="7">
        <v>44930</v>
      </c>
      <c r="K174" s="7">
        <v>45386</v>
      </c>
      <c r="L174" s="5">
        <v>50</v>
      </c>
      <c r="M174" t="s">
        <v>25</v>
      </c>
      <c r="N174" t="s">
        <v>569</v>
      </c>
      <c r="O174">
        <v>50</v>
      </c>
      <c r="P174" t="s">
        <v>205</v>
      </c>
      <c r="Q174" t="s">
        <v>150</v>
      </c>
      <c r="R174">
        <v>96</v>
      </c>
      <c r="S174">
        <v>0</v>
      </c>
      <c r="T174" t="s">
        <v>80</v>
      </c>
      <c r="U174" t="s">
        <v>61</v>
      </c>
      <c r="V174">
        <v>4.65</v>
      </c>
      <c r="W174">
        <v>1.84</v>
      </c>
      <c r="X174">
        <v>6.6</v>
      </c>
      <c r="Y174">
        <v>17.4</v>
      </c>
      <c r="Z174">
        <v>15.5</v>
      </c>
    </row>
    <row r="175" spans="1:26">
      <c r="A175" t="s">
        <v>570</v>
      </c>
      <c r="B175">
        <v>34</v>
      </c>
      <c r="C175" t="s">
        <v>44</v>
      </c>
      <c r="D175" t="s">
        <v>44</v>
      </c>
      <c r="E175" t="s">
        <v>272</v>
      </c>
      <c r="F175" t="s">
        <v>150</v>
      </c>
      <c r="G175" t="s">
        <v>269</v>
      </c>
      <c r="H175" t="s">
        <v>34</v>
      </c>
      <c r="I175" t="s">
        <v>18</v>
      </c>
      <c r="J175" s="7">
        <v>45039</v>
      </c>
      <c r="K175" s="7">
        <v>45345</v>
      </c>
      <c r="L175" s="5">
        <v>100</v>
      </c>
      <c r="M175" t="s">
        <v>28</v>
      </c>
      <c r="N175" t="s">
        <v>464</v>
      </c>
      <c r="O175">
        <v>100</v>
      </c>
      <c r="P175" t="s">
        <v>211</v>
      </c>
      <c r="Q175" t="s">
        <v>28</v>
      </c>
      <c r="R175">
        <v>83</v>
      </c>
      <c r="S175">
        <v>0</v>
      </c>
      <c r="T175" t="s">
        <v>80</v>
      </c>
      <c r="U175" t="s">
        <v>61</v>
      </c>
      <c r="V175">
        <v>1.53</v>
      </c>
      <c r="W175">
        <v>3.86</v>
      </c>
      <c r="X175">
        <v>9.2</v>
      </c>
      <c r="Y175">
        <v>9.2</v>
      </c>
      <c r="Z175">
        <v>7</v>
      </c>
    </row>
    <row r="176" spans="1:26">
      <c r="A176" t="s">
        <v>571</v>
      </c>
      <c r="B176">
        <v>70</v>
      </c>
      <c r="C176" t="s">
        <v>71</v>
      </c>
      <c r="D176" t="s">
        <v>39</v>
      </c>
      <c r="E176" t="s">
        <v>150</v>
      </c>
      <c r="F176" t="s">
        <v>150</v>
      </c>
      <c r="G176" t="s">
        <v>278</v>
      </c>
      <c r="H176" t="s">
        <v>29</v>
      </c>
      <c r="I176" t="s">
        <v>18</v>
      </c>
      <c r="J176" s="7">
        <v>44342</v>
      </c>
      <c r="K176" s="7">
        <v>44556</v>
      </c>
      <c r="L176" s="5">
        <v>150</v>
      </c>
      <c r="M176" t="s">
        <v>25</v>
      </c>
      <c r="N176" t="s">
        <v>490</v>
      </c>
      <c r="O176">
        <v>150</v>
      </c>
      <c r="P176" t="s">
        <v>206</v>
      </c>
      <c r="Q176" t="s">
        <v>28</v>
      </c>
      <c r="R176">
        <v>115</v>
      </c>
      <c r="S176">
        <v>1</v>
      </c>
      <c r="T176" t="s">
        <v>81</v>
      </c>
      <c r="U176" t="s">
        <v>61</v>
      </c>
      <c r="V176">
        <v>4.89</v>
      </c>
      <c r="W176">
        <v>1.72</v>
      </c>
      <c r="X176">
        <v>8.7</v>
      </c>
      <c r="Y176">
        <v>14.9</v>
      </c>
      <c r="Z176">
        <v>7.2</v>
      </c>
    </row>
    <row r="177" spans="1:26">
      <c r="A177" t="s">
        <v>572</v>
      </c>
      <c r="B177">
        <v>21</v>
      </c>
      <c r="C177" t="s">
        <v>71</v>
      </c>
      <c r="D177" t="s">
        <v>41</v>
      </c>
      <c r="E177" t="s">
        <v>150</v>
      </c>
      <c r="F177" t="s">
        <v>150</v>
      </c>
      <c r="G177" t="s">
        <v>269</v>
      </c>
      <c r="H177" t="s">
        <v>34</v>
      </c>
      <c r="I177" t="s">
        <v>16</v>
      </c>
      <c r="J177" s="7">
        <v>44048</v>
      </c>
      <c r="K177" s="7">
        <v>44535</v>
      </c>
      <c r="L177" s="5">
        <v>200</v>
      </c>
      <c r="M177" t="s">
        <v>150</v>
      </c>
      <c r="N177" t="s">
        <v>573</v>
      </c>
      <c r="O177">
        <v>200</v>
      </c>
      <c r="P177" t="s">
        <v>206</v>
      </c>
      <c r="Q177" t="s">
        <v>25</v>
      </c>
      <c r="R177">
        <v>106</v>
      </c>
      <c r="S177">
        <v>1</v>
      </c>
      <c r="T177" t="s">
        <v>80</v>
      </c>
      <c r="U177" t="s">
        <v>61</v>
      </c>
      <c r="V177">
        <v>4.48</v>
      </c>
      <c r="W177">
        <v>2.78</v>
      </c>
      <c r="X177">
        <v>5.6</v>
      </c>
      <c r="Y177">
        <v>12.5</v>
      </c>
      <c r="Z177">
        <v>13.1</v>
      </c>
    </row>
    <row r="178" spans="1:26">
      <c r="A178" t="s">
        <v>574</v>
      </c>
      <c r="B178">
        <v>20</v>
      </c>
      <c r="C178" t="s">
        <v>71</v>
      </c>
      <c r="D178" t="s">
        <v>44</v>
      </c>
      <c r="E178" t="s">
        <v>150</v>
      </c>
      <c r="F178" t="s">
        <v>150</v>
      </c>
      <c r="G178" t="s">
        <v>327</v>
      </c>
      <c r="H178" t="s">
        <v>29</v>
      </c>
      <c r="I178" t="s">
        <v>18</v>
      </c>
      <c r="J178" s="7">
        <v>44207</v>
      </c>
      <c r="K178" s="7">
        <v>44572</v>
      </c>
      <c r="L178" s="5">
        <v>100</v>
      </c>
      <c r="M178" t="s">
        <v>25</v>
      </c>
      <c r="N178" t="s">
        <v>471</v>
      </c>
      <c r="O178">
        <v>100</v>
      </c>
      <c r="P178" t="s">
        <v>206</v>
      </c>
      <c r="Q178" t="s">
        <v>150</v>
      </c>
      <c r="R178">
        <v>110</v>
      </c>
      <c r="S178">
        <v>1</v>
      </c>
      <c r="T178" t="s">
        <v>83</v>
      </c>
      <c r="U178" t="s">
        <v>61</v>
      </c>
      <c r="V178">
        <v>1.65</v>
      </c>
      <c r="W178">
        <v>2.56</v>
      </c>
      <c r="X178">
        <v>9.7</v>
      </c>
      <c r="Y178">
        <v>10.6</v>
      </c>
      <c r="Z178">
        <v>14.2</v>
      </c>
    </row>
    <row r="179" spans="1:26">
      <c r="A179" t="s">
        <v>575</v>
      </c>
      <c r="B179">
        <v>70</v>
      </c>
      <c r="C179" t="s">
        <v>71</v>
      </c>
      <c r="D179" t="s">
        <v>43</v>
      </c>
      <c r="E179" t="s">
        <v>259</v>
      </c>
      <c r="F179" t="s">
        <v>264</v>
      </c>
      <c r="G179" t="s">
        <v>278</v>
      </c>
      <c r="H179" t="s">
        <v>32</v>
      </c>
      <c r="I179" t="s">
        <v>18</v>
      </c>
      <c r="J179" s="7">
        <v>43642</v>
      </c>
      <c r="K179" s="7">
        <v>43825</v>
      </c>
      <c r="L179" s="5">
        <v>100</v>
      </c>
      <c r="M179" t="s">
        <v>27</v>
      </c>
      <c r="N179" t="s">
        <v>576</v>
      </c>
      <c r="O179">
        <v>100</v>
      </c>
      <c r="P179" t="s">
        <v>206</v>
      </c>
      <c r="Q179" t="s">
        <v>27</v>
      </c>
      <c r="R179">
        <v>158</v>
      </c>
      <c r="S179">
        <v>1</v>
      </c>
      <c r="T179" t="s">
        <v>78</v>
      </c>
      <c r="U179" t="s">
        <v>63</v>
      </c>
      <c r="V179">
        <v>2.3</v>
      </c>
      <c r="W179">
        <v>4.09</v>
      </c>
      <c r="X179">
        <v>2.2</v>
      </c>
      <c r="Y179">
        <v>23.5</v>
      </c>
      <c r="Z179">
        <v>10.7</v>
      </c>
    </row>
    <row r="180" spans="1:26">
      <c r="A180" t="s">
        <v>577</v>
      </c>
      <c r="B180">
        <v>61</v>
      </c>
      <c r="C180" t="s">
        <v>70</v>
      </c>
      <c r="D180" t="s">
        <v>44</v>
      </c>
      <c r="E180" t="s">
        <v>150</v>
      </c>
      <c r="F180" t="s">
        <v>150</v>
      </c>
      <c r="G180" t="s">
        <v>281</v>
      </c>
      <c r="H180" t="s">
        <v>29</v>
      </c>
      <c r="I180" t="s">
        <v>18</v>
      </c>
      <c r="J180" s="7">
        <v>44167</v>
      </c>
      <c r="K180" s="7">
        <v>44563</v>
      </c>
      <c r="L180" s="5">
        <v>200</v>
      </c>
      <c r="M180" t="s">
        <v>25</v>
      </c>
      <c r="N180" t="s">
        <v>578</v>
      </c>
      <c r="O180">
        <v>200</v>
      </c>
      <c r="P180" t="s">
        <v>206</v>
      </c>
      <c r="Q180" t="s">
        <v>25</v>
      </c>
      <c r="R180">
        <v>52</v>
      </c>
      <c r="S180">
        <v>1</v>
      </c>
      <c r="T180" t="s">
        <v>81</v>
      </c>
      <c r="U180" t="s">
        <v>61</v>
      </c>
      <c r="V180">
        <v>1.94</v>
      </c>
      <c r="W180">
        <v>1.29</v>
      </c>
      <c r="X180">
        <v>2.5</v>
      </c>
      <c r="Y180">
        <v>15.4</v>
      </c>
      <c r="Z180">
        <v>8.7</v>
      </c>
    </row>
    <row r="181" spans="1:26">
      <c r="A181" t="s">
        <v>579</v>
      </c>
      <c r="B181">
        <v>23</v>
      </c>
      <c r="C181" t="s">
        <v>71</v>
      </c>
      <c r="D181" t="s">
        <v>44</v>
      </c>
      <c r="E181" t="s">
        <v>150</v>
      </c>
      <c r="F181" t="s">
        <v>264</v>
      </c>
      <c r="G181" t="s">
        <v>278</v>
      </c>
      <c r="H181" t="s">
        <v>32</v>
      </c>
      <c r="I181" t="s">
        <v>18</v>
      </c>
      <c r="J181" s="7">
        <v>43960</v>
      </c>
      <c r="K181" s="7">
        <v>44386</v>
      </c>
      <c r="L181" s="5">
        <v>150</v>
      </c>
      <c r="M181" t="s">
        <v>28</v>
      </c>
      <c r="N181" t="s">
        <v>289</v>
      </c>
      <c r="O181">
        <v>150</v>
      </c>
      <c r="P181" t="s">
        <v>206</v>
      </c>
      <c r="Q181" t="s">
        <v>150</v>
      </c>
      <c r="R181">
        <v>59</v>
      </c>
      <c r="S181">
        <v>1</v>
      </c>
      <c r="T181" t="s">
        <v>83</v>
      </c>
      <c r="U181" t="s">
        <v>63</v>
      </c>
      <c r="V181">
        <v>4.32</v>
      </c>
      <c r="W181">
        <v>2.72</v>
      </c>
      <c r="X181">
        <v>3.2</v>
      </c>
      <c r="Y181">
        <v>17.1</v>
      </c>
      <c r="Z181">
        <v>15</v>
      </c>
    </row>
    <row r="182" spans="1:26">
      <c r="A182" t="s">
        <v>580</v>
      </c>
      <c r="B182">
        <v>44</v>
      </c>
      <c r="C182" t="s">
        <v>44</v>
      </c>
      <c r="D182" t="s">
        <v>39</v>
      </c>
      <c r="E182" t="s">
        <v>255</v>
      </c>
      <c r="F182" t="s">
        <v>273</v>
      </c>
      <c r="G182" t="s">
        <v>362</v>
      </c>
      <c r="H182" t="s">
        <v>30</v>
      </c>
      <c r="I182" t="s">
        <v>18</v>
      </c>
      <c r="J182" s="7">
        <v>43605</v>
      </c>
      <c r="K182" s="7">
        <v>43941</v>
      </c>
      <c r="L182" s="5">
        <v>200</v>
      </c>
      <c r="M182" t="s">
        <v>26</v>
      </c>
      <c r="N182" t="s">
        <v>581</v>
      </c>
      <c r="O182">
        <v>200</v>
      </c>
      <c r="P182" t="s">
        <v>211</v>
      </c>
      <c r="Q182" t="s">
        <v>28</v>
      </c>
      <c r="R182">
        <v>57</v>
      </c>
      <c r="S182">
        <v>0</v>
      </c>
      <c r="T182" t="s">
        <v>82</v>
      </c>
      <c r="U182" t="s">
        <v>63</v>
      </c>
      <c r="V182">
        <v>1.67</v>
      </c>
      <c r="W182">
        <v>1.67</v>
      </c>
      <c r="X182">
        <v>1.3</v>
      </c>
      <c r="Y182">
        <v>19.3</v>
      </c>
      <c r="Z182">
        <v>14.3</v>
      </c>
    </row>
    <row r="183" spans="1:26">
      <c r="A183" t="s">
        <v>582</v>
      </c>
      <c r="B183">
        <v>29</v>
      </c>
      <c r="C183" t="s">
        <v>70</v>
      </c>
      <c r="D183" t="s">
        <v>43</v>
      </c>
      <c r="E183" t="s">
        <v>259</v>
      </c>
      <c r="F183" t="s">
        <v>150</v>
      </c>
      <c r="G183" t="s">
        <v>274</v>
      </c>
      <c r="H183" t="s">
        <v>34</v>
      </c>
      <c r="I183" t="s">
        <v>19</v>
      </c>
      <c r="J183" s="7">
        <v>44374</v>
      </c>
      <c r="K183" s="7">
        <v>44647</v>
      </c>
      <c r="L183" s="5">
        <v>50</v>
      </c>
      <c r="M183" t="s">
        <v>25</v>
      </c>
      <c r="N183" t="s">
        <v>376</v>
      </c>
      <c r="O183">
        <v>50</v>
      </c>
      <c r="P183" t="s">
        <v>205</v>
      </c>
      <c r="Q183" t="s">
        <v>27</v>
      </c>
      <c r="R183">
        <v>54</v>
      </c>
      <c r="S183">
        <v>0</v>
      </c>
      <c r="T183" t="s">
        <v>82</v>
      </c>
      <c r="U183" t="s">
        <v>61</v>
      </c>
      <c r="V183">
        <v>2.9</v>
      </c>
      <c r="W183">
        <v>4.38</v>
      </c>
      <c r="X183">
        <v>8.3</v>
      </c>
      <c r="Y183">
        <v>16.5</v>
      </c>
      <c r="Z183">
        <v>17.8</v>
      </c>
    </row>
    <row r="184" spans="1:26">
      <c r="A184" t="s">
        <v>583</v>
      </c>
      <c r="B184">
        <v>77</v>
      </c>
      <c r="C184" t="s">
        <v>70</v>
      </c>
      <c r="D184" t="s">
        <v>41</v>
      </c>
      <c r="E184" t="s">
        <v>259</v>
      </c>
      <c r="F184" t="s">
        <v>268</v>
      </c>
      <c r="G184" t="s">
        <v>322</v>
      </c>
      <c r="H184" t="s">
        <v>32</v>
      </c>
      <c r="I184" t="s">
        <v>20</v>
      </c>
      <c r="J184" s="7">
        <v>44187</v>
      </c>
      <c r="K184" s="7">
        <v>44522</v>
      </c>
      <c r="L184" s="5">
        <v>150</v>
      </c>
      <c r="M184" t="s">
        <v>27</v>
      </c>
      <c r="N184" t="s">
        <v>584</v>
      </c>
      <c r="O184">
        <v>150</v>
      </c>
      <c r="P184" t="s">
        <v>211</v>
      </c>
      <c r="Q184" t="s">
        <v>28</v>
      </c>
      <c r="R184">
        <v>119</v>
      </c>
      <c r="S184">
        <v>0</v>
      </c>
      <c r="T184" t="s">
        <v>82</v>
      </c>
      <c r="U184" t="s">
        <v>61</v>
      </c>
      <c r="V184">
        <v>1.82</v>
      </c>
      <c r="W184">
        <v>1.45</v>
      </c>
      <c r="X184">
        <v>3.4</v>
      </c>
      <c r="Y184">
        <v>7</v>
      </c>
      <c r="Z184">
        <v>12</v>
      </c>
    </row>
    <row r="185" spans="1:26">
      <c r="A185" t="s">
        <v>585</v>
      </c>
      <c r="B185">
        <v>39</v>
      </c>
      <c r="C185" t="s">
        <v>70</v>
      </c>
      <c r="D185" t="s">
        <v>39</v>
      </c>
      <c r="E185" t="s">
        <v>255</v>
      </c>
      <c r="F185" t="s">
        <v>150</v>
      </c>
      <c r="G185" t="s">
        <v>349</v>
      </c>
      <c r="H185" t="s">
        <v>29</v>
      </c>
      <c r="I185" t="s">
        <v>20</v>
      </c>
      <c r="J185" s="7">
        <v>43634</v>
      </c>
      <c r="K185" s="7">
        <v>44122</v>
      </c>
      <c r="L185" s="5">
        <v>50</v>
      </c>
      <c r="M185" t="s">
        <v>25</v>
      </c>
      <c r="N185" t="s">
        <v>586</v>
      </c>
      <c r="O185">
        <v>50</v>
      </c>
      <c r="P185" t="s">
        <v>205</v>
      </c>
      <c r="Q185" t="s">
        <v>27</v>
      </c>
      <c r="R185">
        <v>91</v>
      </c>
      <c r="S185">
        <v>0</v>
      </c>
      <c r="T185" t="s">
        <v>80</v>
      </c>
      <c r="U185" t="s">
        <v>63</v>
      </c>
      <c r="V185">
        <v>4.75</v>
      </c>
      <c r="W185">
        <v>1.16</v>
      </c>
      <c r="X185">
        <v>2.1</v>
      </c>
      <c r="Y185">
        <v>14.1</v>
      </c>
      <c r="Z185">
        <v>18.9</v>
      </c>
    </row>
    <row r="186" spans="1:26">
      <c r="A186" t="s">
        <v>587</v>
      </c>
      <c r="B186">
        <v>38</v>
      </c>
      <c r="C186" t="s">
        <v>70</v>
      </c>
      <c r="D186" t="s">
        <v>43</v>
      </c>
      <c r="E186" t="s">
        <v>311</v>
      </c>
      <c r="F186" t="s">
        <v>268</v>
      </c>
      <c r="G186" t="s">
        <v>261</v>
      </c>
      <c r="H186" t="s">
        <v>34</v>
      </c>
      <c r="I186" t="s">
        <v>19</v>
      </c>
      <c r="J186" s="7">
        <v>45268</v>
      </c>
      <c r="K186" s="7">
        <v>45512</v>
      </c>
      <c r="L186" s="5">
        <v>50</v>
      </c>
      <c r="M186" t="s">
        <v>25</v>
      </c>
      <c r="N186" t="s">
        <v>588</v>
      </c>
      <c r="O186">
        <v>50</v>
      </c>
      <c r="P186" t="s">
        <v>205</v>
      </c>
      <c r="Q186" t="s">
        <v>27</v>
      </c>
      <c r="R186">
        <v>113</v>
      </c>
      <c r="S186">
        <v>0</v>
      </c>
      <c r="T186" t="s">
        <v>80</v>
      </c>
      <c r="U186" t="s">
        <v>63</v>
      </c>
      <c r="V186">
        <v>2.26</v>
      </c>
      <c r="W186">
        <v>3.03</v>
      </c>
      <c r="X186">
        <v>1.4</v>
      </c>
      <c r="Y186">
        <v>8.7</v>
      </c>
      <c r="Z186">
        <v>19.8</v>
      </c>
    </row>
    <row r="187" spans="1:26">
      <c r="A187" t="s">
        <v>589</v>
      </c>
      <c r="B187">
        <v>74</v>
      </c>
      <c r="C187" t="s">
        <v>71</v>
      </c>
      <c r="D187" t="s">
        <v>39</v>
      </c>
      <c r="E187" t="s">
        <v>272</v>
      </c>
      <c r="F187" t="s">
        <v>277</v>
      </c>
      <c r="G187" t="s">
        <v>306</v>
      </c>
      <c r="H187" t="s">
        <v>34</v>
      </c>
      <c r="I187" t="s">
        <v>19</v>
      </c>
      <c r="J187" s="7">
        <v>44887</v>
      </c>
      <c r="K187" s="7">
        <v>45068</v>
      </c>
      <c r="L187" s="5">
        <v>50</v>
      </c>
      <c r="M187" t="s">
        <v>26</v>
      </c>
      <c r="N187" t="s">
        <v>590</v>
      </c>
      <c r="O187">
        <v>50</v>
      </c>
      <c r="P187" t="s">
        <v>205</v>
      </c>
      <c r="Q187" t="s">
        <v>28</v>
      </c>
      <c r="R187">
        <v>67</v>
      </c>
      <c r="S187">
        <v>0</v>
      </c>
      <c r="T187" t="s">
        <v>78</v>
      </c>
      <c r="U187" t="s">
        <v>61</v>
      </c>
      <c r="V187">
        <v>4.86</v>
      </c>
      <c r="W187">
        <v>1.02</v>
      </c>
      <c r="X187">
        <v>9.6</v>
      </c>
      <c r="Y187">
        <v>17.5</v>
      </c>
      <c r="Z187">
        <v>17.8</v>
      </c>
    </row>
    <row r="188" spans="1:26">
      <c r="A188" t="s">
        <v>591</v>
      </c>
      <c r="B188">
        <v>55</v>
      </c>
      <c r="C188" t="s">
        <v>70</v>
      </c>
      <c r="D188" t="s">
        <v>44</v>
      </c>
      <c r="E188" t="s">
        <v>255</v>
      </c>
      <c r="F188" t="s">
        <v>273</v>
      </c>
      <c r="G188" t="s">
        <v>256</v>
      </c>
      <c r="H188" t="s">
        <v>32</v>
      </c>
      <c r="I188" t="s">
        <v>19</v>
      </c>
      <c r="J188" s="7">
        <v>44907</v>
      </c>
      <c r="K188" s="7">
        <v>45119</v>
      </c>
      <c r="L188" s="5">
        <v>50</v>
      </c>
      <c r="M188" t="s">
        <v>25</v>
      </c>
      <c r="N188" t="s">
        <v>453</v>
      </c>
      <c r="O188">
        <v>50</v>
      </c>
      <c r="P188" t="s">
        <v>206</v>
      </c>
      <c r="Q188" t="s">
        <v>150</v>
      </c>
      <c r="R188">
        <v>170</v>
      </c>
      <c r="S188">
        <v>1</v>
      </c>
      <c r="T188" t="s">
        <v>83</v>
      </c>
      <c r="U188" t="s">
        <v>63</v>
      </c>
      <c r="V188">
        <v>2.82</v>
      </c>
      <c r="W188">
        <v>3.06</v>
      </c>
      <c r="X188">
        <v>5.4</v>
      </c>
      <c r="Y188">
        <v>18</v>
      </c>
      <c r="Z188">
        <v>5.4</v>
      </c>
    </row>
    <row r="189" spans="1:26">
      <c r="A189" t="s">
        <v>592</v>
      </c>
      <c r="B189">
        <v>63</v>
      </c>
      <c r="C189" t="s">
        <v>71</v>
      </c>
      <c r="D189" t="s">
        <v>39</v>
      </c>
      <c r="E189" t="s">
        <v>311</v>
      </c>
      <c r="F189" t="s">
        <v>268</v>
      </c>
      <c r="G189" t="s">
        <v>297</v>
      </c>
      <c r="H189" t="s">
        <v>32</v>
      </c>
      <c r="I189" t="s">
        <v>20</v>
      </c>
      <c r="J189" s="7">
        <v>44756</v>
      </c>
      <c r="K189" s="7">
        <v>45183</v>
      </c>
      <c r="L189" s="5">
        <v>100</v>
      </c>
      <c r="M189" t="s">
        <v>26</v>
      </c>
      <c r="N189" t="s">
        <v>295</v>
      </c>
      <c r="O189">
        <v>100</v>
      </c>
      <c r="P189" t="s">
        <v>205</v>
      </c>
      <c r="Q189" t="s">
        <v>27</v>
      </c>
      <c r="R189">
        <v>122</v>
      </c>
      <c r="S189">
        <v>0</v>
      </c>
      <c r="T189" t="s">
        <v>82</v>
      </c>
      <c r="U189" t="s">
        <v>63</v>
      </c>
      <c r="V189">
        <v>1.12</v>
      </c>
      <c r="W189">
        <v>2.23</v>
      </c>
      <c r="X189">
        <v>7.3</v>
      </c>
      <c r="Y189">
        <v>9.6</v>
      </c>
      <c r="Z189">
        <v>14.4</v>
      </c>
    </row>
    <row r="190" spans="1:26">
      <c r="A190" t="s">
        <v>593</v>
      </c>
      <c r="B190">
        <v>54</v>
      </c>
      <c r="C190" t="s">
        <v>44</v>
      </c>
      <c r="D190" t="s">
        <v>41</v>
      </c>
      <c r="E190" t="s">
        <v>259</v>
      </c>
      <c r="F190" t="s">
        <v>277</v>
      </c>
      <c r="G190" t="s">
        <v>281</v>
      </c>
      <c r="H190" t="s">
        <v>34</v>
      </c>
      <c r="I190" t="s">
        <v>20</v>
      </c>
      <c r="J190" s="7">
        <v>43866</v>
      </c>
      <c r="K190" s="7">
        <v>44352</v>
      </c>
      <c r="L190" s="5">
        <v>200</v>
      </c>
      <c r="M190" t="s">
        <v>25</v>
      </c>
      <c r="N190" t="s">
        <v>594</v>
      </c>
      <c r="O190">
        <v>200</v>
      </c>
      <c r="P190" t="s">
        <v>206</v>
      </c>
      <c r="Q190" t="s">
        <v>27</v>
      </c>
      <c r="R190">
        <v>160</v>
      </c>
      <c r="S190">
        <v>1</v>
      </c>
      <c r="T190" t="s">
        <v>82</v>
      </c>
      <c r="U190" t="s">
        <v>61</v>
      </c>
      <c r="V190">
        <v>4.88</v>
      </c>
      <c r="W190">
        <v>1.38</v>
      </c>
      <c r="X190">
        <v>7.1</v>
      </c>
      <c r="Y190">
        <v>14</v>
      </c>
      <c r="Z190">
        <v>17.8</v>
      </c>
    </row>
    <row r="191" spans="1:26">
      <c r="A191" t="s">
        <v>595</v>
      </c>
      <c r="B191">
        <v>67</v>
      </c>
      <c r="C191" t="s">
        <v>70</v>
      </c>
      <c r="D191" t="s">
        <v>41</v>
      </c>
      <c r="E191" t="s">
        <v>259</v>
      </c>
      <c r="F191" t="s">
        <v>277</v>
      </c>
      <c r="G191" t="s">
        <v>274</v>
      </c>
      <c r="H191" t="s">
        <v>34</v>
      </c>
      <c r="I191" t="s">
        <v>18</v>
      </c>
      <c r="J191" s="7">
        <v>45060</v>
      </c>
      <c r="K191" s="7">
        <v>45487</v>
      </c>
      <c r="L191" s="5">
        <v>150</v>
      </c>
      <c r="M191" t="s">
        <v>28</v>
      </c>
      <c r="N191" t="s">
        <v>596</v>
      </c>
      <c r="O191">
        <v>150</v>
      </c>
      <c r="P191" t="s">
        <v>211</v>
      </c>
      <c r="Q191" t="s">
        <v>150</v>
      </c>
      <c r="R191">
        <v>58</v>
      </c>
      <c r="S191">
        <v>0</v>
      </c>
      <c r="T191" t="s">
        <v>80</v>
      </c>
      <c r="U191" t="s">
        <v>61</v>
      </c>
      <c r="V191">
        <v>1.71</v>
      </c>
      <c r="W191">
        <v>3.77</v>
      </c>
      <c r="X191">
        <v>8.5</v>
      </c>
      <c r="Y191">
        <v>23</v>
      </c>
      <c r="Z191">
        <v>14.6</v>
      </c>
    </row>
    <row r="192" spans="1:26">
      <c r="A192" t="s">
        <v>597</v>
      </c>
      <c r="B192">
        <v>28</v>
      </c>
      <c r="C192" t="s">
        <v>71</v>
      </c>
      <c r="D192" t="s">
        <v>44</v>
      </c>
      <c r="E192" t="s">
        <v>150</v>
      </c>
      <c r="F192" t="s">
        <v>277</v>
      </c>
      <c r="G192" t="s">
        <v>349</v>
      </c>
      <c r="H192" t="s">
        <v>29</v>
      </c>
      <c r="I192" t="s">
        <v>18</v>
      </c>
      <c r="J192" s="7">
        <v>44889</v>
      </c>
      <c r="K192" s="7">
        <v>45375</v>
      </c>
      <c r="L192" s="5">
        <v>50</v>
      </c>
      <c r="M192" t="s">
        <v>25</v>
      </c>
      <c r="N192" t="s">
        <v>598</v>
      </c>
      <c r="O192">
        <v>50</v>
      </c>
      <c r="P192" t="s">
        <v>211</v>
      </c>
      <c r="Q192" t="s">
        <v>25</v>
      </c>
      <c r="R192">
        <v>32</v>
      </c>
      <c r="S192">
        <v>0</v>
      </c>
      <c r="T192" t="s">
        <v>82</v>
      </c>
      <c r="U192" t="s">
        <v>61</v>
      </c>
      <c r="V192">
        <v>2.99</v>
      </c>
      <c r="W192">
        <v>3.47</v>
      </c>
      <c r="X192">
        <v>8.8</v>
      </c>
      <c r="Y192">
        <v>16.3</v>
      </c>
      <c r="Z192">
        <v>3.5</v>
      </c>
    </row>
    <row r="193" spans="1:26">
      <c r="A193" t="s">
        <v>599</v>
      </c>
      <c r="B193">
        <v>83</v>
      </c>
      <c r="C193" t="s">
        <v>70</v>
      </c>
      <c r="D193" t="s">
        <v>44</v>
      </c>
      <c r="E193" t="s">
        <v>150</v>
      </c>
      <c r="F193" t="s">
        <v>264</v>
      </c>
      <c r="G193" t="s">
        <v>362</v>
      </c>
      <c r="H193" t="s">
        <v>30</v>
      </c>
      <c r="I193" t="s">
        <v>16</v>
      </c>
      <c r="J193" s="7">
        <v>45270</v>
      </c>
      <c r="K193" s="7">
        <v>45787</v>
      </c>
      <c r="L193" s="5">
        <v>150</v>
      </c>
      <c r="M193" t="s">
        <v>27</v>
      </c>
      <c r="N193" t="s">
        <v>590</v>
      </c>
      <c r="O193">
        <v>150</v>
      </c>
      <c r="P193" t="s">
        <v>206</v>
      </c>
      <c r="Q193" t="s">
        <v>25</v>
      </c>
      <c r="R193">
        <v>43</v>
      </c>
      <c r="S193">
        <v>1</v>
      </c>
      <c r="T193" t="s">
        <v>81</v>
      </c>
      <c r="U193" t="s">
        <v>63</v>
      </c>
      <c r="V193">
        <v>4.72</v>
      </c>
      <c r="W193">
        <v>3.76</v>
      </c>
      <c r="X193">
        <v>7.1</v>
      </c>
      <c r="Y193">
        <v>9.9</v>
      </c>
      <c r="Z193">
        <v>14.2</v>
      </c>
    </row>
    <row r="194" spans="1:26">
      <c r="A194" t="s">
        <v>600</v>
      </c>
      <c r="B194">
        <v>54</v>
      </c>
      <c r="C194" t="s">
        <v>70</v>
      </c>
      <c r="D194" t="s">
        <v>42</v>
      </c>
      <c r="E194" t="s">
        <v>259</v>
      </c>
      <c r="F194" t="s">
        <v>150</v>
      </c>
      <c r="G194" t="s">
        <v>322</v>
      </c>
      <c r="H194" t="s">
        <v>32</v>
      </c>
      <c r="I194" t="s">
        <v>18</v>
      </c>
      <c r="J194" s="7">
        <v>45055</v>
      </c>
      <c r="K194" s="7">
        <v>45360</v>
      </c>
      <c r="L194" s="5">
        <v>50</v>
      </c>
      <c r="M194" t="s">
        <v>28</v>
      </c>
      <c r="N194" t="s">
        <v>601</v>
      </c>
      <c r="O194">
        <v>50</v>
      </c>
      <c r="P194" t="s">
        <v>206</v>
      </c>
      <c r="Q194" t="s">
        <v>27</v>
      </c>
      <c r="R194">
        <v>124</v>
      </c>
      <c r="S194">
        <v>1</v>
      </c>
      <c r="T194" t="s">
        <v>78</v>
      </c>
      <c r="U194" t="s">
        <v>61</v>
      </c>
      <c r="V194">
        <v>2.58</v>
      </c>
      <c r="W194">
        <v>3.6</v>
      </c>
      <c r="X194">
        <v>2</v>
      </c>
      <c r="Y194">
        <v>17.8</v>
      </c>
      <c r="Z194">
        <v>20</v>
      </c>
    </row>
    <row r="195" spans="1:26">
      <c r="A195" t="s">
        <v>602</v>
      </c>
      <c r="B195">
        <v>48</v>
      </c>
      <c r="C195" t="s">
        <v>70</v>
      </c>
      <c r="D195" t="s">
        <v>41</v>
      </c>
      <c r="E195" t="s">
        <v>255</v>
      </c>
      <c r="F195" t="s">
        <v>150</v>
      </c>
      <c r="G195" t="s">
        <v>256</v>
      </c>
      <c r="H195" t="s">
        <v>29</v>
      </c>
      <c r="I195" t="s">
        <v>18</v>
      </c>
      <c r="J195" s="7">
        <v>45012</v>
      </c>
      <c r="K195" s="7">
        <v>45409</v>
      </c>
      <c r="L195" s="5">
        <v>200</v>
      </c>
      <c r="M195" t="s">
        <v>26</v>
      </c>
      <c r="N195" t="s">
        <v>603</v>
      </c>
      <c r="O195">
        <v>200</v>
      </c>
      <c r="P195" t="s">
        <v>205</v>
      </c>
      <c r="Q195" t="s">
        <v>26</v>
      </c>
      <c r="R195">
        <v>83</v>
      </c>
      <c r="S195">
        <v>0</v>
      </c>
      <c r="T195" t="s">
        <v>80</v>
      </c>
      <c r="U195" t="s">
        <v>61</v>
      </c>
      <c r="V195">
        <v>1.19</v>
      </c>
      <c r="W195">
        <v>4.91</v>
      </c>
      <c r="X195">
        <v>4.7</v>
      </c>
      <c r="Y195">
        <v>21.7</v>
      </c>
      <c r="Z195">
        <v>16.3</v>
      </c>
    </row>
    <row r="196" spans="1:26">
      <c r="A196" t="s">
        <v>604</v>
      </c>
      <c r="B196">
        <v>24</v>
      </c>
      <c r="C196" t="s">
        <v>44</v>
      </c>
      <c r="D196" t="s">
        <v>39</v>
      </c>
      <c r="E196" t="s">
        <v>311</v>
      </c>
      <c r="F196" t="s">
        <v>260</v>
      </c>
      <c r="G196" t="s">
        <v>297</v>
      </c>
      <c r="H196" t="s">
        <v>34</v>
      </c>
      <c r="I196" t="s">
        <v>19</v>
      </c>
      <c r="J196" s="7">
        <v>44920</v>
      </c>
      <c r="K196" s="7">
        <v>45347</v>
      </c>
      <c r="L196" s="5">
        <v>100</v>
      </c>
      <c r="M196" t="s">
        <v>27</v>
      </c>
      <c r="N196" t="s">
        <v>481</v>
      </c>
      <c r="O196">
        <v>100</v>
      </c>
      <c r="P196" t="s">
        <v>206</v>
      </c>
      <c r="Q196" t="s">
        <v>25</v>
      </c>
      <c r="R196">
        <v>141</v>
      </c>
      <c r="S196">
        <v>1</v>
      </c>
      <c r="T196" t="s">
        <v>83</v>
      </c>
      <c r="U196" t="s">
        <v>61</v>
      </c>
      <c r="V196">
        <v>3.27</v>
      </c>
      <c r="W196">
        <v>3.95</v>
      </c>
      <c r="X196">
        <v>8.9</v>
      </c>
      <c r="Y196">
        <v>13.3</v>
      </c>
      <c r="Z196">
        <v>8.6</v>
      </c>
    </row>
    <row r="197" spans="1:26">
      <c r="A197" t="s">
        <v>605</v>
      </c>
      <c r="B197">
        <v>75</v>
      </c>
      <c r="C197" t="s">
        <v>70</v>
      </c>
      <c r="D197" t="s">
        <v>39</v>
      </c>
      <c r="E197" t="s">
        <v>255</v>
      </c>
      <c r="F197" t="s">
        <v>150</v>
      </c>
      <c r="G197" t="s">
        <v>291</v>
      </c>
      <c r="H197" t="s">
        <v>29</v>
      </c>
      <c r="I197" t="s">
        <v>19</v>
      </c>
      <c r="J197" s="7">
        <v>44855</v>
      </c>
      <c r="K197" s="7">
        <v>45159</v>
      </c>
      <c r="L197" s="5">
        <v>150</v>
      </c>
      <c r="M197" t="s">
        <v>150</v>
      </c>
      <c r="N197" t="s">
        <v>606</v>
      </c>
      <c r="O197">
        <v>150</v>
      </c>
      <c r="P197" t="s">
        <v>205</v>
      </c>
      <c r="Q197" t="s">
        <v>25</v>
      </c>
      <c r="R197">
        <v>130</v>
      </c>
      <c r="S197">
        <v>0</v>
      </c>
      <c r="T197" t="s">
        <v>82</v>
      </c>
      <c r="U197" t="s">
        <v>63</v>
      </c>
      <c r="V197">
        <v>3.67</v>
      </c>
      <c r="W197">
        <v>4.23</v>
      </c>
      <c r="X197">
        <v>7.9</v>
      </c>
      <c r="Y197">
        <v>20.4</v>
      </c>
      <c r="Z197">
        <v>10.4</v>
      </c>
    </row>
    <row r="198" spans="1:26">
      <c r="A198" t="s">
        <v>607</v>
      </c>
      <c r="B198">
        <v>42</v>
      </c>
      <c r="C198" t="s">
        <v>44</v>
      </c>
      <c r="D198" t="s">
        <v>39</v>
      </c>
      <c r="E198" t="s">
        <v>259</v>
      </c>
      <c r="F198" t="s">
        <v>277</v>
      </c>
      <c r="G198" t="s">
        <v>312</v>
      </c>
      <c r="H198" t="s">
        <v>29</v>
      </c>
      <c r="I198" t="s">
        <v>16</v>
      </c>
      <c r="J198" s="7">
        <v>44609</v>
      </c>
      <c r="K198" s="7">
        <v>44821</v>
      </c>
      <c r="L198" s="5">
        <v>200</v>
      </c>
      <c r="M198" t="s">
        <v>26</v>
      </c>
      <c r="N198" t="s">
        <v>608</v>
      </c>
      <c r="O198">
        <v>200</v>
      </c>
      <c r="P198" t="s">
        <v>206</v>
      </c>
      <c r="Q198" t="s">
        <v>28</v>
      </c>
      <c r="R198">
        <v>36</v>
      </c>
      <c r="S198">
        <v>1</v>
      </c>
      <c r="T198" t="s">
        <v>80</v>
      </c>
      <c r="U198" t="s">
        <v>63</v>
      </c>
      <c r="V198">
        <v>4.27</v>
      </c>
      <c r="W198">
        <v>1.48</v>
      </c>
      <c r="X198">
        <v>5.9</v>
      </c>
      <c r="Y198">
        <v>6.1</v>
      </c>
      <c r="Z198">
        <v>8.5</v>
      </c>
    </row>
    <row r="199" spans="1:26">
      <c r="A199" t="s">
        <v>609</v>
      </c>
      <c r="B199">
        <v>25</v>
      </c>
      <c r="C199" t="s">
        <v>44</v>
      </c>
      <c r="D199" t="s">
        <v>41</v>
      </c>
      <c r="E199" t="s">
        <v>255</v>
      </c>
      <c r="F199" t="s">
        <v>150</v>
      </c>
      <c r="G199" t="s">
        <v>284</v>
      </c>
      <c r="H199" t="s">
        <v>29</v>
      </c>
      <c r="I199" t="s">
        <v>18</v>
      </c>
      <c r="J199" s="7">
        <v>44890</v>
      </c>
      <c r="K199" s="7">
        <v>45376</v>
      </c>
      <c r="L199" s="5">
        <v>100</v>
      </c>
      <c r="M199" t="s">
        <v>26</v>
      </c>
      <c r="N199" t="s">
        <v>608</v>
      </c>
      <c r="O199">
        <v>100</v>
      </c>
      <c r="P199" t="s">
        <v>211</v>
      </c>
      <c r="Q199" t="s">
        <v>27</v>
      </c>
      <c r="R199">
        <v>49</v>
      </c>
      <c r="S199">
        <v>0</v>
      </c>
      <c r="T199" t="s">
        <v>82</v>
      </c>
      <c r="U199" t="s">
        <v>61</v>
      </c>
      <c r="V199">
        <v>2.47</v>
      </c>
      <c r="W199">
        <v>2.58</v>
      </c>
      <c r="X199">
        <v>7.3</v>
      </c>
      <c r="Y199">
        <v>13</v>
      </c>
      <c r="Z199">
        <v>10.6</v>
      </c>
    </row>
    <row r="200" spans="1:26">
      <c r="A200" t="s">
        <v>610</v>
      </c>
      <c r="B200">
        <v>72</v>
      </c>
      <c r="C200" t="s">
        <v>44</v>
      </c>
      <c r="D200" t="s">
        <v>39</v>
      </c>
      <c r="E200" t="s">
        <v>150</v>
      </c>
      <c r="F200" t="s">
        <v>277</v>
      </c>
      <c r="G200" t="s">
        <v>322</v>
      </c>
      <c r="H200" t="s">
        <v>29</v>
      </c>
      <c r="I200" t="s">
        <v>20</v>
      </c>
      <c r="J200" s="7">
        <v>44714</v>
      </c>
      <c r="K200" s="7">
        <v>45018</v>
      </c>
      <c r="L200" s="5">
        <v>150</v>
      </c>
      <c r="M200" t="s">
        <v>27</v>
      </c>
      <c r="N200" t="s">
        <v>567</v>
      </c>
      <c r="O200">
        <v>150</v>
      </c>
      <c r="P200" t="s">
        <v>211</v>
      </c>
      <c r="Q200" t="s">
        <v>26</v>
      </c>
      <c r="R200">
        <v>130</v>
      </c>
      <c r="S200">
        <v>0</v>
      </c>
      <c r="T200" t="s">
        <v>78</v>
      </c>
      <c r="U200" t="s">
        <v>61</v>
      </c>
      <c r="V200">
        <v>1.95</v>
      </c>
      <c r="W200">
        <v>2.49</v>
      </c>
      <c r="X200">
        <v>3</v>
      </c>
      <c r="Y200">
        <v>7.3</v>
      </c>
      <c r="Z200">
        <v>13.3</v>
      </c>
    </row>
    <row r="201" spans="1:26">
      <c r="A201" t="s">
        <v>611</v>
      </c>
      <c r="B201">
        <v>31</v>
      </c>
      <c r="C201" t="s">
        <v>71</v>
      </c>
      <c r="D201" t="s">
        <v>44</v>
      </c>
      <c r="E201" t="s">
        <v>272</v>
      </c>
      <c r="F201" t="s">
        <v>277</v>
      </c>
      <c r="G201" t="s">
        <v>431</v>
      </c>
      <c r="H201" t="s">
        <v>32</v>
      </c>
      <c r="I201" t="s">
        <v>16</v>
      </c>
      <c r="J201" s="7">
        <v>43499</v>
      </c>
      <c r="K201" s="7">
        <v>43954</v>
      </c>
      <c r="L201" s="5">
        <v>150</v>
      </c>
      <c r="M201" t="s">
        <v>28</v>
      </c>
      <c r="N201" t="s">
        <v>289</v>
      </c>
      <c r="O201">
        <v>150</v>
      </c>
      <c r="P201" t="s">
        <v>205</v>
      </c>
      <c r="Q201" t="s">
        <v>28</v>
      </c>
      <c r="R201">
        <v>39</v>
      </c>
      <c r="S201">
        <v>0</v>
      </c>
      <c r="T201" t="s">
        <v>82</v>
      </c>
      <c r="U201" t="s">
        <v>61</v>
      </c>
      <c r="V201">
        <v>3.67</v>
      </c>
      <c r="W201">
        <v>3.48</v>
      </c>
      <c r="X201">
        <v>5.2</v>
      </c>
      <c r="Y201">
        <v>12.8</v>
      </c>
      <c r="Z201">
        <v>17.7</v>
      </c>
    </row>
    <row r="202" spans="1:26">
      <c r="A202" t="s">
        <v>612</v>
      </c>
      <c r="B202">
        <v>37</v>
      </c>
      <c r="C202" t="s">
        <v>44</v>
      </c>
      <c r="D202" t="s">
        <v>39</v>
      </c>
      <c r="E202" t="s">
        <v>272</v>
      </c>
      <c r="F202" t="s">
        <v>150</v>
      </c>
      <c r="G202" t="s">
        <v>349</v>
      </c>
      <c r="H202" t="s">
        <v>34</v>
      </c>
      <c r="I202" t="s">
        <v>20</v>
      </c>
      <c r="J202" s="7">
        <v>44770</v>
      </c>
      <c r="K202" s="7">
        <v>45288</v>
      </c>
      <c r="L202" s="5">
        <v>50</v>
      </c>
      <c r="M202" t="s">
        <v>26</v>
      </c>
      <c r="N202" t="s">
        <v>433</v>
      </c>
      <c r="O202">
        <v>50</v>
      </c>
      <c r="P202" t="s">
        <v>211</v>
      </c>
      <c r="Q202" t="s">
        <v>28</v>
      </c>
      <c r="R202">
        <v>175</v>
      </c>
      <c r="S202">
        <v>0</v>
      </c>
      <c r="T202" t="s">
        <v>80</v>
      </c>
      <c r="U202" t="s">
        <v>61</v>
      </c>
      <c r="V202">
        <v>3.08</v>
      </c>
      <c r="W202">
        <v>2.92</v>
      </c>
      <c r="X202">
        <v>1.2</v>
      </c>
      <c r="Y202">
        <v>12.1</v>
      </c>
      <c r="Z202">
        <v>9.5</v>
      </c>
    </row>
    <row r="203" spans="1:26">
      <c r="A203" t="s">
        <v>613</v>
      </c>
      <c r="B203">
        <v>60</v>
      </c>
      <c r="C203" t="s">
        <v>44</v>
      </c>
      <c r="D203" t="s">
        <v>39</v>
      </c>
      <c r="E203" t="s">
        <v>272</v>
      </c>
      <c r="F203" t="s">
        <v>277</v>
      </c>
      <c r="G203" t="s">
        <v>327</v>
      </c>
      <c r="H203" t="s">
        <v>32</v>
      </c>
      <c r="I203" t="s">
        <v>16</v>
      </c>
      <c r="J203" s="7">
        <v>44702</v>
      </c>
      <c r="K203" s="7">
        <v>44978</v>
      </c>
      <c r="L203" s="5">
        <v>100</v>
      </c>
      <c r="M203" t="s">
        <v>28</v>
      </c>
      <c r="N203" t="s">
        <v>295</v>
      </c>
      <c r="O203">
        <v>100</v>
      </c>
      <c r="P203" t="s">
        <v>211</v>
      </c>
      <c r="Q203" t="s">
        <v>27</v>
      </c>
      <c r="R203">
        <v>57</v>
      </c>
      <c r="S203">
        <v>0</v>
      </c>
      <c r="T203" t="s">
        <v>81</v>
      </c>
      <c r="U203" t="s">
        <v>61</v>
      </c>
      <c r="V203">
        <v>2.6</v>
      </c>
      <c r="W203">
        <v>3.32</v>
      </c>
      <c r="X203">
        <v>5.8</v>
      </c>
      <c r="Y203">
        <v>16.9</v>
      </c>
      <c r="Z203">
        <v>16</v>
      </c>
    </row>
    <row r="204" spans="1:26">
      <c r="A204" t="s">
        <v>614</v>
      </c>
      <c r="B204">
        <v>28</v>
      </c>
      <c r="C204" t="s">
        <v>44</v>
      </c>
      <c r="D204" t="s">
        <v>43</v>
      </c>
      <c r="E204" t="s">
        <v>259</v>
      </c>
      <c r="F204" t="s">
        <v>273</v>
      </c>
      <c r="G204" t="s">
        <v>312</v>
      </c>
      <c r="H204" t="s">
        <v>30</v>
      </c>
      <c r="I204" t="s">
        <v>20</v>
      </c>
      <c r="J204" s="7">
        <v>44618</v>
      </c>
      <c r="K204" s="7">
        <v>45042</v>
      </c>
      <c r="L204" s="5">
        <v>150</v>
      </c>
      <c r="M204" t="s">
        <v>25</v>
      </c>
      <c r="N204" t="s">
        <v>354</v>
      </c>
      <c r="O204">
        <v>150</v>
      </c>
      <c r="P204" t="s">
        <v>206</v>
      </c>
      <c r="Q204" t="s">
        <v>150</v>
      </c>
      <c r="R204">
        <v>44</v>
      </c>
      <c r="S204">
        <v>1</v>
      </c>
      <c r="T204" t="s">
        <v>81</v>
      </c>
      <c r="U204" t="s">
        <v>63</v>
      </c>
      <c r="V204">
        <v>4.25</v>
      </c>
      <c r="W204">
        <v>3.87</v>
      </c>
      <c r="X204">
        <v>9.6</v>
      </c>
      <c r="Y204">
        <v>6.3</v>
      </c>
      <c r="Z204">
        <v>6.3</v>
      </c>
    </row>
    <row r="205" spans="1:26">
      <c r="A205" t="s">
        <v>615</v>
      </c>
      <c r="B205">
        <v>69</v>
      </c>
      <c r="C205" t="s">
        <v>71</v>
      </c>
      <c r="D205" t="s">
        <v>41</v>
      </c>
      <c r="E205" t="s">
        <v>255</v>
      </c>
      <c r="F205" t="s">
        <v>268</v>
      </c>
      <c r="G205" t="s">
        <v>281</v>
      </c>
      <c r="H205" t="s">
        <v>30</v>
      </c>
      <c r="I205" t="s">
        <v>16</v>
      </c>
      <c r="J205" s="7">
        <v>43804</v>
      </c>
      <c r="K205" s="7">
        <v>44201</v>
      </c>
      <c r="L205" s="5">
        <v>50</v>
      </c>
      <c r="M205" t="s">
        <v>25</v>
      </c>
      <c r="N205" t="s">
        <v>616</v>
      </c>
      <c r="O205">
        <v>50</v>
      </c>
      <c r="P205" t="s">
        <v>205</v>
      </c>
      <c r="Q205" t="s">
        <v>26</v>
      </c>
      <c r="R205">
        <v>33</v>
      </c>
      <c r="S205">
        <v>0</v>
      </c>
      <c r="T205" t="s">
        <v>78</v>
      </c>
      <c r="U205" t="s">
        <v>63</v>
      </c>
      <c r="V205">
        <v>1.03</v>
      </c>
      <c r="W205">
        <v>3.59</v>
      </c>
      <c r="X205">
        <v>9.1</v>
      </c>
      <c r="Y205">
        <v>10.4</v>
      </c>
      <c r="Z205">
        <v>18.8</v>
      </c>
    </row>
    <row r="206" spans="1:26">
      <c r="A206" t="s">
        <v>617</v>
      </c>
      <c r="B206">
        <v>57</v>
      </c>
      <c r="C206" t="s">
        <v>71</v>
      </c>
      <c r="D206" t="s">
        <v>43</v>
      </c>
      <c r="E206" t="s">
        <v>255</v>
      </c>
      <c r="F206" t="s">
        <v>268</v>
      </c>
      <c r="G206" t="s">
        <v>294</v>
      </c>
      <c r="H206" t="s">
        <v>29</v>
      </c>
      <c r="I206" t="s">
        <v>16</v>
      </c>
      <c r="J206" s="7">
        <v>44860</v>
      </c>
      <c r="K206" s="7">
        <v>45317</v>
      </c>
      <c r="L206" s="5">
        <v>100</v>
      </c>
      <c r="M206" t="s">
        <v>26</v>
      </c>
      <c r="N206" t="s">
        <v>569</v>
      </c>
      <c r="O206">
        <v>100</v>
      </c>
      <c r="P206" t="s">
        <v>211</v>
      </c>
      <c r="Q206" t="s">
        <v>27</v>
      </c>
      <c r="R206">
        <v>113</v>
      </c>
      <c r="S206">
        <v>0</v>
      </c>
      <c r="T206" t="s">
        <v>83</v>
      </c>
      <c r="U206" t="s">
        <v>63</v>
      </c>
      <c r="V206">
        <v>1.24</v>
      </c>
      <c r="W206">
        <v>4.74</v>
      </c>
      <c r="X206">
        <v>4.2</v>
      </c>
      <c r="Y206">
        <v>7.8</v>
      </c>
      <c r="Z206">
        <v>11.3</v>
      </c>
    </row>
    <row r="207" spans="1:26">
      <c r="A207" t="s">
        <v>618</v>
      </c>
      <c r="B207">
        <v>59</v>
      </c>
      <c r="C207" t="s">
        <v>71</v>
      </c>
      <c r="D207" t="s">
        <v>42</v>
      </c>
      <c r="E207" t="s">
        <v>255</v>
      </c>
      <c r="F207" t="s">
        <v>277</v>
      </c>
      <c r="G207" t="s">
        <v>284</v>
      </c>
      <c r="H207" t="s">
        <v>32</v>
      </c>
      <c r="I207" t="s">
        <v>18</v>
      </c>
      <c r="J207" s="7">
        <v>44643</v>
      </c>
      <c r="K207" s="7">
        <v>44980</v>
      </c>
      <c r="L207" s="5">
        <v>100</v>
      </c>
      <c r="M207" t="s">
        <v>26</v>
      </c>
      <c r="N207" t="s">
        <v>340</v>
      </c>
      <c r="O207">
        <v>100</v>
      </c>
      <c r="P207" t="s">
        <v>206</v>
      </c>
      <c r="Q207" t="s">
        <v>25</v>
      </c>
      <c r="R207">
        <v>126</v>
      </c>
      <c r="S207">
        <v>1</v>
      </c>
      <c r="T207" t="s">
        <v>78</v>
      </c>
      <c r="U207" t="s">
        <v>63</v>
      </c>
      <c r="V207">
        <v>2.03</v>
      </c>
      <c r="W207">
        <v>2.14</v>
      </c>
      <c r="X207">
        <v>3.8</v>
      </c>
      <c r="Y207">
        <v>20.5</v>
      </c>
      <c r="Z207">
        <v>12.2</v>
      </c>
    </row>
    <row r="208" spans="1:26">
      <c r="A208" t="s">
        <v>619</v>
      </c>
      <c r="B208">
        <v>80</v>
      </c>
      <c r="C208" t="s">
        <v>71</v>
      </c>
      <c r="D208" t="s">
        <v>42</v>
      </c>
      <c r="E208" t="s">
        <v>311</v>
      </c>
      <c r="F208" t="s">
        <v>277</v>
      </c>
      <c r="G208" t="s">
        <v>274</v>
      </c>
      <c r="H208" t="s">
        <v>32</v>
      </c>
      <c r="I208" t="s">
        <v>20</v>
      </c>
      <c r="J208" s="7">
        <v>44900</v>
      </c>
      <c r="K208" s="7">
        <v>45174</v>
      </c>
      <c r="L208" s="5">
        <v>100</v>
      </c>
      <c r="M208" t="s">
        <v>150</v>
      </c>
      <c r="N208" t="s">
        <v>620</v>
      </c>
      <c r="O208">
        <v>100</v>
      </c>
      <c r="P208" t="s">
        <v>206</v>
      </c>
      <c r="Q208" t="s">
        <v>25</v>
      </c>
      <c r="R208">
        <v>39</v>
      </c>
      <c r="S208">
        <v>1</v>
      </c>
      <c r="T208" t="s">
        <v>80</v>
      </c>
      <c r="U208" t="s">
        <v>63</v>
      </c>
      <c r="V208">
        <v>2.25</v>
      </c>
      <c r="W208">
        <v>3.44</v>
      </c>
      <c r="X208">
        <v>7.4</v>
      </c>
      <c r="Y208">
        <v>10.9</v>
      </c>
      <c r="Z208">
        <v>10</v>
      </c>
    </row>
    <row r="209" spans="1:26">
      <c r="A209" t="s">
        <v>621</v>
      </c>
      <c r="B209">
        <v>81</v>
      </c>
      <c r="C209" t="s">
        <v>44</v>
      </c>
      <c r="D209" t="s">
        <v>42</v>
      </c>
      <c r="E209" t="s">
        <v>150</v>
      </c>
      <c r="F209" t="s">
        <v>277</v>
      </c>
      <c r="G209" t="s">
        <v>319</v>
      </c>
      <c r="H209" t="s">
        <v>30</v>
      </c>
      <c r="I209" t="s">
        <v>18</v>
      </c>
      <c r="J209" s="7">
        <v>43712</v>
      </c>
      <c r="K209" s="7">
        <v>44169</v>
      </c>
      <c r="L209" s="5">
        <v>150</v>
      </c>
      <c r="M209" t="s">
        <v>25</v>
      </c>
      <c r="N209" t="s">
        <v>380</v>
      </c>
      <c r="O209">
        <v>150</v>
      </c>
      <c r="P209" t="s">
        <v>205</v>
      </c>
      <c r="Q209" t="s">
        <v>26</v>
      </c>
      <c r="R209">
        <v>100</v>
      </c>
      <c r="S209">
        <v>0</v>
      </c>
      <c r="T209" t="s">
        <v>83</v>
      </c>
      <c r="U209" t="s">
        <v>63</v>
      </c>
      <c r="V209">
        <v>1.49</v>
      </c>
      <c r="W209">
        <v>1.72</v>
      </c>
      <c r="X209">
        <v>7.1</v>
      </c>
      <c r="Y209">
        <v>9.3</v>
      </c>
      <c r="Z209">
        <v>11.9</v>
      </c>
    </row>
    <row r="210" spans="1:26">
      <c r="A210" t="s">
        <v>622</v>
      </c>
      <c r="B210">
        <v>32</v>
      </c>
      <c r="C210" t="s">
        <v>71</v>
      </c>
      <c r="D210" t="s">
        <v>43</v>
      </c>
      <c r="E210" t="s">
        <v>272</v>
      </c>
      <c r="F210" t="s">
        <v>277</v>
      </c>
      <c r="G210" t="s">
        <v>291</v>
      </c>
      <c r="H210" t="s">
        <v>32</v>
      </c>
      <c r="I210" t="s">
        <v>19</v>
      </c>
      <c r="J210" s="7">
        <v>44021</v>
      </c>
      <c r="K210" s="7">
        <v>44356</v>
      </c>
      <c r="L210" s="5">
        <v>200</v>
      </c>
      <c r="M210" t="s">
        <v>28</v>
      </c>
      <c r="N210" t="s">
        <v>601</v>
      </c>
      <c r="O210">
        <v>200</v>
      </c>
      <c r="P210" t="s">
        <v>206</v>
      </c>
      <c r="Q210" t="s">
        <v>25</v>
      </c>
      <c r="R210">
        <v>75</v>
      </c>
      <c r="S210">
        <v>1</v>
      </c>
      <c r="T210" t="s">
        <v>78</v>
      </c>
      <c r="U210" t="s">
        <v>63</v>
      </c>
      <c r="V210">
        <v>3.84</v>
      </c>
      <c r="W210">
        <v>1.43</v>
      </c>
      <c r="X210">
        <v>6.1</v>
      </c>
      <c r="Y210">
        <v>10.6</v>
      </c>
      <c r="Z210">
        <v>19.4</v>
      </c>
    </row>
    <row r="211" spans="1:26">
      <c r="A211" t="s">
        <v>623</v>
      </c>
      <c r="B211">
        <v>80</v>
      </c>
      <c r="C211" t="s">
        <v>44</v>
      </c>
      <c r="D211" t="s">
        <v>42</v>
      </c>
      <c r="E211" t="s">
        <v>311</v>
      </c>
      <c r="F211" t="s">
        <v>150</v>
      </c>
      <c r="G211" t="s">
        <v>431</v>
      </c>
      <c r="H211" t="s">
        <v>32</v>
      </c>
      <c r="I211" t="s">
        <v>20</v>
      </c>
      <c r="J211" s="7">
        <v>44187</v>
      </c>
      <c r="K211" s="7">
        <v>44522</v>
      </c>
      <c r="L211" s="5">
        <v>100</v>
      </c>
      <c r="M211" t="s">
        <v>150</v>
      </c>
      <c r="N211" t="s">
        <v>358</v>
      </c>
      <c r="O211">
        <v>100</v>
      </c>
      <c r="P211" t="s">
        <v>206</v>
      </c>
      <c r="Q211" t="s">
        <v>26</v>
      </c>
      <c r="R211">
        <v>135</v>
      </c>
      <c r="S211">
        <v>1</v>
      </c>
      <c r="T211" t="s">
        <v>78</v>
      </c>
      <c r="U211" t="s">
        <v>61</v>
      </c>
      <c r="V211">
        <v>2.93</v>
      </c>
      <c r="W211">
        <v>4.22</v>
      </c>
      <c r="X211">
        <v>6</v>
      </c>
      <c r="Y211">
        <v>6.8</v>
      </c>
      <c r="Z211">
        <v>13.8</v>
      </c>
    </row>
    <row r="212" spans="1:26">
      <c r="A212" t="s">
        <v>624</v>
      </c>
      <c r="B212">
        <v>46</v>
      </c>
      <c r="C212" t="s">
        <v>71</v>
      </c>
      <c r="D212" t="s">
        <v>43</v>
      </c>
      <c r="E212" t="s">
        <v>255</v>
      </c>
      <c r="F212" t="s">
        <v>260</v>
      </c>
      <c r="G212" t="s">
        <v>281</v>
      </c>
      <c r="H212" t="s">
        <v>30</v>
      </c>
      <c r="I212" t="s">
        <v>20</v>
      </c>
      <c r="J212" s="7">
        <v>44024</v>
      </c>
      <c r="K212" s="7">
        <v>44267</v>
      </c>
      <c r="L212" s="5">
        <v>200</v>
      </c>
      <c r="M212" t="s">
        <v>26</v>
      </c>
      <c r="N212" t="s">
        <v>404</v>
      </c>
      <c r="O212">
        <v>200</v>
      </c>
      <c r="P212" t="s">
        <v>211</v>
      </c>
      <c r="Q212" t="s">
        <v>26</v>
      </c>
      <c r="R212">
        <v>38</v>
      </c>
      <c r="S212">
        <v>0</v>
      </c>
      <c r="T212" t="s">
        <v>80</v>
      </c>
      <c r="U212" t="s">
        <v>63</v>
      </c>
      <c r="V212">
        <v>4.81</v>
      </c>
      <c r="W212">
        <v>3.41</v>
      </c>
      <c r="X212">
        <v>8.4</v>
      </c>
      <c r="Y212">
        <v>21.9</v>
      </c>
      <c r="Z212">
        <v>6.9</v>
      </c>
    </row>
    <row r="213" spans="1:26">
      <c r="A213" t="s">
        <v>625</v>
      </c>
      <c r="B213">
        <v>53</v>
      </c>
      <c r="C213" t="s">
        <v>71</v>
      </c>
      <c r="D213" t="s">
        <v>42</v>
      </c>
      <c r="E213" t="s">
        <v>272</v>
      </c>
      <c r="F213" t="s">
        <v>273</v>
      </c>
      <c r="G213" t="s">
        <v>256</v>
      </c>
      <c r="H213" t="s">
        <v>30</v>
      </c>
      <c r="I213" t="s">
        <v>19</v>
      </c>
      <c r="J213" s="7">
        <v>45011</v>
      </c>
      <c r="K213" s="7">
        <v>45561</v>
      </c>
      <c r="L213" s="5">
        <v>100</v>
      </c>
      <c r="M213" t="s">
        <v>25</v>
      </c>
      <c r="N213" t="s">
        <v>486</v>
      </c>
      <c r="O213">
        <v>100</v>
      </c>
      <c r="P213" t="s">
        <v>205</v>
      </c>
      <c r="Q213" t="s">
        <v>27</v>
      </c>
      <c r="R213">
        <v>85</v>
      </c>
      <c r="S213">
        <v>0</v>
      </c>
      <c r="T213" t="s">
        <v>80</v>
      </c>
      <c r="U213" t="s">
        <v>61</v>
      </c>
      <c r="V213">
        <v>1.85</v>
      </c>
      <c r="W213">
        <v>3.44</v>
      </c>
      <c r="X213">
        <v>4.7</v>
      </c>
      <c r="Y213">
        <v>21.1</v>
      </c>
      <c r="Z213">
        <v>18.3</v>
      </c>
    </row>
    <row r="214" spans="1:26">
      <c r="A214" t="s">
        <v>626</v>
      </c>
      <c r="B214">
        <v>77</v>
      </c>
      <c r="C214" t="s">
        <v>70</v>
      </c>
      <c r="D214" t="s">
        <v>42</v>
      </c>
      <c r="E214" t="s">
        <v>272</v>
      </c>
      <c r="F214" t="s">
        <v>150</v>
      </c>
      <c r="G214" t="s">
        <v>265</v>
      </c>
      <c r="H214" t="s">
        <v>30</v>
      </c>
      <c r="I214" t="s">
        <v>19</v>
      </c>
      <c r="J214" s="7">
        <v>44842</v>
      </c>
      <c r="K214" s="7">
        <v>45299</v>
      </c>
      <c r="L214" s="5">
        <v>100</v>
      </c>
      <c r="M214" t="s">
        <v>28</v>
      </c>
      <c r="N214" t="s">
        <v>438</v>
      </c>
      <c r="O214">
        <v>100</v>
      </c>
      <c r="P214" t="s">
        <v>211</v>
      </c>
      <c r="Q214" t="s">
        <v>25</v>
      </c>
      <c r="R214">
        <v>38</v>
      </c>
      <c r="S214">
        <v>0</v>
      </c>
      <c r="T214" t="s">
        <v>82</v>
      </c>
      <c r="U214" t="s">
        <v>61</v>
      </c>
      <c r="V214">
        <v>2.41</v>
      </c>
      <c r="W214">
        <v>1.95</v>
      </c>
      <c r="X214">
        <v>8</v>
      </c>
      <c r="Y214">
        <v>10.9</v>
      </c>
      <c r="Z214">
        <v>17</v>
      </c>
    </row>
    <row r="215" spans="1:26">
      <c r="A215" t="s">
        <v>627</v>
      </c>
      <c r="B215">
        <v>79</v>
      </c>
      <c r="C215" t="s">
        <v>44</v>
      </c>
      <c r="D215" t="s">
        <v>42</v>
      </c>
      <c r="E215" t="s">
        <v>272</v>
      </c>
      <c r="F215" t="s">
        <v>277</v>
      </c>
      <c r="G215" t="s">
        <v>319</v>
      </c>
      <c r="H215" t="s">
        <v>29</v>
      </c>
      <c r="I215" t="s">
        <v>20</v>
      </c>
      <c r="J215" s="7">
        <v>43902</v>
      </c>
      <c r="K215" s="7">
        <v>44208</v>
      </c>
      <c r="L215" s="5">
        <v>100</v>
      </c>
      <c r="M215" t="s">
        <v>28</v>
      </c>
      <c r="N215" t="s">
        <v>473</v>
      </c>
      <c r="O215">
        <v>100</v>
      </c>
      <c r="P215" t="s">
        <v>211</v>
      </c>
      <c r="Q215" t="s">
        <v>26</v>
      </c>
      <c r="R215">
        <v>147</v>
      </c>
      <c r="S215">
        <v>0</v>
      </c>
      <c r="T215" t="s">
        <v>80</v>
      </c>
      <c r="U215" t="s">
        <v>63</v>
      </c>
      <c r="V215">
        <v>2.69</v>
      </c>
      <c r="W215">
        <v>3.67</v>
      </c>
      <c r="X215">
        <v>1.9</v>
      </c>
      <c r="Y215">
        <v>17.2</v>
      </c>
      <c r="Z215">
        <v>10.7</v>
      </c>
    </row>
    <row r="216" spans="1:26">
      <c r="A216" t="s">
        <v>628</v>
      </c>
      <c r="B216">
        <v>76</v>
      </c>
      <c r="C216" t="s">
        <v>70</v>
      </c>
      <c r="D216" t="s">
        <v>41</v>
      </c>
      <c r="E216" t="s">
        <v>272</v>
      </c>
      <c r="F216" t="s">
        <v>264</v>
      </c>
      <c r="G216" t="s">
        <v>431</v>
      </c>
      <c r="H216" t="s">
        <v>29</v>
      </c>
      <c r="I216" t="s">
        <v>16</v>
      </c>
      <c r="J216" s="7">
        <v>44906</v>
      </c>
      <c r="K216" s="7">
        <v>45333</v>
      </c>
      <c r="L216" s="5">
        <v>50</v>
      </c>
      <c r="M216" t="s">
        <v>27</v>
      </c>
      <c r="N216" t="s">
        <v>307</v>
      </c>
      <c r="O216">
        <v>50</v>
      </c>
      <c r="P216" t="s">
        <v>205</v>
      </c>
      <c r="Q216" t="s">
        <v>25</v>
      </c>
      <c r="R216">
        <v>177</v>
      </c>
      <c r="S216">
        <v>0</v>
      </c>
      <c r="T216" t="s">
        <v>78</v>
      </c>
      <c r="U216" t="s">
        <v>63</v>
      </c>
      <c r="V216">
        <v>3.35</v>
      </c>
      <c r="W216">
        <v>1.67</v>
      </c>
      <c r="X216">
        <v>7.6</v>
      </c>
      <c r="Y216">
        <v>21.5</v>
      </c>
      <c r="Z216">
        <v>6.7</v>
      </c>
    </row>
    <row r="217" spans="1:26">
      <c r="A217" t="s">
        <v>629</v>
      </c>
      <c r="B217">
        <v>60</v>
      </c>
      <c r="C217" t="s">
        <v>44</v>
      </c>
      <c r="D217" t="s">
        <v>42</v>
      </c>
      <c r="E217" t="s">
        <v>255</v>
      </c>
      <c r="F217" t="s">
        <v>150</v>
      </c>
      <c r="G217" t="s">
        <v>327</v>
      </c>
      <c r="H217" t="s">
        <v>29</v>
      </c>
      <c r="I217" t="s">
        <v>16</v>
      </c>
      <c r="J217" s="7">
        <v>44727</v>
      </c>
      <c r="K217" s="7">
        <v>45184</v>
      </c>
      <c r="L217" s="5">
        <v>50</v>
      </c>
      <c r="M217" t="s">
        <v>150</v>
      </c>
      <c r="N217" t="s">
        <v>292</v>
      </c>
      <c r="O217">
        <v>50</v>
      </c>
      <c r="P217" t="s">
        <v>205</v>
      </c>
      <c r="Q217" t="s">
        <v>28</v>
      </c>
      <c r="R217">
        <v>173</v>
      </c>
      <c r="S217">
        <v>0</v>
      </c>
      <c r="T217" t="s">
        <v>78</v>
      </c>
      <c r="U217" t="s">
        <v>63</v>
      </c>
      <c r="V217">
        <v>1.38</v>
      </c>
      <c r="W217">
        <v>1.09</v>
      </c>
      <c r="X217">
        <v>6.8</v>
      </c>
      <c r="Y217">
        <v>16.9</v>
      </c>
      <c r="Z217">
        <v>12.3</v>
      </c>
    </row>
    <row r="218" spans="1:26">
      <c r="A218" t="s">
        <v>630</v>
      </c>
      <c r="B218">
        <v>60</v>
      </c>
      <c r="C218" t="s">
        <v>71</v>
      </c>
      <c r="D218" t="s">
        <v>44</v>
      </c>
      <c r="E218" t="s">
        <v>311</v>
      </c>
      <c r="F218" t="s">
        <v>150</v>
      </c>
      <c r="G218" t="s">
        <v>274</v>
      </c>
      <c r="H218" t="s">
        <v>30</v>
      </c>
      <c r="I218" t="s">
        <v>18</v>
      </c>
      <c r="J218" s="7">
        <v>44356</v>
      </c>
      <c r="K218" s="7">
        <v>44782</v>
      </c>
      <c r="L218" s="5">
        <v>200</v>
      </c>
      <c r="M218" t="s">
        <v>28</v>
      </c>
      <c r="N218" t="s">
        <v>332</v>
      </c>
      <c r="O218">
        <v>200</v>
      </c>
      <c r="P218" t="s">
        <v>211</v>
      </c>
      <c r="Q218" t="s">
        <v>27</v>
      </c>
      <c r="R218">
        <v>154</v>
      </c>
      <c r="S218">
        <v>0</v>
      </c>
      <c r="T218" t="s">
        <v>80</v>
      </c>
      <c r="U218" t="s">
        <v>63</v>
      </c>
      <c r="V218">
        <v>1.93</v>
      </c>
      <c r="W218">
        <v>2.56</v>
      </c>
      <c r="X218">
        <v>6.4</v>
      </c>
      <c r="Y218">
        <v>14.9</v>
      </c>
      <c r="Z218">
        <v>19.8</v>
      </c>
    </row>
    <row r="219" spans="1:26">
      <c r="A219" t="s">
        <v>631</v>
      </c>
      <c r="B219">
        <v>78</v>
      </c>
      <c r="C219" t="s">
        <v>44</v>
      </c>
      <c r="D219" t="s">
        <v>44</v>
      </c>
      <c r="E219" t="s">
        <v>255</v>
      </c>
      <c r="F219" t="s">
        <v>150</v>
      </c>
      <c r="G219" t="s">
        <v>431</v>
      </c>
      <c r="H219" t="s">
        <v>32</v>
      </c>
      <c r="I219" t="s">
        <v>16</v>
      </c>
      <c r="J219" s="7">
        <v>44046</v>
      </c>
      <c r="K219" s="7">
        <v>44258</v>
      </c>
      <c r="L219" s="5">
        <v>200</v>
      </c>
      <c r="M219" t="s">
        <v>150</v>
      </c>
      <c r="N219" t="s">
        <v>384</v>
      </c>
      <c r="O219">
        <v>200</v>
      </c>
      <c r="P219" t="s">
        <v>206</v>
      </c>
      <c r="Q219" t="s">
        <v>26</v>
      </c>
      <c r="R219">
        <v>100</v>
      </c>
      <c r="S219">
        <v>1</v>
      </c>
      <c r="T219" t="s">
        <v>83</v>
      </c>
      <c r="U219" t="s">
        <v>63</v>
      </c>
      <c r="V219">
        <v>1.55</v>
      </c>
      <c r="W219">
        <v>3.78</v>
      </c>
      <c r="X219">
        <v>4.6</v>
      </c>
      <c r="Y219">
        <v>13.7</v>
      </c>
      <c r="Z219">
        <v>15.2</v>
      </c>
    </row>
    <row r="220" spans="1:26">
      <c r="A220" t="s">
        <v>632</v>
      </c>
      <c r="B220">
        <v>81</v>
      </c>
      <c r="C220" t="s">
        <v>71</v>
      </c>
      <c r="D220" t="s">
        <v>41</v>
      </c>
      <c r="E220" t="s">
        <v>255</v>
      </c>
      <c r="F220" t="s">
        <v>150</v>
      </c>
      <c r="G220" t="s">
        <v>312</v>
      </c>
      <c r="H220" t="s">
        <v>32</v>
      </c>
      <c r="I220" t="s">
        <v>20</v>
      </c>
      <c r="J220" s="7">
        <v>45001</v>
      </c>
      <c r="K220" s="7">
        <v>45338</v>
      </c>
      <c r="L220" s="5">
        <v>200</v>
      </c>
      <c r="M220" t="s">
        <v>28</v>
      </c>
      <c r="N220" t="s">
        <v>295</v>
      </c>
      <c r="O220">
        <v>200</v>
      </c>
      <c r="P220" t="s">
        <v>206</v>
      </c>
      <c r="Q220" t="s">
        <v>28</v>
      </c>
      <c r="R220">
        <v>89</v>
      </c>
      <c r="S220">
        <v>1</v>
      </c>
      <c r="T220" t="s">
        <v>80</v>
      </c>
      <c r="U220" t="s">
        <v>61</v>
      </c>
      <c r="V220">
        <v>3.77</v>
      </c>
      <c r="W220">
        <v>4.97</v>
      </c>
      <c r="X220">
        <v>2.2</v>
      </c>
      <c r="Y220">
        <v>7.9</v>
      </c>
      <c r="Z220">
        <v>15.3</v>
      </c>
    </row>
    <row r="221" spans="1:26">
      <c r="A221" t="s">
        <v>633</v>
      </c>
      <c r="B221">
        <v>70</v>
      </c>
      <c r="C221" t="s">
        <v>44</v>
      </c>
      <c r="D221" t="s">
        <v>39</v>
      </c>
      <c r="E221" t="s">
        <v>150</v>
      </c>
      <c r="F221" t="s">
        <v>268</v>
      </c>
      <c r="G221" t="s">
        <v>319</v>
      </c>
      <c r="H221" t="s">
        <v>34</v>
      </c>
      <c r="I221" t="s">
        <v>20</v>
      </c>
      <c r="J221" s="7">
        <v>44474</v>
      </c>
      <c r="K221" s="7">
        <v>45021</v>
      </c>
      <c r="L221" s="5">
        <v>150</v>
      </c>
      <c r="M221" t="s">
        <v>150</v>
      </c>
      <c r="N221" t="s">
        <v>358</v>
      </c>
      <c r="O221">
        <v>150</v>
      </c>
      <c r="P221" t="s">
        <v>211</v>
      </c>
      <c r="Q221" t="s">
        <v>150</v>
      </c>
      <c r="R221">
        <v>103</v>
      </c>
      <c r="S221">
        <v>0</v>
      </c>
      <c r="T221" t="s">
        <v>83</v>
      </c>
      <c r="U221" t="s">
        <v>63</v>
      </c>
      <c r="V221">
        <v>3.31</v>
      </c>
      <c r="W221">
        <v>2.1</v>
      </c>
      <c r="X221">
        <v>1.7</v>
      </c>
      <c r="Y221">
        <v>7.5</v>
      </c>
      <c r="Z221">
        <v>18.2</v>
      </c>
    </row>
    <row r="222" spans="1:26">
      <c r="A222" t="s">
        <v>634</v>
      </c>
      <c r="B222">
        <v>63</v>
      </c>
      <c r="C222" t="s">
        <v>70</v>
      </c>
      <c r="D222" t="s">
        <v>43</v>
      </c>
      <c r="E222" t="s">
        <v>259</v>
      </c>
      <c r="F222" t="s">
        <v>150</v>
      </c>
      <c r="G222" t="s">
        <v>288</v>
      </c>
      <c r="H222" t="s">
        <v>32</v>
      </c>
      <c r="I222" t="s">
        <v>18</v>
      </c>
      <c r="J222" s="7">
        <v>44188</v>
      </c>
      <c r="K222" s="7">
        <v>44674</v>
      </c>
      <c r="L222" s="5">
        <v>100</v>
      </c>
      <c r="M222" t="s">
        <v>26</v>
      </c>
      <c r="N222" t="s">
        <v>440</v>
      </c>
      <c r="O222">
        <v>100</v>
      </c>
      <c r="P222" t="s">
        <v>206</v>
      </c>
      <c r="Q222" t="s">
        <v>150</v>
      </c>
      <c r="R222">
        <v>177</v>
      </c>
      <c r="S222">
        <v>1</v>
      </c>
      <c r="T222" t="s">
        <v>78</v>
      </c>
      <c r="U222" t="s">
        <v>61</v>
      </c>
      <c r="V222">
        <v>1.77</v>
      </c>
      <c r="W222">
        <v>2.29</v>
      </c>
      <c r="X222">
        <v>3</v>
      </c>
      <c r="Y222">
        <v>12.4</v>
      </c>
      <c r="Z222">
        <v>4.2</v>
      </c>
    </row>
    <row r="223" spans="1:26">
      <c r="A223" t="s">
        <v>635</v>
      </c>
      <c r="B223">
        <v>51</v>
      </c>
      <c r="C223" t="s">
        <v>70</v>
      </c>
      <c r="D223" t="s">
        <v>41</v>
      </c>
      <c r="E223" t="s">
        <v>259</v>
      </c>
      <c r="F223" t="s">
        <v>150</v>
      </c>
      <c r="G223" t="s">
        <v>291</v>
      </c>
      <c r="H223" t="s">
        <v>32</v>
      </c>
      <c r="I223" t="s">
        <v>19</v>
      </c>
      <c r="J223" s="7">
        <v>43997</v>
      </c>
      <c r="K223" s="7">
        <v>44423</v>
      </c>
      <c r="L223" s="5">
        <v>100</v>
      </c>
      <c r="M223" t="s">
        <v>150</v>
      </c>
      <c r="N223" t="s">
        <v>336</v>
      </c>
      <c r="O223">
        <v>100</v>
      </c>
      <c r="P223" t="s">
        <v>211</v>
      </c>
      <c r="Q223" t="s">
        <v>26</v>
      </c>
      <c r="R223">
        <v>147</v>
      </c>
      <c r="S223">
        <v>0</v>
      </c>
      <c r="T223" t="s">
        <v>81</v>
      </c>
      <c r="U223" t="s">
        <v>63</v>
      </c>
      <c r="V223">
        <v>3.08</v>
      </c>
      <c r="W223">
        <v>1.27</v>
      </c>
      <c r="X223">
        <v>8.2</v>
      </c>
      <c r="Y223">
        <v>10.2</v>
      </c>
      <c r="Z223">
        <v>12.2</v>
      </c>
    </row>
    <row r="224" spans="1:26">
      <c r="A224" t="s">
        <v>636</v>
      </c>
      <c r="B224">
        <v>18</v>
      </c>
      <c r="C224" t="s">
        <v>44</v>
      </c>
      <c r="D224" t="s">
        <v>44</v>
      </c>
      <c r="E224" t="s">
        <v>255</v>
      </c>
      <c r="F224" t="s">
        <v>264</v>
      </c>
      <c r="G224" t="s">
        <v>269</v>
      </c>
      <c r="H224" t="s">
        <v>32</v>
      </c>
      <c r="I224" t="s">
        <v>18</v>
      </c>
      <c r="J224" s="7">
        <v>45275</v>
      </c>
      <c r="K224" s="7">
        <v>45611</v>
      </c>
      <c r="L224" s="5">
        <v>50</v>
      </c>
      <c r="M224" t="s">
        <v>27</v>
      </c>
      <c r="N224" t="s">
        <v>382</v>
      </c>
      <c r="O224">
        <v>50</v>
      </c>
      <c r="P224" t="s">
        <v>205</v>
      </c>
      <c r="Q224" t="s">
        <v>28</v>
      </c>
      <c r="R224">
        <v>108</v>
      </c>
      <c r="S224">
        <v>0</v>
      </c>
      <c r="T224" t="s">
        <v>83</v>
      </c>
      <c r="U224" t="s">
        <v>61</v>
      </c>
      <c r="V224">
        <v>4.52</v>
      </c>
      <c r="W224">
        <v>3.6</v>
      </c>
      <c r="X224">
        <v>5.8</v>
      </c>
      <c r="Y224">
        <v>11.8</v>
      </c>
      <c r="Z224">
        <v>8.7</v>
      </c>
    </row>
    <row r="225" spans="1:26">
      <c r="A225" t="s">
        <v>637</v>
      </c>
      <c r="B225">
        <v>46</v>
      </c>
      <c r="C225" t="s">
        <v>70</v>
      </c>
      <c r="D225" t="s">
        <v>39</v>
      </c>
      <c r="E225" t="s">
        <v>311</v>
      </c>
      <c r="F225" t="s">
        <v>268</v>
      </c>
      <c r="G225" t="s">
        <v>278</v>
      </c>
      <c r="H225" t="s">
        <v>30</v>
      </c>
      <c r="I225" t="s">
        <v>19</v>
      </c>
      <c r="J225" s="7">
        <v>43833</v>
      </c>
      <c r="K225" s="7">
        <v>44258</v>
      </c>
      <c r="L225" s="5">
        <v>200</v>
      </c>
      <c r="M225" t="s">
        <v>28</v>
      </c>
      <c r="N225" t="s">
        <v>417</v>
      </c>
      <c r="O225">
        <v>200</v>
      </c>
      <c r="P225" t="s">
        <v>211</v>
      </c>
      <c r="Q225" t="s">
        <v>25</v>
      </c>
      <c r="R225">
        <v>160</v>
      </c>
      <c r="S225">
        <v>0</v>
      </c>
      <c r="T225" t="s">
        <v>83</v>
      </c>
      <c r="U225" t="s">
        <v>61</v>
      </c>
      <c r="V225">
        <v>3.68</v>
      </c>
      <c r="W225">
        <v>4.98</v>
      </c>
      <c r="X225">
        <v>7</v>
      </c>
      <c r="Y225">
        <v>16</v>
      </c>
      <c r="Z225">
        <v>15.4</v>
      </c>
    </row>
    <row r="226" spans="1:26">
      <c r="A226" t="s">
        <v>638</v>
      </c>
      <c r="B226">
        <v>68</v>
      </c>
      <c r="C226" t="s">
        <v>71</v>
      </c>
      <c r="D226" t="s">
        <v>43</v>
      </c>
      <c r="E226" t="s">
        <v>150</v>
      </c>
      <c r="F226" t="s">
        <v>277</v>
      </c>
      <c r="G226" t="s">
        <v>362</v>
      </c>
      <c r="H226" t="s">
        <v>32</v>
      </c>
      <c r="I226" t="s">
        <v>19</v>
      </c>
      <c r="J226" s="7">
        <v>44436</v>
      </c>
      <c r="K226" s="7">
        <v>44862</v>
      </c>
      <c r="L226" s="5">
        <v>50</v>
      </c>
      <c r="M226" t="s">
        <v>27</v>
      </c>
      <c r="N226" t="s">
        <v>601</v>
      </c>
      <c r="O226">
        <v>50</v>
      </c>
      <c r="P226" t="s">
        <v>211</v>
      </c>
      <c r="Q226" t="s">
        <v>27</v>
      </c>
      <c r="R226">
        <v>103</v>
      </c>
      <c r="S226">
        <v>0</v>
      </c>
      <c r="T226" t="s">
        <v>78</v>
      </c>
      <c r="U226" t="s">
        <v>61</v>
      </c>
      <c r="V226">
        <v>2.86</v>
      </c>
      <c r="W226">
        <v>1.24</v>
      </c>
      <c r="X226">
        <v>6.1</v>
      </c>
      <c r="Y226">
        <v>23.2</v>
      </c>
      <c r="Z226">
        <v>6</v>
      </c>
    </row>
    <row r="227" spans="1:26">
      <c r="A227" t="s">
        <v>639</v>
      </c>
      <c r="B227">
        <v>71</v>
      </c>
      <c r="C227" t="s">
        <v>71</v>
      </c>
      <c r="D227" t="s">
        <v>44</v>
      </c>
      <c r="E227" t="s">
        <v>255</v>
      </c>
      <c r="F227" t="s">
        <v>273</v>
      </c>
      <c r="G227" t="s">
        <v>362</v>
      </c>
      <c r="H227" t="s">
        <v>34</v>
      </c>
      <c r="I227" t="s">
        <v>19</v>
      </c>
      <c r="J227" s="7">
        <v>43763</v>
      </c>
      <c r="K227" s="7">
        <v>44129</v>
      </c>
      <c r="L227" s="5">
        <v>50</v>
      </c>
      <c r="M227" t="s">
        <v>27</v>
      </c>
      <c r="N227" t="s">
        <v>497</v>
      </c>
      <c r="O227">
        <v>50</v>
      </c>
      <c r="P227" t="s">
        <v>211</v>
      </c>
      <c r="Q227" t="s">
        <v>27</v>
      </c>
      <c r="R227">
        <v>74</v>
      </c>
      <c r="S227">
        <v>0</v>
      </c>
      <c r="T227" t="s">
        <v>80</v>
      </c>
      <c r="U227" t="s">
        <v>61</v>
      </c>
      <c r="V227">
        <v>3.76</v>
      </c>
      <c r="W227">
        <v>1.8</v>
      </c>
      <c r="X227">
        <v>5.8</v>
      </c>
      <c r="Y227">
        <v>7.7</v>
      </c>
      <c r="Z227">
        <v>10.7</v>
      </c>
    </row>
    <row r="228" spans="1:26">
      <c r="A228" t="s">
        <v>640</v>
      </c>
      <c r="B228">
        <v>35</v>
      </c>
      <c r="C228" t="s">
        <v>71</v>
      </c>
      <c r="D228" t="s">
        <v>41</v>
      </c>
      <c r="E228" t="s">
        <v>272</v>
      </c>
      <c r="F228" t="s">
        <v>260</v>
      </c>
      <c r="G228" t="s">
        <v>291</v>
      </c>
      <c r="H228" t="s">
        <v>32</v>
      </c>
      <c r="I228" t="s">
        <v>19</v>
      </c>
      <c r="J228" s="7">
        <v>44828</v>
      </c>
      <c r="K228" s="7">
        <v>45223</v>
      </c>
      <c r="L228" s="5">
        <v>100</v>
      </c>
      <c r="M228" t="s">
        <v>28</v>
      </c>
      <c r="N228" t="s">
        <v>545</v>
      </c>
      <c r="O228">
        <v>100</v>
      </c>
      <c r="P228" t="s">
        <v>211</v>
      </c>
      <c r="Q228" t="s">
        <v>150</v>
      </c>
      <c r="R228">
        <v>150</v>
      </c>
      <c r="S228">
        <v>0</v>
      </c>
      <c r="T228" t="s">
        <v>83</v>
      </c>
      <c r="U228" t="s">
        <v>61</v>
      </c>
      <c r="V228">
        <v>4.02</v>
      </c>
      <c r="W228">
        <v>2.39</v>
      </c>
      <c r="X228">
        <v>7</v>
      </c>
      <c r="Y228">
        <v>20.3</v>
      </c>
      <c r="Z228">
        <v>18.8</v>
      </c>
    </row>
    <row r="229" spans="1:26">
      <c r="A229" t="s">
        <v>641</v>
      </c>
      <c r="B229">
        <v>71</v>
      </c>
      <c r="C229" t="s">
        <v>71</v>
      </c>
      <c r="D229" t="s">
        <v>43</v>
      </c>
      <c r="E229" t="s">
        <v>259</v>
      </c>
      <c r="F229" t="s">
        <v>264</v>
      </c>
      <c r="G229" t="s">
        <v>269</v>
      </c>
      <c r="H229" t="s">
        <v>29</v>
      </c>
      <c r="I229" t="s">
        <v>19</v>
      </c>
      <c r="J229" s="7">
        <v>45157</v>
      </c>
      <c r="K229" s="7">
        <v>45523</v>
      </c>
      <c r="L229" s="5">
        <v>150</v>
      </c>
      <c r="M229" t="s">
        <v>27</v>
      </c>
      <c r="N229" t="s">
        <v>642</v>
      </c>
      <c r="O229">
        <v>150</v>
      </c>
      <c r="P229" t="s">
        <v>205</v>
      </c>
      <c r="Q229" t="s">
        <v>25</v>
      </c>
      <c r="R229">
        <v>34</v>
      </c>
      <c r="S229">
        <v>0</v>
      </c>
      <c r="T229" t="s">
        <v>81</v>
      </c>
      <c r="U229" t="s">
        <v>63</v>
      </c>
      <c r="V229">
        <v>1.94</v>
      </c>
      <c r="W229">
        <v>2.6</v>
      </c>
      <c r="X229">
        <v>2.4</v>
      </c>
      <c r="Y229">
        <v>23.9</v>
      </c>
      <c r="Z229">
        <v>18.8</v>
      </c>
    </row>
    <row r="230" spans="1:26">
      <c r="A230" t="s">
        <v>643</v>
      </c>
      <c r="B230">
        <v>25</v>
      </c>
      <c r="C230" t="s">
        <v>71</v>
      </c>
      <c r="D230" t="s">
        <v>39</v>
      </c>
      <c r="E230" t="s">
        <v>272</v>
      </c>
      <c r="F230" t="s">
        <v>150</v>
      </c>
      <c r="G230" t="s">
        <v>281</v>
      </c>
      <c r="H230" t="s">
        <v>32</v>
      </c>
      <c r="I230" t="s">
        <v>18</v>
      </c>
      <c r="J230" s="7">
        <v>43597</v>
      </c>
      <c r="K230" s="7">
        <v>43963</v>
      </c>
      <c r="L230" s="5">
        <v>150</v>
      </c>
      <c r="M230" t="s">
        <v>150</v>
      </c>
      <c r="N230" t="s">
        <v>328</v>
      </c>
      <c r="O230">
        <v>150</v>
      </c>
      <c r="P230" t="s">
        <v>205</v>
      </c>
      <c r="Q230" t="s">
        <v>28</v>
      </c>
      <c r="R230">
        <v>161</v>
      </c>
      <c r="S230">
        <v>0</v>
      </c>
      <c r="T230" t="s">
        <v>78</v>
      </c>
      <c r="U230" t="s">
        <v>63</v>
      </c>
      <c r="V230">
        <v>3.16</v>
      </c>
      <c r="W230">
        <v>4.37</v>
      </c>
      <c r="X230">
        <v>5.7</v>
      </c>
      <c r="Y230">
        <v>17.2</v>
      </c>
      <c r="Z230">
        <v>4.5</v>
      </c>
    </row>
    <row r="231" spans="1:26">
      <c r="A231" t="s">
        <v>644</v>
      </c>
      <c r="B231">
        <v>30</v>
      </c>
      <c r="C231" t="s">
        <v>44</v>
      </c>
      <c r="D231" t="s">
        <v>41</v>
      </c>
      <c r="E231" t="s">
        <v>255</v>
      </c>
      <c r="F231" t="s">
        <v>264</v>
      </c>
      <c r="G231" t="s">
        <v>362</v>
      </c>
      <c r="H231" t="s">
        <v>32</v>
      </c>
      <c r="I231" t="s">
        <v>19</v>
      </c>
      <c r="J231" s="7">
        <v>43727</v>
      </c>
      <c r="K231" s="7">
        <v>44062</v>
      </c>
      <c r="L231" s="5">
        <v>100</v>
      </c>
      <c r="M231" t="s">
        <v>26</v>
      </c>
      <c r="N231" t="s">
        <v>541</v>
      </c>
      <c r="O231">
        <v>100</v>
      </c>
      <c r="P231" t="s">
        <v>211</v>
      </c>
      <c r="Q231" t="s">
        <v>150</v>
      </c>
      <c r="R231">
        <v>154</v>
      </c>
      <c r="S231">
        <v>0</v>
      </c>
      <c r="T231" t="s">
        <v>82</v>
      </c>
      <c r="U231" t="s">
        <v>61</v>
      </c>
      <c r="V231">
        <v>4.02</v>
      </c>
      <c r="W231">
        <v>1.51</v>
      </c>
      <c r="X231">
        <v>8.4</v>
      </c>
      <c r="Y231">
        <v>20.1</v>
      </c>
      <c r="Z231">
        <v>15</v>
      </c>
    </row>
    <row r="232" spans="1:26">
      <c r="A232" t="s">
        <v>645</v>
      </c>
      <c r="B232">
        <v>38</v>
      </c>
      <c r="C232" t="s">
        <v>71</v>
      </c>
      <c r="D232" t="s">
        <v>41</v>
      </c>
      <c r="E232" t="s">
        <v>259</v>
      </c>
      <c r="F232" t="s">
        <v>150</v>
      </c>
      <c r="G232" t="s">
        <v>278</v>
      </c>
      <c r="H232" t="s">
        <v>29</v>
      </c>
      <c r="I232" t="s">
        <v>20</v>
      </c>
      <c r="J232" s="7">
        <v>44596</v>
      </c>
      <c r="K232" s="7">
        <v>44838</v>
      </c>
      <c r="L232" s="5">
        <v>50</v>
      </c>
      <c r="M232" t="s">
        <v>150</v>
      </c>
      <c r="N232" t="s">
        <v>433</v>
      </c>
      <c r="O232">
        <v>50</v>
      </c>
      <c r="P232" t="s">
        <v>211</v>
      </c>
      <c r="Q232" t="s">
        <v>26</v>
      </c>
      <c r="R232">
        <v>143</v>
      </c>
      <c r="S232">
        <v>0</v>
      </c>
      <c r="T232" t="s">
        <v>80</v>
      </c>
      <c r="U232" t="s">
        <v>61</v>
      </c>
      <c r="V232">
        <v>1.14</v>
      </c>
      <c r="W232">
        <v>2.21</v>
      </c>
      <c r="X232">
        <v>3.4</v>
      </c>
      <c r="Y232">
        <v>12.5</v>
      </c>
      <c r="Z232">
        <v>4.5</v>
      </c>
    </row>
    <row r="233" spans="1:26">
      <c r="A233" t="s">
        <v>646</v>
      </c>
      <c r="B233">
        <v>40</v>
      </c>
      <c r="C233" t="s">
        <v>44</v>
      </c>
      <c r="D233" t="s">
        <v>39</v>
      </c>
      <c r="E233" t="s">
        <v>311</v>
      </c>
      <c r="F233" t="s">
        <v>150</v>
      </c>
      <c r="G233" t="s">
        <v>284</v>
      </c>
      <c r="H233" t="s">
        <v>30</v>
      </c>
      <c r="I233" t="s">
        <v>18</v>
      </c>
      <c r="J233" s="7">
        <v>44173</v>
      </c>
      <c r="K233" s="7">
        <v>44477</v>
      </c>
      <c r="L233" s="5">
        <v>100</v>
      </c>
      <c r="M233" t="s">
        <v>26</v>
      </c>
      <c r="N233" t="s">
        <v>647</v>
      </c>
      <c r="O233">
        <v>100</v>
      </c>
      <c r="P233" t="s">
        <v>211</v>
      </c>
      <c r="Q233" t="s">
        <v>28</v>
      </c>
      <c r="R233">
        <v>49</v>
      </c>
      <c r="S233">
        <v>0</v>
      </c>
      <c r="T233" t="s">
        <v>83</v>
      </c>
      <c r="U233" t="s">
        <v>61</v>
      </c>
      <c r="V233">
        <v>4.75</v>
      </c>
      <c r="W233">
        <v>3.22</v>
      </c>
      <c r="X233">
        <v>3.7</v>
      </c>
      <c r="Y233">
        <v>13.1</v>
      </c>
      <c r="Z233">
        <v>10.6</v>
      </c>
    </row>
    <row r="234" spans="1:26">
      <c r="A234" t="s">
        <v>648</v>
      </c>
      <c r="B234">
        <v>73</v>
      </c>
      <c r="C234" t="s">
        <v>71</v>
      </c>
      <c r="D234" t="s">
        <v>41</v>
      </c>
      <c r="E234" t="s">
        <v>311</v>
      </c>
      <c r="F234" t="s">
        <v>268</v>
      </c>
      <c r="G234" t="s">
        <v>274</v>
      </c>
      <c r="H234" t="s">
        <v>29</v>
      </c>
      <c r="I234" t="s">
        <v>20</v>
      </c>
      <c r="J234" s="7">
        <v>43587</v>
      </c>
      <c r="K234" s="7">
        <v>43801</v>
      </c>
      <c r="L234" s="5">
        <v>150</v>
      </c>
      <c r="M234" t="s">
        <v>28</v>
      </c>
      <c r="N234" t="s">
        <v>649</v>
      </c>
      <c r="O234">
        <v>150</v>
      </c>
      <c r="P234" t="s">
        <v>206</v>
      </c>
      <c r="Q234" t="s">
        <v>25</v>
      </c>
      <c r="R234">
        <v>81</v>
      </c>
      <c r="S234">
        <v>1</v>
      </c>
      <c r="T234" t="s">
        <v>78</v>
      </c>
      <c r="U234" t="s">
        <v>61</v>
      </c>
      <c r="V234">
        <v>3.4</v>
      </c>
      <c r="W234">
        <v>3.06</v>
      </c>
      <c r="X234">
        <v>9.3</v>
      </c>
      <c r="Y234">
        <v>14.9</v>
      </c>
      <c r="Z234">
        <v>19.9</v>
      </c>
    </row>
    <row r="235" spans="1:26">
      <c r="A235" t="s">
        <v>650</v>
      </c>
      <c r="B235">
        <v>21</v>
      </c>
      <c r="C235" t="s">
        <v>71</v>
      </c>
      <c r="D235" t="s">
        <v>41</v>
      </c>
      <c r="E235" t="s">
        <v>150</v>
      </c>
      <c r="F235" t="s">
        <v>150</v>
      </c>
      <c r="G235" t="s">
        <v>327</v>
      </c>
      <c r="H235" t="s">
        <v>32</v>
      </c>
      <c r="I235" t="s">
        <v>18</v>
      </c>
      <c r="J235" s="7">
        <v>45280</v>
      </c>
      <c r="K235" s="7">
        <v>45555</v>
      </c>
      <c r="L235" s="5">
        <v>50</v>
      </c>
      <c r="M235" t="s">
        <v>25</v>
      </c>
      <c r="N235" t="s">
        <v>651</v>
      </c>
      <c r="O235">
        <v>50</v>
      </c>
      <c r="P235" t="s">
        <v>206</v>
      </c>
      <c r="Q235" t="s">
        <v>25</v>
      </c>
      <c r="R235">
        <v>85</v>
      </c>
      <c r="S235">
        <v>1</v>
      </c>
      <c r="T235" t="s">
        <v>78</v>
      </c>
      <c r="U235" t="s">
        <v>61</v>
      </c>
      <c r="V235">
        <v>4.41</v>
      </c>
      <c r="W235">
        <v>1.83</v>
      </c>
      <c r="X235">
        <v>9.4</v>
      </c>
      <c r="Y235">
        <v>8.1</v>
      </c>
      <c r="Z235">
        <v>16.9</v>
      </c>
    </row>
    <row r="236" spans="1:26">
      <c r="A236" t="s">
        <v>652</v>
      </c>
      <c r="B236">
        <v>39</v>
      </c>
      <c r="C236" t="s">
        <v>44</v>
      </c>
      <c r="D236" t="s">
        <v>42</v>
      </c>
      <c r="E236" t="s">
        <v>311</v>
      </c>
      <c r="F236" t="s">
        <v>150</v>
      </c>
      <c r="G236" t="s">
        <v>349</v>
      </c>
      <c r="H236" t="s">
        <v>34</v>
      </c>
      <c r="I236" t="s">
        <v>19</v>
      </c>
      <c r="J236" s="7">
        <v>45000</v>
      </c>
      <c r="K236" s="7">
        <v>45488</v>
      </c>
      <c r="L236" s="5">
        <v>50</v>
      </c>
      <c r="M236" t="s">
        <v>150</v>
      </c>
      <c r="N236" t="s">
        <v>442</v>
      </c>
      <c r="O236">
        <v>50</v>
      </c>
      <c r="P236" t="s">
        <v>211</v>
      </c>
      <c r="Q236" t="s">
        <v>26</v>
      </c>
      <c r="R236">
        <v>161</v>
      </c>
      <c r="S236">
        <v>0</v>
      </c>
      <c r="T236" t="s">
        <v>78</v>
      </c>
      <c r="U236" t="s">
        <v>61</v>
      </c>
      <c r="V236">
        <v>2.52</v>
      </c>
      <c r="W236">
        <v>4.51</v>
      </c>
      <c r="X236">
        <v>8.8</v>
      </c>
      <c r="Y236">
        <v>20.5</v>
      </c>
      <c r="Z236">
        <v>16.4</v>
      </c>
    </row>
    <row r="237" spans="1:26">
      <c r="A237" t="s">
        <v>653</v>
      </c>
      <c r="B237">
        <v>32</v>
      </c>
      <c r="C237" t="s">
        <v>70</v>
      </c>
      <c r="D237" t="s">
        <v>42</v>
      </c>
      <c r="E237" t="s">
        <v>272</v>
      </c>
      <c r="F237" t="s">
        <v>273</v>
      </c>
      <c r="G237" t="s">
        <v>269</v>
      </c>
      <c r="H237" t="s">
        <v>32</v>
      </c>
      <c r="I237" t="s">
        <v>19</v>
      </c>
      <c r="J237" s="7">
        <v>45262</v>
      </c>
      <c r="K237" s="7">
        <v>45475</v>
      </c>
      <c r="L237" s="5">
        <v>150</v>
      </c>
      <c r="M237" t="s">
        <v>28</v>
      </c>
      <c r="N237" t="s">
        <v>435</v>
      </c>
      <c r="O237">
        <v>150</v>
      </c>
      <c r="P237" t="s">
        <v>211</v>
      </c>
      <c r="Q237" t="s">
        <v>25</v>
      </c>
      <c r="R237">
        <v>109</v>
      </c>
      <c r="S237">
        <v>0</v>
      </c>
      <c r="T237" t="s">
        <v>82</v>
      </c>
      <c r="U237" t="s">
        <v>63</v>
      </c>
      <c r="V237">
        <v>2.22</v>
      </c>
      <c r="W237">
        <v>1.32</v>
      </c>
      <c r="X237">
        <v>4.6</v>
      </c>
      <c r="Y237">
        <v>9.1</v>
      </c>
      <c r="Z237">
        <v>14.8</v>
      </c>
    </row>
    <row r="238" spans="1:26">
      <c r="A238" t="s">
        <v>654</v>
      </c>
      <c r="B238">
        <v>70</v>
      </c>
      <c r="C238" t="s">
        <v>70</v>
      </c>
      <c r="D238" t="s">
        <v>43</v>
      </c>
      <c r="E238" t="s">
        <v>259</v>
      </c>
      <c r="F238" t="s">
        <v>150</v>
      </c>
      <c r="G238" t="s">
        <v>269</v>
      </c>
      <c r="H238" t="s">
        <v>32</v>
      </c>
      <c r="I238" t="s">
        <v>18</v>
      </c>
      <c r="J238" s="7">
        <v>43785</v>
      </c>
      <c r="K238" s="7">
        <v>44271</v>
      </c>
      <c r="L238" s="5">
        <v>50</v>
      </c>
      <c r="M238" t="s">
        <v>27</v>
      </c>
      <c r="N238" t="s">
        <v>505</v>
      </c>
      <c r="O238">
        <v>50</v>
      </c>
      <c r="P238" t="s">
        <v>206</v>
      </c>
      <c r="Q238" t="s">
        <v>27</v>
      </c>
      <c r="R238">
        <v>132</v>
      </c>
      <c r="S238">
        <v>1</v>
      </c>
      <c r="T238" t="s">
        <v>80</v>
      </c>
      <c r="U238" t="s">
        <v>63</v>
      </c>
      <c r="V238">
        <v>2.38</v>
      </c>
      <c r="W238">
        <v>4.9</v>
      </c>
      <c r="X238">
        <v>6.8</v>
      </c>
      <c r="Y238">
        <v>20.8</v>
      </c>
      <c r="Z238">
        <v>5.3</v>
      </c>
    </row>
    <row r="239" spans="1:26">
      <c r="A239" t="s">
        <v>655</v>
      </c>
      <c r="B239">
        <v>39</v>
      </c>
      <c r="C239" t="s">
        <v>71</v>
      </c>
      <c r="D239" t="s">
        <v>39</v>
      </c>
      <c r="E239" t="s">
        <v>259</v>
      </c>
      <c r="F239" t="s">
        <v>268</v>
      </c>
      <c r="G239" t="s">
        <v>297</v>
      </c>
      <c r="H239" t="s">
        <v>29</v>
      </c>
      <c r="I239" t="s">
        <v>18</v>
      </c>
      <c r="J239" s="7">
        <v>44911</v>
      </c>
      <c r="K239" s="7">
        <v>45215</v>
      </c>
      <c r="L239" s="5">
        <v>150</v>
      </c>
      <c r="M239" t="s">
        <v>27</v>
      </c>
      <c r="N239" t="s">
        <v>352</v>
      </c>
      <c r="O239">
        <v>150</v>
      </c>
      <c r="P239" t="s">
        <v>205</v>
      </c>
      <c r="Q239" t="s">
        <v>27</v>
      </c>
      <c r="R239">
        <v>154</v>
      </c>
      <c r="S239">
        <v>0</v>
      </c>
      <c r="T239" t="s">
        <v>80</v>
      </c>
      <c r="U239" t="s">
        <v>61</v>
      </c>
      <c r="V239">
        <v>4.45</v>
      </c>
      <c r="W239">
        <v>4.69</v>
      </c>
      <c r="X239">
        <v>5.4</v>
      </c>
      <c r="Y239">
        <v>16.9</v>
      </c>
      <c r="Z239">
        <v>16</v>
      </c>
    </row>
    <row r="240" spans="1:26">
      <c r="A240" t="s">
        <v>656</v>
      </c>
      <c r="B240">
        <v>36</v>
      </c>
      <c r="C240" t="s">
        <v>70</v>
      </c>
      <c r="D240" t="s">
        <v>42</v>
      </c>
      <c r="E240" t="s">
        <v>311</v>
      </c>
      <c r="F240" t="s">
        <v>260</v>
      </c>
      <c r="G240" t="s">
        <v>265</v>
      </c>
      <c r="H240" t="s">
        <v>30</v>
      </c>
      <c r="I240" t="s">
        <v>16</v>
      </c>
      <c r="J240" s="7">
        <v>43801</v>
      </c>
      <c r="K240" s="7">
        <v>44014</v>
      </c>
      <c r="L240" s="5">
        <v>200</v>
      </c>
      <c r="M240" t="s">
        <v>28</v>
      </c>
      <c r="N240" t="s">
        <v>649</v>
      </c>
      <c r="O240">
        <v>200</v>
      </c>
      <c r="P240" t="s">
        <v>205</v>
      </c>
      <c r="Q240" t="s">
        <v>150</v>
      </c>
      <c r="R240">
        <v>69</v>
      </c>
      <c r="S240">
        <v>0</v>
      </c>
      <c r="T240" t="s">
        <v>81</v>
      </c>
      <c r="U240" t="s">
        <v>63</v>
      </c>
      <c r="V240">
        <v>1.7</v>
      </c>
      <c r="W240">
        <v>3.01</v>
      </c>
      <c r="X240">
        <v>4.6</v>
      </c>
      <c r="Y240">
        <v>8.6</v>
      </c>
      <c r="Z240">
        <v>9.2</v>
      </c>
    </row>
    <row r="241" spans="1:26">
      <c r="A241" t="s">
        <v>657</v>
      </c>
      <c r="B241">
        <v>27</v>
      </c>
      <c r="C241" t="s">
        <v>44</v>
      </c>
      <c r="D241" t="s">
        <v>44</v>
      </c>
      <c r="E241" t="s">
        <v>272</v>
      </c>
      <c r="F241" t="s">
        <v>150</v>
      </c>
      <c r="G241" t="s">
        <v>278</v>
      </c>
      <c r="H241" t="s">
        <v>32</v>
      </c>
      <c r="I241" t="s">
        <v>20</v>
      </c>
      <c r="J241" s="7">
        <v>44813</v>
      </c>
      <c r="K241" s="7">
        <v>45239</v>
      </c>
      <c r="L241" s="5">
        <v>150</v>
      </c>
      <c r="M241" t="s">
        <v>25</v>
      </c>
      <c r="N241" t="s">
        <v>658</v>
      </c>
      <c r="O241">
        <v>150</v>
      </c>
      <c r="P241" t="s">
        <v>206</v>
      </c>
      <c r="Q241" t="s">
        <v>27</v>
      </c>
      <c r="R241">
        <v>145</v>
      </c>
      <c r="S241">
        <v>1</v>
      </c>
      <c r="T241" t="s">
        <v>81</v>
      </c>
      <c r="U241" t="s">
        <v>61</v>
      </c>
      <c r="V241">
        <v>1.27</v>
      </c>
      <c r="W241">
        <v>1.1</v>
      </c>
      <c r="X241">
        <v>2.2</v>
      </c>
      <c r="Y241">
        <v>23.3</v>
      </c>
      <c r="Z241">
        <v>12.3</v>
      </c>
    </row>
    <row r="242" spans="1:26">
      <c r="A242" t="s">
        <v>659</v>
      </c>
      <c r="B242">
        <v>74</v>
      </c>
      <c r="C242" t="s">
        <v>70</v>
      </c>
      <c r="D242" t="s">
        <v>42</v>
      </c>
      <c r="E242" t="s">
        <v>311</v>
      </c>
      <c r="F242" t="s">
        <v>264</v>
      </c>
      <c r="G242" t="s">
        <v>288</v>
      </c>
      <c r="H242" t="s">
        <v>34</v>
      </c>
      <c r="I242" t="s">
        <v>20</v>
      </c>
      <c r="J242" s="7">
        <v>43974</v>
      </c>
      <c r="K242" s="7">
        <v>44339</v>
      </c>
      <c r="L242" s="5">
        <v>200</v>
      </c>
      <c r="M242" t="s">
        <v>25</v>
      </c>
      <c r="N242" t="s">
        <v>660</v>
      </c>
      <c r="O242">
        <v>200</v>
      </c>
      <c r="P242" t="s">
        <v>211</v>
      </c>
      <c r="Q242" t="s">
        <v>25</v>
      </c>
      <c r="R242">
        <v>168</v>
      </c>
      <c r="S242">
        <v>0</v>
      </c>
      <c r="T242" t="s">
        <v>80</v>
      </c>
      <c r="U242" t="s">
        <v>61</v>
      </c>
      <c r="V242">
        <v>4.86</v>
      </c>
      <c r="W242">
        <v>2.73</v>
      </c>
      <c r="X242">
        <v>3.8</v>
      </c>
      <c r="Y242">
        <v>15.1</v>
      </c>
      <c r="Z242">
        <v>10.5</v>
      </c>
    </row>
    <row r="243" spans="1:26">
      <c r="A243" t="s">
        <v>661</v>
      </c>
      <c r="B243">
        <v>78</v>
      </c>
      <c r="C243" t="s">
        <v>44</v>
      </c>
      <c r="D243" t="s">
        <v>41</v>
      </c>
      <c r="E243" t="s">
        <v>255</v>
      </c>
      <c r="F243" t="s">
        <v>264</v>
      </c>
      <c r="G243" t="s">
        <v>269</v>
      </c>
      <c r="H243" t="s">
        <v>34</v>
      </c>
      <c r="I243" t="s">
        <v>19</v>
      </c>
      <c r="J243" s="7">
        <v>44349</v>
      </c>
      <c r="K243" s="7">
        <v>44532</v>
      </c>
      <c r="L243" s="5">
        <v>50</v>
      </c>
      <c r="M243" t="s">
        <v>150</v>
      </c>
      <c r="N243" t="s">
        <v>662</v>
      </c>
      <c r="O243">
        <v>50</v>
      </c>
      <c r="P243" t="s">
        <v>205</v>
      </c>
      <c r="Q243" t="s">
        <v>25</v>
      </c>
      <c r="R243">
        <v>36</v>
      </c>
      <c r="S243">
        <v>0</v>
      </c>
      <c r="T243" t="s">
        <v>81</v>
      </c>
      <c r="U243" t="s">
        <v>61</v>
      </c>
      <c r="V243">
        <v>1.42</v>
      </c>
      <c r="W243">
        <v>3.56</v>
      </c>
      <c r="X243">
        <v>2.9</v>
      </c>
      <c r="Y243">
        <v>17.2</v>
      </c>
      <c r="Z243">
        <v>14.1</v>
      </c>
    </row>
    <row r="244" spans="1:26">
      <c r="A244" t="s">
        <v>663</v>
      </c>
      <c r="B244">
        <v>30</v>
      </c>
      <c r="C244" t="s">
        <v>70</v>
      </c>
      <c r="D244" t="s">
        <v>39</v>
      </c>
      <c r="E244" t="s">
        <v>150</v>
      </c>
      <c r="F244" t="s">
        <v>277</v>
      </c>
      <c r="G244" t="s">
        <v>265</v>
      </c>
      <c r="H244" t="s">
        <v>30</v>
      </c>
      <c r="I244" t="s">
        <v>18</v>
      </c>
      <c r="J244" s="7">
        <v>44472</v>
      </c>
      <c r="K244" s="7">
        <v>44988</v>
      </c>
      <c r="L244" s="5">
        <v>50</v>
      </c>
      <c r="M244" t="s">
        <v>28</v>
      </c>
      <c r="N244" t="s">
        <v>664</v>
      </c>
      <c r="O244">
        <v>50</v>
      </c>
      <c r="P244" t="s">
        <v>206</v>
      </c>
      <c r="Q244" t="s">
        <v>25</v>
      </c>
      <c r="R244">
        <v>113</v>
      </c>
      <c r="S244">
        <v>1</v>
      </c>
      <c r="T244" t="s">
        <v>83</v>
      </c>
      <c r="U244" t="s">
        <v>61</v>
      </c>
      <c r="V244">
        <v>1.61</v>
      </c>
      <c r="W244">
        <v>1.25</v>
      </c>
      <c r="X244">
        <v>8</v>
      </c>
      <c r="Y244">
        <v>14.3</v>
      </c>
      <c r="Z244">
        <v>4</v>
      </c>
    </row>
    <row r="245" spans="1:26">
      <c r="A245" t="s">
        <v>665</v>
      </c>
      <c r="B245">
        <v>72</v>
      </c>
      <c r="C245" t="s">
        <v>44</v>
      </c>
      <c r="D245" t="s">
        <v>44</v>
      </c>
      <c r="E245" t="s">
        <v>272</v>
      </c>
      <c r="F245" t="s">
        <v>260</v>
      </c>
      <c r="G245" t="s">
        <v>274</v>
      </c>
      <c r="H245" t="s">
        <v>29</v>
      </c>
      <c r="I245" t="s">
        <v>19</v>
      </c>
      <c r="J245" s="7">
        <v>44847</v>
      </c>
      <c r="K245" s="7">
        <v>45182</v>
      </c>
      <c r="L245" s="5">
        <v>50</v>
      </c>
      <c r="M245" t="s">
        <v>28</v>
      </c>
      <c r="N245" t="s">
        <v>666</v>
      </c>
      <c r="O245">
        <v>50</v>
      </c>
      <c r="P245" t="s">
        <v>211</v>
      </c>
      <c r="Q245" t="s">
        <v>25</v>
      </c>
      <c r="R245">
        <v>116</v>
      </c>
      <c r="S245">
        <v>0</v>
      </c>
      <c r="T245" t="s">
        <v>78</v>
      </c>
      <c r="U245" t="s">
        <v>61</v>
      </c>
      <c r="V245">
        <v>4.98</v>
      </c>
      <c r="W245">
        <v>1.23</v>
      </c>
      <c r="X245">
        <v>7.3</v>
      </c>
      <c r="Y245">
        <v>23.7</v>
      </c>
      <c r="Z245">
        <v>7.1</v>
      </c>
    </row>
    <row r="246" spans="1:26">
      <c r="A246" t="s">
        <v>667</v>
      </c>
      <c r="B246">
        <v>64</v>
      </c>
      <c r="C246" t="s">
        <v>70</v>
      </c>
      <c r="D246" t="s">
        <v>41</v>
      </c>
      <c r="E246" t="s">
        <v>272</v>
      </c>
      <c r="F246" t="s">
        <v>150</v>
      </c>
      <c r="G246" t="s">
        <v>294</v>
      </c>
      <c r="H246" t="s">
        <v>30</v>
      </c>
      <c r="I246" t="s">
        <v>19</v>
      </c>
      <c r="J246" s="7">
        <v>44206</v>
      </c>
      <c r="K246" s="7">
        <v>44661</v>
      </c>
      <c r="L246" s="5">
        <v>200</v>
      </c>
      <c r="M246" t="s">
        <v>25</v>
      </c>
      <c r="N246" t="s">
        <v>573</v>
      </c>
      <c r="O246">
        <v>200</v>
      </c>
      <c r="P246" t="s">
        <v>206</v>
      </c>
      <c r="Q246" t="s">
        <v>25</v>
      </c>
      <c r="R246">
        <v>54</v>
      </c>
      <c r="S246">
        <v>1</v>
      </c>
      <c r="T246" t="s">
        <v>80</v>
      </c>
      <c r="U246" t="s">
        <v>61</v>
      </c>
      <c r="V246">
        <v>1.57</v>
      </c>
      <c r="W246">
        <v>1.49</v>
      </c>
      <c r="X246">
        <v>3.7</v>
      </c>
      <c r="Y246">
        <v>7.8</v>
      </c>
      <c r="Z246">
        <v>14.8</v>
      </c>
    </row>
    <row r="247" spans="1:26">
      <c r="A247" t="s">
        <v>668</v>
      </c>
      <c r="B247">
        <v>52</v>
      </c>
      <c r="C247" t="s">
        <v>71</v>
      </c>
      <c r="D247" t="s">
        <v>44</v>
      </c>
      <c r="E247" t="s">
        <v>255</v>
      </c>
      <c r="F247" t="s">
        <v>273</v>
      </c>
      <c r="G247" t="s">
        <v>327</v>
      </c>
      <c r="H247" t="s">
        <v>29</v>
      </c>
      <c r="I247" t="s">
        <v>19</v>
      </c>
      <c r="J247" s="7">
        <v>45060</v>
      </c>
      <c r="K247" s="7">
        <v>45549</v>
      </c>
      <c r="L247" s="5">
        <v>150</v>
      </c>
      <c r="M247" t="s">
        <v>27</v>
      </c>
      <c r="N247" t="s">
        <v>586</v>
      </c>
      <c r="O247">
        <v>150</v>
      </c>
      <c r="P247" t="s">
        <v>211</v>
      </c>
      <c r="Q247" t="s">
        <v>25</v>
      </c>
      <c r="R247">
        <v>161</v>
      </c>
      <c r="S247">
        <v>0</v>
      </c>
      <c r="T247" t="s">
        <v>82</v>
      </c>
      <c r="U247" t="s">
        <v>63</v>
      </c>
      <c r="V247">
        <v>1.25</v>
      </c>
      <c r="W247">
        <v>3.04</v>
      </c>
      <c r="X247">
        <v>10</v>
      </c>
      <c r="Y247">
        <v>20.7</v>
      </c>
      <c r="Z247">
        <v>13.5</v>
      </c>
    </row>
    <row r="248" spans="1:26">
      <c r="A248" t="s">
        <v>669</v>
      </c>
      <c r="B248">
        <v>20</v>
      </c>
      <c r="C248" t="s">
        <v>44</v>
      </c>
      <c r="D248" t="s">
        <v>44</v>
      </c>
      <c r="E248" t="s">
        <v>259</v>
      </c>
      <c r="F248" t="s">
        <v>150</v>
      </c>
      <c r="G248" t="s">
        <v>278</v>
      </c>
      <c r="H248" t="s">
        <v>34</v>
      </c>
      <c r="I248" t="s">
        <v>19</v>
      </c>
      <c r="J248" s="7">
        <v>45227</v>
      </c>
      <c r="K248" s="7">
        <v>45775</v>
      </c>
      <c r="L248" s="5">
        <v>200</v>
      </c>
      <c r="M248" t="s">
        <v>28</v>
      </c>
      <c r="N248" t="s">
        <v>670</v>
      </c>
      <c r="O248">
        <v>200</v>
      </c>
      <c r="P248" t="s">
        <v>206</v>
      </c>
      <c r="Q248" t="s">
        <v>26</v>
      </c>
      <c r="R248">
        <v>68</v>
      </c>
      <c r="S248">
        <v>1</v>
      </c>
      <c r="T248" t="s">
        <v>81</v>
      </c>
      <c r="U248" t="s">
        <v>61</v>
      </c>
      <c r="V248">
        <v>2.23</v>
      </c>
      <c r="W248">
        <v>3.5</v>
      </c>
      <c r="X248">
        <v>5.7</v>
      </c>
      <c r="Y248">
        <v>13.7</v>
      </c>
      <c r="Z248">
        <v>5.2</v>
      </c>
    </row>
    <row r="249" spans="1:26">
      <c r="A249" t="s">
        <v>671</v>
      </c>
      <c r="B249">
        <v>70</v>
      </c>
      <c r="C249" t="s">
        <v>70</v>
      </c>
      <c r="D249" t="s">
        <v>42</v>
      </c>
      <c r="E249" t="s">
        <v>259</v>
      </c>
      <c r="F249" t="s">
        <v>150</v>
      </c>
      <c r="G249" t="s">
        <v>322</v>
      </c>
      <c r="H249" t="s">
        <v>32</v>
      </c>
      <c r="I249" t="s">
        <v>18</v>
      </c>
      <c r="J249" s="7">
        <v>44520</v>
      </c>
      <c r="K249" s="7">
        <v>44793</v>
      </c>
      <c r="L249" s="5">
        <v>200</v>
      </c>
      <c r="M249" t="s">
        <v>28</v>
      </c>
      <c r="N249" t="s">
        <v>289</v>
      </c>
      <c r="O249">
        <v>200</v>
      </c>
      <c r="P249" t="s">
        <v>206</v>
      </c>
      <c r="Q249" t="s">
        <v>28</v>
      </c>
      <c r="R249">
        <v>92</v>
      </c>
      <c r="S249">
        <v>1</v>
      </c>
      <c r="T249" t="s">
        <v>81</v>
      </c>
      <c r="U249" t="s">
        <v>61</v>
      </c>
      <c r="V249">
        <v>4.55</v>
      </c>
      <c r="W249">
        <v>2.8</v>
      </c>
      <c r="X249">
        <v>2.8</v>
      </c>
      <c r="Y249">
        <v>12.6</v>
      </c>
      <c r="Z249">
        <v>10</v>
      </c>
    </row>
    <row r="250" spans="1:26">
      <c r="A250" t="s">
        <v>672</v>
      </c>
      <c r="B250">
        <v>80</v>
      </c>
      <c r="C250" t="s">
        <v>44</v>
      </c>
      <c r="D250" t="s">
        <v>43</v>
      </c>
      <c r="E250" t="s">
        <v>272</v>
      </c>
      <c r="F250" t="s">
        <v>150</v>
      </c>
      <c r="G250" t="s">
        <v>291</v>
      </c>
      <c r="H250" t="s">
        <v>30</v>
      </c>
      <c r="I250" t="s">
        <v>18</v>
      </c>
      <c r="J250" s="7">
        <v>44256</v>
      </c>
      <c r="K250" s="7">
        <v>44562</v>
      </c>
      <c r="L250" s="5">
        <v>150</v>
      </c>
      <c r="M250" t="s">
        <v>25</v>
      </c>
      <c r="N250" t="s">
        <v>438</v>
      </c>
      <c r="O250">
        <v>150</v>
      </c>
      <c r="P250" t="s">
        <v>205</v>
      </c>
      <c r="Q250" t="s">
        <v>27</v>
      </c>
      <c r="R250">
        <v>35</v>
      </c>
      <c r="S250">
        <v>0</v>
      </c>
      <c r="T250" t="s">
        <v>83</v>
      </c>
      <c r="U250" t="s">
        <v>63</v>
      </c>
      <c r="V250">
        <v>4.31</v>
      </c>
      <c r="W250">
        <v>3.93</v>
      </c>
      <c r="X250">
        <v>7.9</v>
      </c>
      <c r="Y250">
        <v>6.2</v>
      </c>
      <c r="Z250">
        <v>10.1</v>
      </c>
    </row>
    <row r="251" spans="1:26">
      <c r="A251" t="s">
        <v>673</v>
      </c>
      <c r="B251">
        <v>58</v>
      </c>
      <c r="C251" t="s">
        <v>44</v>
      </c>
      <c r="D251" t="s">
        <v>39</v>
      </c>
      <c r="E251" t="s">
        <v>311</v>
      </c>
      <c r="F251" t="s">
        <v>150</v>
      </c>
      <c r="G251" t="s">
        <v>261</v>
      </c>
      <c r="H251" t="s">
        <v>32</v>
      </c>
      <c r="I251" t="s">
        <v>16</v>
      </c>
      <c r="J251" s="7">
        <v>44922</v>
      </c>
      <c r="K251" s="7">
        <v>45165</v>
      </c>
      <c r="L251" s="5">
        <v>100</v>
      </c>
      <c r="M251" t="s">
        <v>25</v>
      </c>
      <c r="N251" t="s">
        <v>459</v>
      </c>
      <c r="O251">
        <v>100</v>
      </c>
      <c r="P251" t="s">
        <v>205</v>
      </c>
      <c r="Q251" t="s">
        <v>28</v>
      </c>
      <c r="R251">
        <v>163</v>
      </c>
      <c r="S251">
        <v>0</v>
      </c>
      <c r="T251" t="s">
        <v>80</v>
      </c>
      <c r="U251" t="s">
        <v>61</v>
      </c>
      <c r="V251">
        <v>2.93</v>
      </c>
      <c r="W251">
        <v>1.08</v>
      </c>
      <c r="X251">
        <v>3.3</v>
      </c>
      <c r="Y251">
        <v>19.7</v>
      </c>
      <c r="Z251">
        <v>5.3</v>
      </c>
    </row>
    <row r="252" spans="1:26">
      <c r="A252" t="s">
        <v>674</v>
      </c>
      <c r="B252">
        <v>81</v>
      </c>
      <c r="C252" t="s">
        <v>71</v>
      </c>
      <c r="D252" t="s">
        <v>41</v>
      </c>
      <c r="E252" t="s">
        <v>255</v>
      </c>
      <c r="F252" t="s">
        <v>264</v>
      </c>
      <c r="G252" t="s">
        <v>256</v>
      </c>
      <c r="H252" t="s">
        <v>34</v>
      </c>
      <c r="I252" t="s">
        <v>18</v>
      </c>
      <c r="J252" s="7">
        <v>44656</v>
      </c>
      <c r="K252" s="7">
        <v>44870</v>
      </c>
      <c r="L252" s="5">
        <v>100</v>
      </c>
      <c r="M252" t="s">
        <v>150</v>
      </c>
      <c r="N252" t="s">
        <v>398</v>
      </c>
      <c r="O252">
        <v>100</v>
      </c>
      <c r="P252" t="s">
        <v>211</v>
      </c>
      <c r="Q252" t="s">
        <v>150</v>
      </c>
      <c r="R252">
        <v>180</v>
      </c>
      <c r="S252">
        <v>0</v>
      </c>
      <c r="T252" t="s">
        <v>83</v>
      </c>
      <c r="U252" t="s">
        <v>61</v>
      </c>
      <c r="V252">
        <v>3.14</v>
      </c>
      <c r="W252">
        <v>1.86</v>
      </c>
      <c r="X252">
        <v>1.1</v>
      </c>
      <c r="Y252">
        <v>10.3</v>
      </c>
      <c r="Z252">
        <v>19.6</v>
      </c>
    </row>
    <row r="253" spans="1:26">
      <c r="A253" t="s">
        <v>675</v>
      </c>
      <c r="B253">
        <v>65</v>
      </c>
      <c r="C253" t="s">
        <v>44</v>
      </c>
      <c r="D253" t="s">
        <v>42</v>
      </c>
      <c r="E253" t="s">
        <v>150</v>
      </c>
      <c r="F253" t="s">
        <v>150</v>
      </c>
      <c r="G253" t="s">
        <v>269</v>
      </c>
      <c r="H253" t="s">
        <v>30</v>
      </c>
      <c r="I253" t="s">
        <v>19</v>
      </c>
      <c r="J253" s="7">
        <v>43998</v>
      </c>
      <c r="K253" s="7">
        <v>44516</v>
      </c>
      <c r="L253" s="5">
        <v>150</v>
      </c>
      <c r="M253" t="s">
        <v>28</v>
      </c>
      <c r="N253" t="s">
        <v>601</v>
      </c>
      <c r="O253">
        <v>150</v>
      </c>
      <c r="P253" t="s">
        <v>205</v>
      </c>
      <c r="Q253" t="s">
        <v>28</v>
      </c>
      <c r="R253">
        <v>91</v>
      </c>
      <c r="S253">
        <v>0</v>
      </c>
      <c r="T253" t="s">
        <v>81</v>
      </c>
      <c r="U253" t="s">
        <v>61</v>
      </c>
      <c r="V253">
        <v>4.21</v>
      </c>
      <c r="W253">
        <v>4.84</v>
      </c>
      <c r="X253">
        <v>5.4</v>
      </c>
      <c r="Y253">
        <v>8</v>
      </c>
      <c r="Z253">
        <v>12.3</v>
      </c>
    </row>
    <row r="254" spans="1:26">
      <c r="A254" t="s">
        <v>676</v>
      </c>
      <c r="B254">
        <v>57</v>
      </c>
      <c r="C254" t="s">
        <v>44</v>
      </c>
      <c r="D254" t="s">
        <v>39</v>
      </c>
      <c r="E254" t="s">
        <v>311</v>
      </c>
      <c r="F254" t="s">
        <v>150</v>
      </c>
      <c r="G254" t="s">
        <v>265</v>
      </c>
      <c r="H254" t="s">
        <v>34</v>
      </c>
      <c r="I254" t="s">
        <v>20</v>
      </c>
      <c r="J254" s="7">
        <v>43655</v>
      </c>
      <c r="K254" s="7">
        <v>43960</v>
      </c>
      <c r="L254" s="5">
        <v>50</v>
      </c>
      <c r="M254" t="s">
        <v>150</v>
      </c>
      <c r="N254" t="s">
        <v>677</v>
      </c>
      <c r="O254">
        <v>50</v>
      </c>
      <c r="P254" t="s">
        <v>206</v>
      </c>
      <c r="Q254" t="s">
        <v>27</v>
      </c>
      <c r="R254">
        <v>111</v>
      </c>
      <c r="S254">
        <v>1</v>
      </c>
      <c r="T254" t="s">
        <v>82</v>
      </c>
      <c r="U254" t="s">
        <v>63</v>
      </c>
      <c r="V254">
        <v>2.82</v>
      </c>
      <c r="W254">
        <v>4.38</v>
      </c>
      <c r="X254">
        <v>1.9</v>
      </c>
      <c r="Y254">
        <v>14.8</v>
      </c>
      <c r="Z254">
        <v>5.6</v>
      </c>
    </row>
    <row r="255" spans="1:26">
      <c r="A255" t="s">
        <v>678</v>
      </c>
      <c r="B255">
        <v>53</v>
      </c>
      <c r="C255" t="s">
        <v>71</v>
      </c>
      <c r="D255" t="s">
        <v>43</v>
      </c>
      <c r="E255" t="s">
        <v>272</v>
      </c>
      <c r="F255" t="s">
        <v>150</v>
      </c>
      <c r="G255" t="s">
        <v>256</v>
      </c>
      <c r="H255" t="s">
        <v>34</v>
      </c>
      <c r="I255" t="s">
        <v>16</v>
      </c>
      <c r="J255" s="7">
        <v>44174</v>
      </c>
      <c r="K255" s="7">
        <v>44601</v>
      </c>
      <c r="L255" s="5">
        <v>50</v>
      </c>
      <c r="M255" t="s">
        <v>27</v>
      </c>
      <c r="N255" t="s">
        <v>679</v>
      </c>
      <c r="O255">
        <v>50</v>
      </c>
      <c r="P255" t="s">
        <v>205</v>
      </c>
      <c r="Q255" t="s">
        <v>28</v>
      </c>
      <c r="R255">
        <v>43</v>
      </c>
      <c r="S255">
        <v>0</v>
      </c>
      <c r="T255" t="s">
        <v>78</v>
      </c>
      <c r="U255" t="s">
        <v>61</v>
      </c>
      <c r="V255">
        <v>2.3</v>
      </c>
      <c r="W255">
        <v>3.95</v>
      </c>
      <c r="X255">
        <v>5.3</v>
      </c>
      <c r="Y255">
        <v>12.8</v>
      </c>
      <c r="Z255">
        <v>9.7</v>
      </c>
    </row>
    <row r="256" spans="1:26">
      <c r="A256" t="s">
        <v>680</v>
      </c>
      <c r="B256">
        <v>35</v>
      </c>
      <c r="C256" t="s">
        <v>71</v>
      </c>
      <c r="D256" t="s">
        <v>43</v>
      </c>
      <c r="E256" t="s">
        <v>259</v>
      </c>
      <c r="F256" t="s">
        <v>150</v>
      </c>
      <c r="G256" t="s">
        <v>256</v>
      </c>
      <c r="H256" t="s">
        <v>29</v>
      </c>
      <c r="I256" t="s">
        <v>16</v>
      </c>
      <c r="J256" s="7">
        <v>43938</v>
      </c>
      <c r="K256" s="7">
        <v>44456</v>
      </c>
      <c r="L256" s="5">
        <v>100</v>
      </c>
      <c r="M256" t="s">
        <v>27</v>
      </c>
      <c r="N256" t="s">
        <v>325</v>
      </c>
      <c r="O256">
        <v>100</v>
      </c>
      <c r="P256" t="s">
        <v>205</v>
      </c>
      <c r="Q256" t="s">
        <v>26</v>
      </c>
      <c r="R256">
        <v>96</v>
      </c>
      <c r="S256">
        <v>0</v>
      </c>
      <c r="T256" t="s">
        <v>78</v>
      </c>
      <c r="U256" t="s">
        <v>61</v>
      </c>
      <c r="V256">
        <v>2.84</v>
      </c>
      <c r="W256">
        <v>4.14</v>
      </c>
      <c r="X256">
        <v>9</v>
      </c>
      <c r="Y256">
        <v>23.2</v>
      </c>
      <c r="Z256">
        <v>16.4</v>
      </c>
    </row>
    <row r="257" spans="1:26">
      <c r="A257" t="s">
        <v>681</v>
      </c>
      <c r="B257">
        <v>54</v>
      </c>
      <c r="C257" t="s">
        <v>71</v>
      </c>
      <c r="D257" t="s">
        <v>42</v>
      </c>
      <c r="E257" t="s">
        <v>272</v>
      </c>
      <c r="F257" t="s">
        <v>260</v>
      </c>
      <c r="G257" t="s">
        <v>297</v>
      </c>
      <c r="H257" t="s">
        <v>30</v>
      </c>
      <c r="I257" t="s">
        <v>16</v>
      </c>
      <c r="J257" s="7">
        <v>43729</v>
      </c>
      <c r="K257" s="7">
        <v>44186</v>
      </c>
      <c r="L257" s="5">
        <v>100</v>
      </c>
      <c r="M257" t="s">
        <v>27</v>
      </c>
      <c r="N257" t="s">
        <v>682</v>
      </c>
      <c r="O257">
        <v>100</v>
      </c>
      <c r="P257" t="s">
        <v>211</v>
      </c>
      <c r="Q257" t="s">
        <v>26</v>
      </c>
      <c r="R257">
        <v>42</v>
      </c>
      <c r="S257">
        <v>0</v>
      </c>
      <c r="T257" t="s">
        <v>82</v>
      </c>
      <c r="U257" t="s">
        <v>61</v>
      </c>
      <c r="V257">
        <v>2.26</v>
      </c>
      <c r="W257">
        <v>3.75</v>
      </c>
      <c r="X257">
        <v>4.9</v>
      </c>
      <c r="Y257">
        <v>10.6</v>
      </c>
      <c r="Z257">
        <v>17.3</v>
      </c>
    </row>
    <row r="258" spans="1:26">
      <c r="A258" t="s">
        <v>683</v>
      </c>
      <c r="B258">
        <v>51</v>
      </c>
      <c r="C258" t="s">
        <v>71</v>
      </c>
      <c r="D258" t="s">
        <v>42</v>
      </c>
      <c r="E258" t="s">
        <v>150</v>
      </c>
      <c r="F258" t="s">
        <v>268</v>
      </c>
      <c r="G258" t="s">
        <v>284</v>
      </c>
      <c r="H258" t="s">
        <v>29</v>
      </c>
      <c r="I258" t="s">
        <v>20</v>
      </c>
      <c r="J258" s="7">
        <v>44881</v>
      </c>
      <c r="K258" s="7">
        <v>45093</v>
      </c>
      <c r="L258" s="5">
        <v>100</v>
      </c>
      <c r="M258" t="s">
        <v>26</v>
      </c>
      <c r="N258" t="s">
        <v>684</v>
      </c>
      <c r="O258">
        <v>100</v>
      </c>
      <c r="P258" t="s">
        <v>205</v>
      </c>
      <c r="Q258" t="s">
        <v>27</v>
      </c>
      <c r="R258">
        <v>127</v>
      </c>
      <c r="S258">
        <v>0</v>
      </c>
      <c r="T258" t="s">
        <v>78</v>
      </c>
      <c r="U258" t="s">
        <v>61</v>
      </c>
      <c r="V258">
        <v>1.15</v>
      </c>
      <c r="W258">
        <v>4.61</v>
      </c>
      <c r="X258">
        <v>5.2</v>
      </c>
      <c r="Y258">
        <v>17.5</v>
      </c>
      <c r="Z258">
        <v>14.2</v>
      </c>
    </row>
    <row r="259" spans="1:26">
      <c r="A259" t="s">
        <v>685</v>
      </c>
      <c r="B259">
        <v>44</v>
      </c>
      <c r="C259" t="s">
        <v>44</v>
      </c>
      <c r="D259" t="s">
        <v>41</v>
      </c>
      <c r="E259" t="s">
        <v>150</v>
      </c>
      <c r="F259" t="s">
        <v>150</v>
      </c>
      <c r="G259" t="s">
        <v>278</v>
      </c>
      <c r="H259" t="s">
        <v>34</v>
      </c>
      <c r="I259" t="s">
        <v>18</v>
      </c>
      <c r="J259" s="7">
        <v>44621</v>
      </c>
      <c r="K259" s="7">
        <v>44927</v>
      </c>
      <c r="L259" s="5">
        <v>150</v>
      </c>
      <c r="M259" t="s">
        <v>25</v>
      </c>
      <c r="N259" t="s">
        <v>686</v>
      </c>
      <c r="O259">
        <v>150</v>
      </c>
      <c r="P259" t="s">
        <v>206</v>
      </c>
      <c r="Q259" t="s">
        <v>150</v>
      </c>
      <c r="R259">
        <v>179</v>
      </c>
      <c r="S259">
        <v>1</v>
      </c>
      <c r="T259" t="s">
        <v>82</v>
      </c>
      <c r="U259" t="s">
        <v>63</v>
      </c>
      <c r="V259">
        <v>4.58</v>
      </c>
      <c r="W259">
        <v>3.55</v>
      </c>
      <c r="X259">
        <v>6.5</v>
      </c>
      <c r="Y259">
        <v>7.2</v>
      </c>
      <c r="Z259">
        <v>11.8</v>
      </c>
    </row>
    <row r="260" spans="1:26">
      <c r="A260" t="s">
        <v>687</v>
      </c>
      <c r="B260">
        <v>19</v>
      </c>
      <c r="C260" t="s">
        <v>70</v>
      </c>
      <c r="D260" t="s">
        <v>41</v>
      </c>
      <c r="E260" t="s">
        <v>150</v>
      </c>
      <c r="F260" t="s">
        <v>150</v>
      </c>
      <c r="G260" t="s">
        <v>297</v>
      </c>
      <c r="H260" t="s">
        <v>30</v>
      </c>
      <c r="I260" t="s">
        <v>20</v>
      </c>
      <c r="J260" s="7">
        <v>44915</v>
      </c>
      <c r="K260" s="7">
        <v>45219</v>
      </c>
      <c r="L260" s="5">
        <v>50</v>
      </c>
      <c r="M260" t="s">
        <v>25</v>
      </c>
      <c r="N260" t="s">
        <v>347</v>
      </c>
      <c r="O260">
        <v>50</v>
      </c>
      <c r="P260" t="s">
        <v>206</v>
      </c>
      <c r="Q260" t="s">
        <v>150</v>
      </c>
      <c r="R260">
        <v>90</v>
      </c>
      <c r="S260">
        <v>1</v>
      </c>
      <c r="T260" t="s">
        <v>82</v>
      </c>
      <c r="U260" t="s">
        <v>61</v>
      </c>
      <c r="V260">
        <v>1.6</v>
      </c>
      <c r="W260">
        <v>3.95</v>
      </c>
      <c r="X260">
        <v>5.6</v>
      </c>
      <c r="Y260">
        <v>18.2</v>
      </c>
      <c r="Z260">
        <v>3.7</v>
      </c>
    </row>
    <row r="261" spans="1:26">
      <c r="A261" t="s">
        <v>688</v>
      </c>
      <c r="B261">
        <v>23</v>
      </c>
      <c r="C261" t="s">
        <v>71</v>
      </c>
      <c r="D261" t="s">
        <v>39</v>
      </c>
      <c r="E261" t="s">
        <v>255</v>
      </c>
      <c r="F261" t="s">
        <v>150</v>
      </c>
      <c r="G261" t="s">
        <v>362</v>
      </c>
      <c r="H261" t="s">
        <v>34</v>
      </c>
      <c r="I261" t="s">
        <v>19</v>
      </c>
      <c r="J261" s="7">
        <v>44076</v>
      </c>
      <c r="K261" s="7">
        <v>44532</v>
      </c>
      <c r="L261" s="5">
        <v>100</v>
      </c>
      <c r="M261" t="s">
        <v>26</v>
      </c>
      <c r="N261" t="s">
        <v>666</v>
      </c>
      <c r="O261">
        <v>100</v>
      </c>
      <c r="P261" t="s">
        <v>211</v>
      </c>
      <c r="Q261" t="s">
        <v>26</v>
      </c>
      <c r="R261">
        <v>52</v>
      </c>
      <c r="S261">
        <v>0</v>
      </c>
      <c r="T261" t="s">
        <v>81</v>
      </c>
      <c r="U261" t="s">
        <v>61</v>
      </c>
      <c r="V261">
        <v>1.34</v>
      </c>
      <c r="W261">
        <v>3.87</v>
      </c>
      <c r="X261">
        <v>1.6</v>
      </c>
      <c r="Y261">
        <v>7.3</v>
      </c>
      <c r="Z261">
        <v>3.2</v>
      </c>
    </row>
    <row r="262" spans="1:26">
      <c r="A262" t="s">
        <v>689</v>
      </c>
      <c r="B262">
        <v>36</v>
      </c>
      <c r="C262" t="s">
        <v>70</v>
      </c>
      <c r="D262" t="s">
        <v>42</v>
      </c>
      <c r="E262" t="s">
        <v>150</v>
      </c>
      <c r="F262" t="s">
        <v>273</v>
      </c>
      <c r="G262" t="s">
        <v>269</v>
      </c>
      <c r="H262" t="s">
        <v>32</v>
      </c>
      <c r="I262" t="s">
        <v>19</v>
      </c>
      <c r="J262" s="7">
        <v>44690</v>
      </c>
      <c r="K262" s="7">
        <v>45147</v>
      </c>
      <c r="L262" s="5">
        <v>150</v>
      </c>
      <c r="M262" t="s">
        <v>150</v>
      </c>
      <c r="N262" t="s">
        <v>467</v>
      </c>
      <c r="O262">
        <v>150</v>
      </c>
      <c r="P262" t="s">
        <v>205</v>
      </c>
      <c r="Q262" t="s">
        <v>27</v>
      </c>
      <c r="R262">
        <v>68</v>
      </c>
      <c r="S262">
        <v>0</v>
      </c>
      <c r="T262" t="s">
        <v>80</v>
      </c>
      <c r="U262" t="s">
        <v>61</v>
      </c>
      <c r="V262">
        <v>4.83</v>
      </c>
      <c r="W262">
        <v>3.95</v>
      </c>
      <c r="X262">
        <v>4.2</v>
      </c>
      <c r="Y262">
        <v>11.3</v>
      </c>
      <c r="Z262">
        <v>8.9</v>
      </c>
    </row>
    <row r="263" spans="1:26">
      <c r="A263" t="s">
        <v>690</v>
      </c>
      <c r="B263">
        <v>24</v>
      </c>
      <c r="C263" t="s">
        <v>71</v>
      </c>
      <c r="D263" t="s">
        <v>41</v>
      </c>
      <c r="E263" t="s">
        <v>311</v>
      </c>
      <c r="F263" t="s">
        <v>277</v>
      </c>
      <c r="G263" t="s">
        <v>269</v>
      </c>
      <c r="H263" t="s">
        <v>32</v>
      </c>
      <c r="I263" t="s">
        <v>18</v>
      </c>
      <c r="J263" s="7">
        <v>44746</v>
      </c>
      <c r="K263" s="7">
        <v>45142</v>
      </c>
      <c r="L263" s="5">
        <v>50</v>
      </c>
      <c r="M263" t="s">
        <v>150</v>
      </c>
      <c r="N263" t="s">
        <v>691</v>
      </c>
      <c r="O263">
        <v>50</v>
      </c>
      <c r="P263" t="s">
        <v>211</v>
      </c>
      <c r="Q263" t="s">
        <v>28</v>
      </c>
      <c r="R263">
        <v>67</v>
      </c>
      <c r="S263">
        <v>0</v>
      </c>
      <c r="T263" t="s">
        <v>83</v>
      </c>
      <c r="U263" t="s">
        <v>61</v>
      </c>
      <c r="V263">
        <v>4.1</v>
      </c>
      <c r="W263">
        <v>3.65</v>
      </c>
      <c r="X263">
        <v>2.7</v>
      </c>
      <c r="Y263">
        <v>9.1</v>
      </c>
      <c r="Z263">
        <v>4.7</v>
      </c>
    </row>
    <row r="264" spans="1:26">
      <c r="A264" t="s">
        <v>692</v>
      </c>
      <c r="B264">
        <v>29</v>
      </c>
      <c r="C264" t="s">
        <v>71</v>
      </c>
      <c r="D264" t="s">
        <v>39</v>
      </c>
      <c r="E264" t="s">
        <v>259</v>
      </c>
      <c r="F264" t="s">
        <v>150</v>
      </c>
      <c r="G264" t="s">
        <v>349</v>
      </c>
      <c r="H264" t="s">
        <v>32</v>
      </c>
      <c r="I264" t="s">
        <v>18</v>
      </c>
      <c r="J264" s="7">
        <v>44943</v>
      </c>
      <c r="K264" s="7">
        <v>45490</v>
      </c>
      <c r="L264" s="5">
        <v>100</v>
      </c>
      <c r="M264" t="s">
        <v>28</v>
      </c>
      <c r="N264" t="s">
        <v>490</v>
      </c>
      <c r="O264">
        <v>100</v>
      </c>
      <c r="P264" t="s">
        <v>211</v>
      </c>
      <c r="Q264" t="s">
        <v>28</v>
      </c>
      <c r="R264">
        <v>114</v>
      </c>
      <c r="S264">
        <v>0</v>
      </c>
      <c r="T264" t="s">
        <v>83</v>
      </c>
      <c r="U264" t="s">
        <v>61</v>
      </c>
      <c r="V264">
        <v>3.64</v>
      </c>
      <c r="W264">
        <v>4.06</v>
      </c>
      <c r="X264">
        <v>3.4</v>
      </c>
      <c r="Y264">
        <v>6.4</v>
      </c>
      <c r="Z264">
        <v>4.4</v>
      </c>
    </row>
    <row r="265" spans="1:26">
      <c r="A265" t="s">
        <v>693</v>
      </c>
      <c r="B265">
        <v>33</v>
      </c>
      <c r="C265" t="s">
        <v>70</v>
      </c>
      <c r="D265" t="s">
        <v>39</v>
      </c>
      <c r="E265" t="s">
        <v>255</v>
      </c>
      <c r="F265" t="s">
        <v>150</v>
      </c>
      <c r="G265" t="s">
        <v>284</v>
      </c>
      <c r="H265" t="s">
        <v>32</v>
      </c>
      <c r="I265" t="s">
        <v>18</v>
      </c>
      <c r="J265" s="7">
        <v>43511</v>
      </c>
      <c r="K265" s="7">
        <v>44027</v>
      </c>
      <c r="L265" s="5">
        <v>200</v>
      </c>
      <c r="M265" t="s">
        <v>150</v>
      </c>
      <c r="N265" t="s">
        <v>257</v>
      </c>
      <c r="O265">
        <v>200</v>
      </c>
      <c r="P265" t="s">
        <v>206</v>
      </c>
      <c r="Q265" t="s">
        <v>25</v>
      </c>
      <c r="R265">
        <v>145</v>
      </c>
      <c r="S265">
        <v>1</v>
      </c>
      <c r="T265" t="s">
        <v>81</v>
      </c>
      <c r="U265" t="s">
        <v>63</v>
      </c>
      <c r="V265">
        <v>4.87</v>
      </c>
      <c r="W265">
        <v>2.18</v>
      </c>
      <c r="X265">
        <v>7.9</v>
      </c>
      <c r="Y265">
        <v>17.2</v>
      </c>
      <c r="Z265">
        <v>9.5</v>
      </c>
    </row>
    <row r="266" spans="1:26">
      <c r="A266" t="s">
        <v>694</v>
      </c>
      <c r="B266">
        <v>45</v>
      </c>
      <c r="C266" t="s">
        <v>71</v>
      </c>
      <c r="D266" t="s">
        <v>39</v>
      </c>
      <c r="E266" t="s">
        <v>150</v>
      </c>
      <c r="F266" t="s">
        <v>150</v>
      </c>
      <c r="G266" t="s">
        <v>294</v>
      </c>
      <c r="H266" t="s">
        <v>34</v>
      </c>
      <c r="I266" t="s">
        <v>16</v>
      </c>
      <c r="J266" s="7">
        <v>44687</v>
      </c>
      <c r="K266" s="7">
        <v>44963</v>
      </c>
      <c r="L266" s="5">
        <v>200</v>
      </c>
      <c r="M266" t="s">
        <v>28</v>
      </c>
      <c r="N266" t="s">
        <v>677</v>
      </c>
      <c r="O266">
        <v>200</v>
      </c>
      <c r="P266" t="s">
        <v>206</v>
      </c>
      <c r="Q266" t="s">
        <v>27</v>
      </c>
      <c r="R266">
        <v>133</v>
      </c>
      <c r="S266">
        <v>1</v>
      </c>
      <c r="T266" t="s">
        <v>81</v>
      </c>
      <c r="U266" t="s">
        <v>63</v>
      </c>
      <c r="V266">
        <v>1.82</v>
      </c>
      <c r="W266">
        <v>1.49</v>
      </c>
      <c r="X266">
        <v>6.5</v>
      </c>
      <c r="Y266">
        <v>19.9</v>
      </c>
      <c r="Z266">
        <v>13.9</v>
      </c>
    </row>
    <row r="267" spans="1:26">
      <c r="A267" t="s">
        <v>695</v>
      </c>
      <c r="B267">
        <v>33</v>
      </c>
      <c r="C267" t="s">
        <v>70</v>
      </c>
      <c r="D267" t="s">
        <v>43</v>
      </c>
      <c r="E267" t="s">
        <v>272</v>
      </c>
      <c r="F267" t="s">
        <v>150</v>
      </c>
      <c r="G267" t="s">
        <v>362</v>
      </c>
      <c r="H267" t="s">
        <v>30</v>
      </c>
      <c r="I267" t="s">
        <v>19</v>
      </c>
      <c r="J267" s="7">
        <v>43633</v>
      </c>
      <c r="K267" s="7">
        <v>43907</v>
      </c>
      <c r="L267" s="5">
        <v>200</v>
      </c>
      <c r="M267" t="s">
        <v>27</v>
      </c>
      <c r="N267" t="s">
        <v>696</v>
      </c>
      <c r="O267">
        <v>200</v>
      </c>
      <c r="P267" t="s">
        <v>205</v>
      </c>
      <c r="Q267" t="s">
        <v>25</v>
      </c>
      <c r="R267">
        <v>138</v>
      </c>
      <c r="S267">
        <v>0</v>
      </c>
      <c r="T267" t="s">
        <v>83</v>
      </c>
      <c r="U267" t="s">
        <v>61</v>
      </c>
      <c r="V267">
        <v>3.12</v>
      </c>
      <c r="W267">
        <v>1.17</v>
      </c>
      <c r="X267">
        <v>9.7</v>
      </c>
      <c r="Y267">
        <v>20.4</v>
      </c>
      <c r="Z267">
        <v>8</v>
      </c>
    </row>
    <row r="268" spans="1:26">
      <c r="A268" t="s">
        <v>697</v>
      </c>
      <c r="B268">
        <v>65</v>
      </c>
      <c r="C268" t="s">
        <v>44</v>
      </c>
      <c r="D268" t="s">
        <v>41</v>
      </c>
      <c r="E268" t="s">
        <v>272</v>
      </c>
      <c r="F268" t="s">
        <v>150</v>
      </c>
      <c r="G268" t="s">
        <v>294</v>
      </c>
      <c r="H268" t="s">
        <v>29</v>
      </c>
      <c r="I268" t="s">
        <v>19</v>
      </c>
      <c r="J268" s="7">
        <v>44873</v>
      </c>
      <c r="K268" s="7">
        <v>45359</v>
      </c>
      <c r="L268" s="5">
        <v>100</v>
      </c>
      <c r="M268" t="s">
        <v>25</v>
      </c>
      <c r="N268" t="s">
        <v>328</v>
      </c>
      <c r="O268">
        <v>100</v>
      </c>
      <c r="P268" t="s">
        <v>211</v>
      </c>
      <c r="Q268" t="s">
        <v>27</v>
      </c>
      <c r="R268">
        <v>50</v>
      </c>
      <c r="S268">
        <v>0</v>
      </c>
      <c r="T268" t="s">
        <v>82</v>
      </c>
      <c r="U268" t="s">
        <v>61</v>
      </c>
      <c r="V268">
        <v>4.92</v>
      </c>
      <c r="W268">
        <v>3.41</v>
      </c>
      <c r="X268">
        <v>6.2</v>
      </c>
      <c r="Y268">
        <v>19.5</v>
      </c>
      <c r="Z268">
        <v>16.8</v>
      </c>
    </row>
    <row r="269" spans="1:26">
      <c r="A269" t="s">
        <v>698</v>
      </c>
      <c r="B269">
        <v>37</v>
      </c>
      <c r="C269" t="s">
        <v>71</v>
      </c>
      <c r="D269" t="s">
        <v>39</v>
      </c>
      <c r="E269" t="s">
        <v>259</v>
      </c>
      <c r="F269" t="s">
        <v>150</v>
      </c>
      <c r="G269" t="s">
        <v>362</v>
      </c>
      <c r="H269" t="s">
        <v>29</v>
      </c>
      <c r="I269" t="s">
        <v>16</v>
      </c>
      <c r="J269" s="7">
        <v>43712</v>
      </c>
      <c r="K269" s="7">
        <v>44139</v>
      </c>
      <c r="L269" s="5">
        <v>200</v>
      </c>
      <c r="M269" t="s">
        <v>28</v>
      </c>
      <c r="N269" t="s">
        <v>699</v>
      </c>
      <c r="O269">
        <v>200</v>
      </c>
      <c r="P269" t="s">
        <v>205</v>
      </c>
      <c r="Q269" t="s">
        <v>25</v>
      </c>
      <c r="R269">
        <v>94</v>
      </c>
      <c r="S269">
        <v>0</v>
      </c>
      <c r="T269" t="s">
        <v>81</v>
      </c>
      <c r="U269" t="s">
        <v>61</v>
      </c>
      <c r="V269">
        <v>3.63</v>
      </c>
      <c r="W269">
        <v>1.51</v>
      </c>
      <c r="X269">
        <v>4</v>
      </c>
      <c r="Y269">
        <v>22.7</v>
      </c>
      <c r="Z269">
        <v>6.8</v>
      </c>
    </row>
    <row r="270" spans="1:26">
      <c r="A270" t="s">
        <v>700</v>
      </c>
      <c r="B270">
        <v>28</v>
      </c>
      <c r="C270" t="s">
        <v>44</v>
      </c>
      <c r="D270" t="s">
        <v>42</v>
      </c>
      <c r="E270" t="s">
        <v>311</v>
      </c>
      <c r="F270" t="s">
        <v>150</v>
      </c>
      <c r="G270" t="s">
        <v>431</v>
      </c>
      <c r="H270" t="s">
        <v>30</v>
      </c>
      <c r="I270" t="s">
        <v>18</v>
      </c>
      <c r="J270" s="7">
        <v>44564</v>
      </c>
      <c r="K270" s="7">
        <v>44929</v>
      </c>
      <c r="L270" s="5">
        <v>150</v>
      </c>
      <c r="M270" t="s">
        <v>25</v>
      </c>
      <c r="N270" t="s">
        <v>313</v>
      </c>
      <c r="O270">
        <v>150</v>
      </c>
      <c r="P270" t="s">
        <v>205</v>
      </c>
      <c r="Q270" t="s">
        <v>27</v>
      </c>
      <c r="R270">
        <v>97</v>
      </c>
      <c r="S270">
        <v>0</v>
      </c>
      <c r="T270" t="s">
        <v>81</v>
      </c>
      <c r="U270" t="s">
        <v>63</v>
      </c>
      <c r="V270">
        <v>2.49</v>
      </c>
      <c r="W270">
        <v>2.73</v>
      </c>
      <c r="X270">
        <v>5</v>
      </c>
      <c r="Y270">
        <v>17</v>
      </c>
      <c r="Z270">
        <v>19</v>
      </c>
    </row>
    <row r="271" spans="1:26">
      <c r="A271" t="s">
        <v>701</v>
      </c>
      <c r="B271">
        <v>45</v>
      </c>
      <c r="C271" t="s">
        <v>71</v>
      </c>
      <c r="D271" t="s">
        <v>42</v>
      </c>
      <c r="E271" t="s">
        <v>255</v>
      </c>
      <c r="F271" t="s">
        <v>277</v>
      </c>
      <c r="G271" t="s">
        <v>261</v>
      </c>
      <c r="H271" t="s">
        <v>29</v>
      </c>
      <c r="I271" t="s">
        <v>16</v>
      </c>
      <c r="J271" s="7">
        <v>44593</v>
      </c>
      <c r="K271" s="7">
        <v>44835</v>
      </c>
      <c r="L271" s="5">
        <v>200</v>
      </c>
      <c r="M271" t="s">
        <v>27</v>
      </c>
      <c r="N271" t="s">
        <v>702</v>
      </c>
      <c r="O271">
        <v>200</v>
      </c>
      <c r="P271" t="s">
        <v>205</v>
      </c>
      <c r="Q271" t="s">
        <v>25</v>
      </c>
      <c r="R271">
        <v>122</v>
      </c>
      <c r="S271">
        <v>0</v>
      </c>
      <c r="T271" t="s">
        <v>82</v>
      </c>
      <c r="U271" t="s">
        <v>61</v>
      </c>
      <c r="V271">
        <v>1.96</v>
      </c>
      <c r="W271">
        <v>1.49</v>
      </c>
      <c r="X271">
        <v>2.8</v>
      </c>
      <c r="Y271">
        <v>22</v>
      </c>
      <c r="Z271">
        <v>14</v>
      </c>
    </row>
    <row r="272" spans="1:26">
      <c r="A272" t="s">
        <v>703</v>
      </c>
      <c r="B272">
        <v>29</v>
      </c>
      <c r="C272" t="s">
        <v>71</v>
      </c>
      <c r="D272" t="s">
        <v>41</v>
      </c>
      <c r="E272" t="s">
        <v>311</v>
      </c>
      <c r="F272" t="s">
        <v>277</v>
      </c>
      <c r="G272" t="s">
        <v>278</v>
      </c>
      <c r="H272" t="s">
        <v>29</v>
      </c>
      <c r="I272" t="s">
        <v>18</v>
      </c>
      <c r="J272" s="7">
        <v>44870</v>
      </c>
      <c r="K272" s="7">
        <v>45356</v>
      </c>
      <c r="L272" s="5">
        <v>100</v>
      </c>
      <c r="M272" t="s">
        <v>25</v>
      </c>
      <c r="N272" t="s">
        <v>704</v>
      </c>
      <c r="O272">
        <v>100</v>
      </c>
      <c r="P272" t="s">
        <v>211</v>
      </c>
      <c r="Q272" t="s">
        <v>27</v>
      </c>
      <c r="R272">
        <v>67</v>
      </c>
      <c r="S272">
        <v>0</v>
      </c>
      <c r="T272" t="s">
        <v>82</v>
      </c>
      <c r="U272" t="s">
        <v>61</v>
      </c>
      <c r="V272">
        <v>2.14</v>
      </c>
      <c r="W272">
        <v>4.26</v>
      </c>
      <c r="X272">
        <v>8.8</v>
      </c>
      <c r="Y272">
        <v>21.2</v>
      </c>
      <c r="Z272">
        <v>18.6</v>
      </c>
    </row>
    <row r="273" spans="1:26">
      <c r="A273" t="s">
        <v>705</v>
      </c>
      <c r="B273">
        <v>20</v>
      </c>
      <c r="C273" t="s">
        <v>71</v>
      </c>
      <c r="D273" t="s">
        <v>41</v>
      </c>
      <c r="E273" t="s">
        <v>259</v>
      </c>
      <c r="F273" t="s">
        <v>150</v>
      </c>
      <c r="G273" t="s">
        <v>431</v>
      </c>
      <c r="H273" t="s">
        <v>34</v>
      </c>
      <c r="I273" t="s">
        <v>20</v>
      </c>
      <c r="J273" s="7">
        <v>43696</v>
      </c>
      <c r="K273" s="7">
        <v>43970</v>
      </c>
      <c r="L273" s="5">
        <v>100</v>
      </c>
      <c r="M273" t="s">
        <v>25</v>
      </c>
      <c r="N273" t="s">
        <v>598</v>
      </c>
      <c r="O273">
        <v>100</v>
      </c>
      <c r="P273" t="s">
        <v>211</v>
      </c>
      <c r="Q273" t="s">
        <v>28</v>
      </c>
      <c r="R273">
        <v>56</v>
      </c>
      <c r="S273">
        <v>0</v>
      </c>
      <c r="T273" t="s">
        <v>82</v>
      </c>
      <c r="U273" t="s">
        <v>61</v>
      </c>
      <c r="V273">
        <v>2.01</v>
      </c>
      <c r="W273">
        <v>4.02</v>
      </c>
      <c r="X273">
        <v>5.1</v>
      </c>
      <c r="Y273">
        <v>21.2</v>
      </c>
      <c r="Z273">
        <v>15.4</v>
      </c>
    </row>
    <row r="274" spans="1:26">
      <c r="A274" t="s">
        <v>706</v>
      </c>
      <c r="B274">
        <v>81</v>
      </c>
      <c r="C274" t="s">
        <v>44</v>
      </c>
      <c r="D274" t="s">
        <v>44</v>
      </c>
      <c r="E274" t="s">
        <v>255</v>
      </c>
      <c r="F274" t="s">
        <v>150</v>
      </c>
      <c r="G274" t="s">
        <v>362</v>
      </c>
      <c r="H274" t="s">
        <v>29</v>
      </c>
      <c r="I274" t="s">
        <v>20</v>
      </c>
      <c r="J274" s="7">
        <v>44790</v>
      </c>
      <c r="K274" s="7">
        <v>45247</v>
      </c>
      <c r="L274" s="5">
        <v>200</v>
      </c>
      <c r="M274" t="s">
        <v>28</v>
      </c>
      <c r="N274" t="s">
        <v>390</v>
      </c>
      <c r="O274">
        <v>200</v>
      </c>
      <c r="P274" t="s">
        <v>206</v>
      </c>
      <c r="Q274" t="s">
        <v>27</v>
      </c>
      <c r="R274">
        <v>177</v>
      </c>
      <c r="S274">
        <v>1</v>
      </c>
      <c r="T274" t="s">
        <v>81</v>
      </c>
      <c r="U274" t="s">
        <v>63</v>
      </c>
      <c r="V274">
        <v>4.11</v>
      </c>
      <c r="W274">
        <v>3.62</v>
      </c>
      <c r="X274">
        <v>2.6</v>
      </c>
      <c r="Y274">
        <v>15.8</v>
      </c>
      <c r="Z274">
        <v>19.7</v>
      </c>
    </row>
    <row r="275" spans="1:26">
      <c r="A275" t="s">
        <v>707</v>
      </c>
      <c r="B275">
        <v>52</v>
      </c>
      <c r="C275" t="s">
        <v>44</v>
      </c>
      <c r="D275" t="s">
        <v>43</v>
      </c>
      <c r="E275" t="s">
        <v>272</v>
      </c>
      <c r="F275" t="s">
        <v>268</v>
      </c>
      <c r="G275" t="s">
        <v>327</v>
      </c>
      <c r="H275" t="s">
        <v>34</v>
      </c>
      <c r="I275" t="s">
        <v>20</v>
      </c>
      <c r="J275" s="7">
        <v>43534</v>
      </c>
      <c r="K275" s="7">
        <v>44053</v>
      </c>
      <c r="L275" s="5">
        <v>100</v>
      </c>
      <c r="M275" t="s">
        <v>150</v>
      </c>
      <c r="N275" t="s">
        <v>531</v>
      </c>
      <c r="O275">
        <v>100</v>
      </c>
      <c r="P275" t="s">
        <v>205</v>
      </c>
      <c r="Q275" t="s">
        <v>26</v>
      </c>
      <c r="R275">
        <v>180</v>
      </c>
      <c r="S275">
        <v>0</v>
      </c>
      <c r="T275" t="s">
        <v>81</v>
      </c>
      <c r="U275" t="s">
        <v>61</v>
      </c>
      <c r="V275">
        <v>4.75</v>
      </c>
      <c r="W275">
        <v>1.17</v>
      </c>
      <c r="X275">
        <v>2.5</v>
      </c>
      <c r="Y275">
        <v>8.4</v>
      </c>
      <c r="Z275">
        <v>15.3</v>
      </c>
    </row>
    <row r="276" spans="1:26">
      <c r="A276" t="s">
        <v>708</v>
      </c>
      <c r="B276">
        <v>34</v>
      </c>
      <c r="C276" t="s">
        <v>70</v>
      </c>
      <c r="D276" t="s">
        <v>43</v>
      </c>
      <c r="E276" t="s">
        <v>272</v>
      </c>
      <c r="F276" t="s">
        <v>150</v>
      </c>
      <c r="G276" t="s">
        <v>327</v>
      </c>
      <c r="H276" t="s">
        <v>34</v>
      </c>
      <c r="I276" t="s">
        <v>18</v>
      </c>
      <c r="J276" s="7">
        <v>45026</v>
      </c>
      <c r="K276" s="7">
        <v>45545</v>
      </c>
      <c r="L276" s="5">
        <v>50</v>
      </c>
      <c r="M276" t="s">
        <v>27</v>
      </c>
      <c r="N276" t="s">
        <v>404</v>
      </c>
      <c r="O276">
        <v>50</v>
      </c>
      <c r="P276" t="s">
        <v>206</v>
      </c>
      <c r="Q276" t="s">
        <v>25</v>
      </c>
      <c r="R276">
        <v>155</v>
      </c>
      <c r="S276">
        <v>1</v>
      </c>
      <c r="T276" t="s">
        <v>83</v>
      </c>
      <c r="U276" t="s">
        <v>61</v>
      </c>
      <c r="V276">
        <v>4.27</v>
      </c>
      <c r="W276">
        <v>1.85</v>
      </c>
      <c r="X276">
        <v>5.6</v>
      </c>
      <c r="Y276">
        <v>21.1</v>
      </c>
      <c r="Z276">
        <v>15.5</v>
      </c>
    </row>
    <row r="277" spans="1:26">
      <c r="A277" t="s">
        <v>709</v>
      </c>
      <c r="B277">
        <v>81</v>
      </c>
      <c r="C277" t="s">
        <v>70</v>
      </c>
      <c r="D277" t="s">
        <v>41</v>
      </c>
      <c r="E277" t="s">
        <v>259</v>
      </c>
      <c r="F277" t="s">
        <v>150</v>
      </c>
      <c r="G277" t="s">
        <v>312</v>
      </c>
      <c r="H277" t="s">
        <v>32</v>
      </c>
      <c r="I277" t="s">
        <v>19</v>
      </c>
      <c r="J277" s="7">
        <v>44506</v>
      </c>
      <c r="K277" s="7">
        <v>44748</v>
      </c>
      <c r="L277" s="5">
        <v>50</v>
      </c>
      <c r="M277" t="s">
        <v>150</v>
      </c>
      <c r="N277" t="s">
        <v>658</v>
      </c>
      <c r="O277">
        <v>50</v>
      </c>
      <c r="P277" t="s">
        <v>206</v>
      </c>
      <c r="Q277" t="s">
        <v>25</v>
      </c>
      <c r="R277">
        <v>88</v>
      </c>
      <c r="S277">
        <v>1</v>
      </c>
      <c r="T277" t="s">
        <v>83</v>
      </c>
      <c r="U277" t="s">
        <v>63</v>
      </c>
      <c r="V277">
        <v>3.17</v>
      </c>
      <c r="W277">
        <v>3.36</v>
      </c>
      <c r="X277">
        <v>5.6</v>
      </c>
      <c r="Y277">
        <v>11.4</v>
      </c>
      <c r="Z277">
        <v>12.6</v>
      </c>
    </row>
    <row r="278" spans="1:26">
      <c r="A278" t="s">
        <v>710</v>
      </c>
      <c r="B278">
        <v>80</v>
      </c>
      <c r="C278" t="s">
        <v>70</v>
      </c>
      <c r="D278" t="s">
        <v>39</v>
      </c>
      <c r="E278" t="s">
        <v>150</v>
      </c>
      <c r="F278" t="s">
        <v>150</v>
      </c>
      <c r="G278" t="s">
        <v>319</v>
      </c>
      <c r="H278" t="s">
        <v>32</v>
      </c>
      <c r="I278" t="s">
        <v>18</v>
      </c>
      <c r="J278" s="7">
        <v>45221</v>
      </c>
      <c r="K278" s="7">
        <v>45434</v>
      </c>
      <c r="L278" s="5">
        <v>50</v>
      </c>
      <c r="M278" t="s">
        <v>27</v>
      </c>
      <c r="N278" t="s">
        <v>317</v>
      </c>
      <c r="O278">
        <v>50</v>
      </c>
      <c r="P278" t="s">
        <v>205</v>
      </c>
      <c r="Q278" t="s">
        <v>25</v>
      </c>
      <c r="R278">
        <v>56</v>
      </c>
      <c r="S278">
        <v>0</v>
      </c>
      <c r="T278" t="s">
        <v>80</v>
      </c>
      <c r="U278" t="s">
        <v>63</v>
      </c>
      <c r="V278">
        <v>3.76</v>
      </c>
      <c r="W278">
        <v>4.49</v>
      </c>
      <c r="X278">
        <v>6.7</v>
      </c>
      <c r="Y278">
        <v>19.7</v>
      </c>
      <c r="Z278">
        <v>5.7</v>
      </c>
    </row>
    <row r="279" spans="1:26">
      <c r="A279" t="s">
        <v>711</v>
      </c>
      <c r="B279">
        <v>82</v>
      </c>
      <c r="C279" t="s">
        <v>71</v>
      </c>
      <c r="D279" t="s">
        <v>41</v>
      </c>
      <c r="E279" t="s">
        <v>311</v>
      </c>
      <c r="F279" t="s">
        <v>150</v>
      </c>
      <c r="G279" t="s">
        <v>327</v>
      </c>
      <c r="H279" t="s">
        <v>30</v>
      </c>
      <c r="I279" t="s">
        <v>19</v>
      </c>
      <c r="J279" s="7">
        <v>44820</v>
      </c>
      <c r="K279" s="7">
        <v>45338</v>
      </c>
      <c r="L279" s="5">
        <v>50</v>
      </c>
      <c r="M279" t="s">
        <v>150</v>
      </c>
      <c r="N279" t="s">
        <v>712</v>
      </c>
      <c r="O279">
        <v>50</v>
      </c>
      <c r="P279" t="s">
        <v>206</v>
      </c>
      <c r="Q279" t="s">
        <v>28</v>
      </c>
      <c r="R279">
        <v>81</v>
      </c>
      <c r="S279">
        <v>1</v>
      </c>
      <c r="T279" t="s">
        <v>82</v>
      </c>
      <c r="U279" t="s">
        <v>61</v>
      </c>
      <c r="V279">
        <v>2.85</v>
      </c>
      <c r="W279">
        <v>1.04</v>
      </c>
      <c r="X279">
        <v>3.2</v>
      </c>
      <c r="Y279">
        <v>19.1</v>
      </c>
      <c r="Z279">
        <v>19.9</v>
      </c>
    </row>
    <row r="280" spans="1:26">
      <c r="A280" t="s">
        <v>713</v>
      </c>
      <c r="B280">
        <v>18</v>
      </c>
      <c r="C280" t="s">
        <v>71</v>
      </c>
      <c r="D280" t="s">
        <v>43</v>
      </c>
      <c r="E280" t="s">
        <v>150</v>
      </c>
      <c r="F280" t="s">
        <v>273</v>
      </c>
      <c r="G280" t="s">
        <v>294</v>
      </c>
      <c r="H280" t="s">
        <v>32</v>
      </c>
      <c r="I280" t="s">
        <v>19</v>
      </c>
      <c r="J280" s="7">
        <v>44733</v>
      </c>
      <c r="K280" s="7">
        <v>45220</v>
      </c>
      <c r="L280" s="5">
        <v>100</v>
      </c>
      <c r="M280" t="s">
        <v>25</v>
      </c>
      <c r="N280" t="s">
        <v>714</v>
      </c>
      <c r="O280">
        <v>100</v>
      </c>
      <c r="P280" t="s">
        <v>206</v>
      </c>
      <c r="Q280" t="s">
        <v>26</v>
      </c>
      <c r="R280">
        <v>139</v>
      </c>
      <c r="S280">
        <v>1</v>
      </c>
      <c r="T280" t="s">
        <v>82</v>
      </c>
      <c r="U280" t="s">
        <v>61</v>
      </c>
      <c r="V280">
        <v>1.4</v>
      </c>
      <c r="W280">
        <v>2.61</v>
      </c>
      <c r="X280">
        <v>8.2</v>
      </c>
      <c r="Y280">
        <v>9.7</v>
      </c>
      <c r="Z280">
        <v>12.4</v>
      </c>
    </row>
    <row r="281" spans="1:26">
      <c r="A281" t="s">
        <v>715</v>
      </c>
      <c r="B281">
        <v>76</v>
      </c>
      <c r="C281" t="s">
        <v>44</v>
      </c>
      <c r="D281" t="s">
        <v>39</v>
      </c>
      <c r="E281" t="s">
        <v>311</v>
      </c>
      <c r="F281" t="s">
        <v>277</v>
      </c>
      <c r="G281" t="s">
        <v>349</v>
      </c>
      <c r="H281" t="s">
        <v>29</v>
      </c>
      <c r="I281" t="s">
        <v>16</v>
      </c>
      <c r="J281" s="7">
        <v>44360</v>
      </c>
      <c r="K281" s="7">
        <v>44908</v>
      </c>
      <c r="L281" s="5">
        <v>100</v>
      </c>
      <c r="M281" t="s">
        <v>28</v>
      </c>
      <c r="N281" t="s">
        <v>298</v>
      </c>
      <c r="O281">
        <v>100</v>
      </c>
      <c r="P281" t="s">
        <v>206</v>
      </c>
      <c r="Q281" t="s">
        <v>26</v>
      </c>
      <c r="R281">
        <v>177</v>
      </c>
      <c r="S281">
        <v>1</v>
      </c>
      <c r="T281" t="s">
        <v>83</v>
      </c>
      <c r="U281" t="s">
        <v>61</v>
      </c>
      <c r="V281">
        <v>3.93</v>
      </c>
      <c r="W281">
        <v>3.46</v>
      </c>
      <c r="X281">
        <v>2.7</v>
      </c>
      <c r="Y281">
        <v>12.4</v>
      </c>
      <c r="Z281">
        <v>16.3</v>
      </c>
    </row>
    <row r="282" spans="1:26">
      <c r="A282" t="s">
        <v>716</v>
      </c>
      <c r="B282">
        <v>71</v>
      </c>
      <c r="C282" t="s">
        <v>70</v>
      </c>
      <c r="D282" t="s">
        <v>44</v>
      </c>
      <c r="E282" t="s">
        <v>150</v>
      </c>
      <c r="F282" t="s">
        <v>150</v>
      </c>
      <c r="G282" t="s">
        <v>256</v>
      </c>
      <c r="H282" t="s">
        <v>32</v>
      </c>
      <c r="I282" t="s">
        <v>16</v>
      </c>
      <c r="J282" s="7">
        <v>44459</v>
      </c>
      <c r="K282" s="7">
        <v>44701</v>
      </c>
      <c r="L282" s="5">
        <v>200</v>
      </c>
      <c r="M282" t="s">
        <v>26</v>
      </c>
      <c r="N282" t="s">
        <v>307</v>
      </c>
      <c r="O282">
        <v>200</v>
      </c>
      <c r="P282" t="s">
        <v>211</v>
      </c>
      <c r="Q282" t="s">
        <v>27</v>
      </c>
      <c r="R282">
        <v>80</v>
      </c>
      <c r="S282">
        <v>0</v>
      </c>
      <c r="T282" t="s">
        <v>81</v>
      </c>
      <c r="U282" t="s">
        <v>63</v>
      </c>
      <c r="V282">
        <v>3.22</v>
      </c>
      <c r="W282">
        <v>1.02</v>
      </c>
      <c r="X282">
        <v>7.8</v>
      </c>
      <c r="Y282">
        <v>6.6</v>
      </c>
      <c r="Z282">
        <v>15.7</v>
      </c>
    </row>
    <row r="283" spans="1:26">
      <c r="A283" t="s">
        <v>717</v>
      </c>
      <c r="B283">
        <v>22</v>
      </c>
      <c r="C283" t="s">
        <v>44</v>
      </c>
      <c r="D283" t="s">
        <v>39</v>
      </c>
      <c r="E283" t="s">
        <v>272</v>
      </c>
      <c r="F283" t="s">
        <v>150</v>
      </c>
      <c r="G283" t="s">
        <v>281</v>
      </c>
      <c r="H283" t="s">
        <v>32</v>
      </c>
      <c r="I283" t="s">
        <v>18</v>
      </c>
      <c r="J283" s="7">
        <v>43726</v>
      </c>
      <c r="K283" s="7">
        <v>44030</v>
      </c>
      <c r="L283" s="5">
        <v>150</v>
      </c>
      <c r="M283" t="s">
        <v>26</v>
      </c>
      <c r="N283" t="s">
        <v>718</v>
      </c>
      <c r="O283">
        <v>150</v>
      </c>
      <c r="P283" t="s">
        <v>205</v>
      </c>
      <c r="Q283" t="s">
        <v>150</v>
      </c>
      <c r="R283">
        <v>91</v>
      </c>
      <c r="S283">
        <v>0</v>
      </c>
      <c r="T283" t="s">
        <v>81</v>
      </c>
      <c r="U283" t="s">
        <v>61</v>
      </c>
      <c r="V283">
        <v>1.81</v>
      </c>
      <c r="W283">
        <v>4.83</v>
      </c>
      <c r="X283">
        <v>4.3</v>
      </c>
      <c r="Y283">
        <v>11.9</v>
      </c>
      <c r="Z283">
        <v>5.5</v>
      </c>
    </row>
    <row r="284" spans="1:26">
      <c r="A284" t="s">
        <v>719</v>
      </c>
      <c r="B284">
        <v>82</v>
      </c>
      <c r="C284" t="s">
        <v>71</v>
      </c>
      <c r="D284" t="s">
        <v>42</v>
      </c>
      <c r="E284" t="s">
        <v>150</v>
      </c>
      <c r="F284" t="s">
        <v>268</v>
      </c>
      <c r="G284" t="s">
        <v>327</v>
      </c>
      <c r="H284" t="s">
        <v>29</v>
      </c>
      <c r="I284" t="s">
        <v>16</v>
      </c>
      <c r="J284" s="7">
        <v>43687</v>
      </c>
      <c r="K284" s="7">
        <v>44145</v>
      </c>
      <c r="L284" s="5">
        <v>50</v>
      </c>
      <c r="M284" t="s">
        <v>150</v>
      </c>
      <c r="N284" t="s">
        <v>573</v>
      </c>
      <c r="O284">
        <v>50</v>
      </c>
      <c r="P284" t="s">
        <v>205</v>
      </c>
      <c r="Q284" t="s">
        <v>25</v>
      </c>
      <c r="R284">
        <v>166</v>
      </c>
      <c r="S284">
        <v>0</v>
      </c>
      <c r="T284" t="s">
        <v>80</v>
      </c>
      <c r="U284" t="s">
        <v>63</v>
      </c>
      <c r="V284">
        <v>2.22</v>
      </c>
      <c r="W284">
        <v>4.51</v>
      </c>
      <c r="X284">
        <v>10</v>
      </c>
      <c r="Y284">
        <v>12.6</v>
      </c>
      <c r="Z284">
        <v>10.6</v>
      </c>
    </row>
    <row r="285" spans="1:26">
      <c r="A285" t="s">
        <v>720</v>
      </c>
      <c r="B285">
        <v>62</v>
      </c>
      <c r="C285" t="s">
        <v>70</v>
      </c>
      <c r="D285" t="s">
        <v>39</v>
      </c>
      <c r="E285" t="s">
        <v>255</v>
      </c>
      <c r="F285" t="s">
        <v>150</v>
      </c>
      <c r="G285" t="s">
        <v>297</v>
      </c>
      <c r="H285" t="s">
        <v>30</v>
      </c>
      <c r="I285" t="s">
        <v>16</v>
      </c>
      <c r="J285" s="7">
        <v>44458</v>
      </c>
      <c r="K285" s="7">
        <v>44731</v>
      </c>
      <c r="L285" s="5">
        <v>150</v>
      </c>
      <c r="M285" t="s">
        <v>28</v>
      </c>
      <c r="N285" t="s">
        <v>350</v>
      </c>
      <c r="O285">
        <v>150</v>
      </c>
      <c r="P285" t="s">
        <v>211</v>
      </c>
      <c r="Q285" t="s">
        <v>27</v>
      </c>
      <c r="R285">
        <v>50</v>
      </c>
      <c r="S285">
        <v>0</v>
      </c>
      <c r="T285" t="s">
        <v>83</v>
      </c>
      <c r="U285" t="s">
        <v>63</v>
      </c>
      <c r="V285">
        <v>3.89</v>
      </c>
      <c r="W285">
        <v>4.54</v>
      </c>
      <c r="X285">
        <v>6.3</v>
      </c>
      <c r="Y285">
        <v>13</v>
      </c>
      <c r="Z285">
        <v>10</v>
      </c>
    </row>
    <row r="286" spans="1:26">
      <c r="A286" t="s">
        <v>721</v>
      </c>
      <c r="B286">
        <v>72</v>
      </c>
      <c r="C286" t="s">
        <v>71</v>
      </c>
      <c r="D286" t="s">
        <v>43</v>
      </c>
      <c r="E286" t="s">
        <v>259</v>
      </c>
      <c r="F286" t="s">
        <v>264</v>
      </c>
      <c r="G286" t="s">
        <v>349</v>
      </c>
      <c r="H286" t="s">
        <v>34</v>
      </c>
      <c r="I286" t="s">
        <v>20</v>
      </c>
      <c r="J286" s="7">
        <v>44485</v>
      </c>
      <c r="K286" s="7">
        <v>44973</v>
      </c>
      <c r="L286" s="5">
        <v>200</v>
      </c>
      <c r="M286" t="s">
        <v>27</v>
      </c>
      <c r="N286" t="s">
        <v>722</v>
      </c>
      <c r="O286">
        <v>200</v>
      </c>
      <c r="P286" t="s">
        <v>206</v>
      </c>
      <c r="Q286" t="s">
        <v>25</v>
      </c>
      <c r="R286">
        <v>62</v>
      </c>
      <c r="S286">
        <v>1</v>
      </c>
      <c r="T286" t="s">
        <v>82</v>
      </c>
      <c r="U286" t="s">
        <v>61</v>
      </c>
      <c r="V286">
        <v>3.78</v>
      </c>
      <c r="W286">
        <v>1.01</v>
      </c>
      <c r="X286">
        <v>6.6</v>
      </c>
      <c r="Y286">
        <v>12.4</v>
      </c>
      <c r="Z286">
        <v>16.5</v>
      </c>
    </row>
    <row r="287" spans="1:26">
      <c r="A287" t="s">
        <v>723</v>
      </c>
      <c r="B287">
        <v>34</v>
      </c>
      <c r="C287" t="s">
        <v>44</v>
      </c>
      <c r="D287" t="s">
        <v>44</v>
      </c>
      <c r="E287" t="s">
        <v>255</v>
      </c>
      <c r="F287" t="s">
        <v>273</v>
      </c>
      <c r="G287" t="s">
        <v>431</v>
      </c>
      <c r="H287" t="s">
        <v>34</v>
      </c>
      <c r="I287" t="s">
        <v>16</v>
      </c>
      <c r="J287" s="7">
        <v>44086</v>
      </c>
      <c r="K287" s="7">
        <v>44298</v>
      </c>
      <c r="L287" s="5">
        <v>200</v>
      </c>
      <c r="M287" t="s">
        <v>28</v>
      </c>
      <c r="N287" t="s">
        <v>724</v>
      </c>
      <c r="O287">
        <v>200</v>
      </c>
      <c r="P287" t="s">
        <v>205</v>
      </c>
      <c r="Q287" t="s">
        <v>150</v>
      </c>
      <c r="R287">
        <v>40</v>
      </c>
      <c r="S287">
        <v>0</v>
      </c>
      <c r="T287" t="s">
        <v>80</v>
      </c>
      <c r="U287" t="s">
        <v>63</v>
      </c>
      <c r="V287">
        <v>1.37</v>
      </c>
      <c r="W287">
        <v>3.35</v>
      </c>
      <c r="X287">
        <v>5.3</v>
      </c>
      <c r="Y287">
        <v>17.6</v>
      </c>
      <c r="Z287">
        <v>4.1</v>
      </c>
    </row>
    <row r="288" spans="1:26">
      <c r="A288" t="s">
        <v>725</v>
      </c>
      <c r="B288">
        <v>33</v>
      </c>
      <c r="C288" t="s">
        <v>70</v>
      </c>
      <c r="D288" t="s">
        <v>39</v>
      </c>
      <c r="E288" t="s">
        <v>150</v>
      </c>
      <c r="F288" t="s">
        <v>260</v>
      </c>
      <c r="G288" t="s">
        <v>312</v>
      </c>
      <c r="H288" t="s">
        <v>30</v>
      </c>
      <c r="I288" t="s">
        <v>18</v>
      </c>
      <c r="J288" s="7">
        <v>45109</v>
      </c>
      <c r="K288" s="7">
        <v>45414</v>
      </c>
      <c r="L288" s="5">
        <v>150</v>
      </c>
      <c r="M288" t="s">
        <v>26</v>
      </c>
      <c r="N288" t="s">
        <v>601</v>
      </c>
      <c r="O288">
        <v>150</v>
      </c>
      <c r="P288" t="s">
        <v>211</v>
      </c>
      <c r="Q288" t="s">
        <v>28</v>
      </c>
      <c r="R288">
        <v>61</v>
      </c>
      <c r="S288">
        <v>0</v>
      </c>
      <c r="T288" t="s">
        <v>80</v>
      </c>
      <c r="U288" t="s">
        <v>61</v>
      </c>
      <c r="V288">
        <v>3.32</v>
      </c>
      <c r="W288">
        <v>3.25</v>
      </c>
      <c r="X288">
        <v>6</v>
      </c>
      <c r="Y288">
        <v>16.9</v>
      </c>
      <c r="Z288">
        <v>14.5</v>
      </c>
    </row>
    <row r="289" spans="1:26">
      <c r="A289" t="s">
        <v>726</v>
      </c>
      <c r="B289">
        <v>26</v>
      </c>
      <c r="C289" t="s">
        <v>71</v>
      </c>
      <c r="D289" t="s">
        <v>43</v>
      </c>
      <c r="E289" t="s">
        <v>272</v>
      </c>
      <c r="F289" t="s">
        <v>150</v>
      </c>
      <c r="G289" t="s">
        <v>274</v>
      </c>
      <c r="H289" t="s">
        <v>34</v>
      </c>
      <c r="I289" t="s">
        <v>19</v>
      </c>
      <c r="J289" s="7">
        <v>44800</v>
      </c>
      <c r="K289" s="7">
        <v>45318</v>
      </c>
      <c r="L289" s="5">
        <v>100</v>
      </c>
      <c r="M289" t="s">
        <v>25</v>
      </c>
      <c r="N289" t="s">
        <v>365</v>
      </c>
      <c r="O289">
        <v>100</v>
      </c>
      <c r="P289" t="s">
        <v>211</v>
      </c>
      <c r="Q289" t="s">
        <v>27</v>
      </c>
      <c r="R289">
        <v>144</v>
      </c>
      <c r="S289">
        <v>0</v>
      </c>
      <c r="T289" t="s">
        <v>78</v>
      </c>
      <c r="U289" t="s">
        <v>61</v>
      </c>
      <c r="V289">
        <v>4.22</v>
      </c>
      <c r="W289">
        <v>2.08</v>
      </c>
      <c r="X289">
        <v>8.4</v>
      </c>
      <c r="Y289">
        <v>15</v>
      </c>
      <c r="Z289">
        <v>4.3</v>
      </c>
    </row>
    <row r="290" spans="1:26">
      <c r="A290" t="s">
        <v>727</v>
      </c>
      <c r="B290">
        <v>29</v>
      </c>
      <c r="C290" t="s">
        <v>44</v>
      </c>
      <c r="D290" t="s">
        <v>44</v>
      </c>
      <c r="E290" t="s">
        <v>272</v>
      </c>
      <c r="F290" t="s">
        <v>260</v>
      </c>
      <c r="G290" t="s">
        <v>256</v>
      </c>
      <c r="H290" t="s">
        <v>29</v>
      </c>
      <c r="I290" t="s">
        <v>20</v>
      </c>
      <c r="J290" s="7">
        <v>44503</v>
      </c>
      <c r="K290" s="7">
        <v>44745</v>
      </c>
      <c r="L290" s="5">
        <v>50</v>
      </c>
      <c r="M290" t="s">
        <v>150</v>
      </c>
      <c r="N290" t="s">
        <v>493</v>
      </c>
      <c r="O290">
        <v>50</v>
      </c>
      <c r="P290" t="s">
        <v>206</v>
      </c>
      <c r="Q290" t="s">
        <v>26</v>
      </c>
      <c r="R290">
        <v>168</v>
      </c>
      <c r="S290">
        <v>1</v>
      </c>
      <c r="T290" t="s">
        <v>80</v>
      </c>
      <c r="U290" t="s">
        <v>63</v>
      </c>
      <c r="V290">
        <v>1.23</v>
      </c>
      <c r="W290">
        <v>2.34</v>
      </c>
      <c r="X290">
        <v>8.1</v>
      </c>
      <c r="Y290">
        <v>18.7</v>
      </c>
      <c r="Z290">
        <v>16.4</v>
      </c>
    </row>
    <row r="291" spans="1:26">
      <c r="A291" t="s">
        <v>728</v>
      </c>
      <c r="B291">
        <v>84</v>
      </c>
      <c r="C291" t="s">
        <v>71</v>
      </c>
      <c r="D291" t="s">
        <v>43</v>
      </c>
      <c r="E291" t="s">
        <v>255</v>
      </c>
      <c r="F291" t="s">
        <v>150</v>
      </c>
      <c r="G291" t="s">
        <v>284</v>
      </c>
      <c r="H291" t="s">
        <v>30</v>
      </c>
      <c r="I291" t="s">
        <v>16</v>
      </c>
      <c r="J291" s="7">
        <v>44294</v>
      </c>
      <c r="K291" s="7">
        <v>44812</v>
      </c>
      <c r="L291" s="5">
        <v>200</v>
      </c>
      <c r="M291" t="s">
        <v>25</v>
      </c>
      <c r="N291" t="s">
        <v>488</v>
      </c>
      <c r="O291">
        <v>200</v>
      </c>
      <c r="P291" t="s">
        <v>211</v>
      </c>
      <c r="Q291" t="s">
        <v>27</v>
      </c>
      <c r="R291">
        <v>180</v>
      </c>
      <c r="S291">
        <v>0</v>
      </c>
      <c r="T291" t="s">
        <v>83</v>
      </c>
      <c r="U291" t="s">
        <v>61</v>
      </c>
      <c r="V291">
        <v>3.07</v>
      </c>
      <c r="W291">
        <v>2.76</v>
      </c>
      <c r="X291">
        <v>2.3</v>
      </c>
      <c r="Y291">
        <v>11.9</v>
      </c>
      <c r="Z291">
        <v>10.4</v>
      </c>
    </row>
    <row r="292" spans="1:26">
      <c r="A292" t="s">
        <v>729</v>
      </c>
      <c r="B292">
        <v>20</v>
      </c>
      <c r="C292" t="s">
        <v>70</v>
      </c>
      <c r="D292" t="s">
        <v>43</v>
      </c>
      <c r="E292" t="s">
        <v>259</v>
      </c>
      <c r="F292" t="s">
        <v>268</v>
      </c>
      <c r="G292" t="s">
        <v>256</v>
      </c>
      <c r="H292" t="s">
        <v>34</v>
      </c>
      <c r="I292" t="s">
        <v>19</v>
      </c>
      <c r="J292" s="7">
        <v>43500</v>
      </c>
      <c r="K292" s="7">
        <v>43925</v>
      </c>
      <c r="L292" s="5">
        <v>100</v>
      </c>
      <c r="M292" t="s">
        <v>26</v>
      </c>
      <c r="N292" t="s">
        <v>606</v>
      </c>
      <c r="O292">
        <v>100</v>
      </c>
      <c r="P292" t="s">
        <v>206</v>
      </c>
      <c r="Q292" t="s">
        <v>26</v>
      </c>
      <c r="R292">
        <v>108</v>
      </c>
      <c r="S292">
        <v>1</v>
      </c>
      <c r="T292" t="s">
        <v>82</v>
      </c>
      <c r="U292" t="s">
        <v>63</v>
      </c>
      <c r="V292">
        <v>1.35</v>
      </c>
      <c r="W292">
        <v>1.88</v>
      </c>
      <c r="X292">
        <v>6.4</v>
      </c>
      <c r="Y292">
        <v>19.2</v>
      </c>
      <c r="Z292">
        <v>20</v>
      </c>
    </row>
    <row r="293" spans="1:26">
      <c r="A293" t="s">
        <v>730</v>
      </c>
      <c r="B293">
        <v>25</v>
      </c>
      <c r="C293" t="s">
        <v>44</v>
      </c>
      <c r="D293" t="s">
        <v>39</v>
      </c>
      <c r="E293" t="s">
        <v>259</v>
      </c>
      <c r="F293" t="s">
        <v>277</v>
      </c>
      <c r="G293" t="s">
        <v>362</v>
      </c>
      <c r="H293" t="s">
        <v>34</v>
      </c>
      <c r="I293" t="s">
        <v>16</v>
      </c>
      <c r="J293" s="7">
        <v>44269</v>
      </c>
      <c r="K293" s="7">
        <v>44606</v>
      </c>
      <c r="L293" s="5">
        <v>150</v>
      </c>
      <c r="M293" t="s">
        <v>28</v>
      </c>
      <c r="N293" t="s">
        <v>404</v>
      </c>
      <c r="O293">
        <v>150</v>
      </c>
      <c r="P293" t="s">
        <v>206</v>
      </c>
      <c r="Q293" t="s">
        <v>25</v>
      </c>
      <c r="R293">
        <v>180</v>
      </c>
      <c r="S293">
        <v>1</v>
      </c>
      <c r="T293" t="s">
        <v>78</v>
      </c>
      <c r="U293" t="s">
        <v>61</v>
      </c>
      <c r="V293">
        <v>4.73</v>
      </c>
      <c r="W293">
        <v>3.57</v>
      </c>
      <c r="X293">
        <v>4.8</v>
      </c>
      <c r="Y293">
        <v>17.5</v>
      </c>
      <c r="Z293">
        <v>16.4</v>
      </c>
    </row>
    <row r="294" spans="1:26">
      <c r="A294" t="s">
        <v>731</v>
      </c>
      <c r="B294">
        <v>83</v>
      </c>
      <c r="C294" t="s">
        <v>44</v>
      </c>
      <c r="D294" t="s">
        <v>43</v>
      </c>
      <c r="E294" t="s">
        <v>311</v>
      </c>
      <c r="F294" t="s">
        <v>264</v>
      </c>
      <c r="G294" t="s">
        <v>431</v>
      </c>
      <c r="H294" t="s">
        <v>34</v>
      </c>
      <c r="I294" t="s">
        <v>16</v>
      </c>
      <c r="J294" s="7">
        <v>44575</v>
      </c>
      <c r="K294" s="7">
        <v>45060</v>
      </c>
      <c r="L294" s="5">
        <v>100</v>
      </c>
      <c r="M294" t="s">
        <v>150</v>
      </c>
      <c r="N294" t="s">
        <v>315</v>
      </c>
      <c r="O294">
        <v>100</v>
      </c>
      <c r="P294" t="s">
        <v>205</v>
      </c>
      <c r="Q294" t="s">
        <v>28</v>
      </c>
      <c r="R294">
        <v>93</v>
      </c>
      <c r="S294">
        <v>0</v>
      </c>
      <c r="T294" t="s">
        <v>80</v>
      </c>
      <c r="U294" t="s">
        <v>63</v>
      </c>
      <c r="V294">
        <v>1.47</v>
      </c>
      <c r="W294">
        <v>2.64</v>
      </c>
      <c r="X294">
        <v>8.6</v>
      </c>
      <c r="Y294">
        <v>12.9</v>
      </c>
      <c r="Z294">
        <v>12.7</v>
      </c>
    </row>
    <row r="295" spans="1:26">
      <c r="A295" t="s">
        <v>732</v>
      </c>
      <c r="B295">
        <v>56</v>
      </c>
      <c r="C295" t="s">
        <v>44</v>
      </c>
      <c r="D295" t="s">
        <v>43</v>
      </c>
      <c r="E295" t="s">
        <v>272</v>
      </c>
      <c r="F295" t="s">
        <v>268</v>
      </c>
      <c r="G295" t="s">
        <v>278</v>
      </c>
      <c r="H295" t="s">
        <v>30</v>
      </c>
      <c r="I295" t="s">
        <v>19</v>
      </c>
      <c r="J295" s="7">
        <v>45011</v>
      </c>
      <c r="K295" s="7">
        <v>45286</v>
      </c>
      <c r="L295" s="5">
        <v>200</v>
      </c>
      <c r="M295" t="s">
        <v>27</v>
      </c>
      <c r="N295" t="s">
        <v>670</v>
      </c>
      <c r="O295">
        <v>200</v>
      </c>
      <c r="P295" t="s">
        <v>205</v>
      </c>
      <c r="Q295" t="s">
        <v>150</v>
      </c>
      <c r="R295">
        <v>72</v>
      </c>
      <c r="S295">
        <v>0</v>
      </c>
      <c r="T295" t="s">
        <v>83</v>
      </c>
      <c r="U295" t="s">
        <v>63</v>
      </c>
      <c r="V295">
        <v>3.35</v>
      </c>
      <c r="W295">
        <v>1.74</v>
      </c>
      <c r="X295">
        <v>4.3</v>
      </c>
      <c r="Y295">
        <v>12</v>
      </c>
      <c r="Z295">
        <v>3.4</v>
      </c>
    </row>
    <row r="296" spans="1:26">
      <c r="A296" t="s">
        <v>733</v>
      </c>
      <c r="B296">
        <v>79</v>
      </c>
      <c r="C296" t="s">
        <v>70</v>
      </c>
      <c r="D296" t="s">
        <v>44</v>
      </c>
      <c r="E296" t="s">
        <v>150</v>
      </c>
      <c r="F296" t="s">
        <v>150</v>
      </c>
      <c r="G296" t="s">
        <v>297</v>
      </c>
      <c r="H296" t="s">
        <v>32</v>
      </c>
      <c r="I296" t="s">
        <v>18</v>
      </c>
      <c r="J296" s="7">
        <v>45179</v>
      </c>
      <c r="K296" s="7">
        <v>45361</v>
      </c>
      <c r="L296" s="5">
        <v>100</v>
      </c>
      <c r="M296" t="s">
        <v>25</v>
      </c>
      <c r="N296" t="s">
        <v>704</v>
      </c>
      <c r="O296">
        <v>100</v>
      </c>
      <c r="P296" t="s">
        <v>211</v>
      </c>
      <c r="Q296" t="s">
        <v>28</v>
      </c>
      <c r="R296">
        <v>65</v>
      </c>
      <c r="S296">
        <v>0</v>
      </c>
      <c r="T296" t="s">
        <v>80</v>
      </c>
      <c r="U296" t="s">
        <v>61</v>
      </c>
      <c r="V296">
        <v>1.1</v>
      </c>
      <c r="W296">
        <v>4.33</v>
      </c>
      <c r="X296">
        <v>3.5</v>
      </c>
      <c r="Y296">
        <v>15.3</v>
      </c>
      <c r="Z296">
        <v>8.1</v>
      </c>
    </row>
    <row r="297" spans="1:26">
      <c r="A297" t="s">
        <v>734</v>
      </c>
      <c r="B297">
        <v>73</v>
      </c>
      <c r="C297" t="s">
        <v>71</v>
      </c>
      <c r="D297" t="s">
        <v>44</v>
      </c>
      <c r="E297" t="s">
        <v>255</v>
      </c>
      <c r="F297" t="s">
        <v>150</v>
      </c>
      <c r="G297" t="s">
        <v>256</v>
      </c>
      <c r="H297" t="s">
        <v>32</v>
      </c>
      <c r="I297" t="s">
        <v>19</v>
      </c>
      <c r="J297" s="7">
        <v>44689</v>
      </c>
      <c r="K297" s="7">
        <v>45177</v>
      </c>
      <c r="L297" s="5">
        <v>150</v>
      </c>
      <c r="M297" t="s">
        <v>26</v>
      </c>
      <c r="N297" t="s">
        <v>735</v>
      </c>
      <c r="O297">
        <v>150</v>
      </c>
      <c r="P297" t="s">
        <v>211</v>
      </c>
      <c r="Q297" t="s">
        <v>28</v>
      </c>
      <c r="R297">
        <v>64</v>
      </c>
      <c r="S297">
        <v>0</v>
      </c>
      <c r="T297" t="s">
        <v>83</v>
      </c>
      <c r="U297" t="s">
        <v>61</v>
      </c>
      <c r="V297">
        <v>4.76</v>
      </c>
      <c r="W297">
        <v>2.04</v>
      </c>
      <c r="X297">
        <v>4.9</v>
      </c>
      <c r="Y297">
        <v>21.7</v>
      </c>
      <c r="Z297">
        <v>17.3</v>
      </c>
    </row>
    <row r="298" spans="1:26">
      <c r="A298" t="s">
        <v>736</v>
      </c>
      <c r="B298">
        <v>18</v>
      </c>
      <c r="C298" t="s">
        <v>71</v>
      </c>
      <c r="D298" t="s">
        <v>41</v>
      </c>
      <c r="E298" t="s">
        <v>272</v>
      </c>
      <c r="F298" t="s">
        <v>150</v>
      </c>
      <c r="G298" t="s">
        <v>269</v>
      </c>
      <c r="H298" t="s">
        <v>34</v>
      </c>
      <c r="I298" t="s">
        <v>16</v>
      </c>
      <c r="J298" s="7">
        <v>43709</v>
      </c>
      <c r="K298" s="7">
        <v>44197</v>
      </c>
      <c r="L298" s="5">
        <v>200</v>
      </c>
      <c r="M298" t="s">
        <v>28</v>
      </c>
      <c r="N298" t="s">
        <v>735</v>
      </c>
      <c r="O298">
        <v>200</v>
      </c>
      <c r="P298" t="s">
        <v>211</v>
      </c>
      <c r="Q298" t="s">
        <v>27</v>
      </c>
      <c r="R298">
        <v>75</v>
      </c>
      <c r="S298">
        <v>0</v>
      </c>
      <c r="T298" t="s">
        <v>83</v>
      </c>
      <c r="U298" t="s">
        <v>63</v>
      </c>
      <c r="V298">
        <v>1.74</v>
      </c>
      <c r="W298">
        <v>4.21</v>
      </c>
      <c r="X298">
        <v>5.1</v>
      </c>
      <c r="Y298">
        <v>14.7</v>
      </c>
      <c r="Z298">
        <v>5.3</v>
      </c>
    </row>
    <row r="299" spans="1:26">
      <c r="A299" t="s">
        <v>737</v>
      </c>
      <c r="B299">
        <v>77</v>
      </c>
      <c r="C299" t="s">
        <v>70</v>
      </c>
      <c r="D299" t="s">
        <v>41</v>
      </c>
      <c r="E299" t="s">
        <v>272</v>
      </c>
      <c r="F299" t="s">
        <v>277</v>
      </c>
      <c r="G299" t="s">
        <v>322</v>
      </c>
      <c r="H299" t="s">
        <v>32</v>
      </c>
      <c r="I299" t="s">
        <v>18</v>
      </c>
      <c r="J299" s="7">
        <v>43759</v>
      </c>
      <c r="K299" s="7">
        <v>44064</v>
      </c>
      <c r="L299" s="5">
        <v>100</v>
      </c>
      <c r="M299" t="s">
        <v>27</v>
      </c>
      <c r="N299" t="s">
        <v>323</v>
      </c>
      <c r="O299">
        <v>100</v>
      </c>
      <c r="P299" t="s">
        <v>206</v>
      </c>
      <c r="Q299" t="s">
        <v>150</v>
      </c>
      <c r="R299">
        <v>156</v>
      </c>
      <c r="S299">
        <v>1</v>
      </c>
      <c r="T299" t="s">
        <v>80</v>
      </c>
      <c r="U299" t="s">
        <v>63</v>
      </c>
      <c r="V299">
        <v>1.32</v>
      </c>
      <c r="W299">
        <v>3.91</v>
      </c>
      <c r="X299">
        <v>5.5</v>
      </c>
      <c r="Y299">
        <v>13.9</v>
      </c>
      <c r="Z299">
        <v>15.4</v>
      </c>
    </row>
    <row r="300" spans="1:26">
      <c r="A300" t="s">
        <v>738</v>
      </c>
      <c r="B300">
        <v>18</v>
      </c>
      <c r="C300" t="s">
        <v>71</v>
      </c>
      <c r="D300" t="s">
        <v>43</v>
      </c>
      <c r="E300" t="s">
        <v>311</v>
      </c>
      <c r="F300" t="s">
        <v>150</v>
      </c>
      <c r="G300" t="s">
        <v>274</v>
      </c>
      <c r="H300" t="s">
        <v>34</v>
      </c>
      <c r="I300" t="s">
        <v>18</v>
      </c>
      <c r="J300" s="7">
        <v>45038</v>
      </c>
      <c r="K300" s="7">
        <v>45557</v>
      </c>
      <c r="L300" s="5">
        <v>100</v>
      </c>
      <c r="M300" t="s">
        <v>25</v>
      </c>
      <c r="N300" t="s">
        <v>739</v>
      </c>
      <c r="O300">
        <v>100</v>
      </c>
      <c r="P300" t="s">
        <v>205</v>
      </c>
      <c r="Q300" t="s">
        <v>28</v>
      </c>
      <c r="R300">
        <v>62</v>
      </c>
      <c r="S300">
        <v>0</v>
      </c>
      <c r="T300" t="s">
        <v>81</v>
      </c>
      <c r="U300" t="s">
        <v>63</v>
      </c>
      <c r="V300">
        <v>4.06</v>
      </c>
      <c r="W300">
        <v>1.64</v>
      </c>
      <c r="X300">
        <v>6.5</v>
      </c>
      <c r="Y300">
        <v>8.4</v>
      </c>
      <c r="Z300">
        <v>15.8</v>
      </c>
    </row>
    <row r="301" spans="1:26">
      <c r="A301" t="s">
        <v>740</v>
      </c>
      <c r="B301">
        <v>84</v>
      </c>
      <c r="C301" t="s">
        <v>44</v>
      </c>
      <c r="D301" t="s">
        <v>39</v>
      </c>
      <c r="E301" t="s">
        <v>259</v>
      </c>
      <c r="F301" t="s">
        <v>150</v>
      </c>
      <c r="G301" t="s">
        <v>312</v>
      </c>
      <c r="H301" t="s">
        <v>32</v>
      </c>
      <c r="I301" t="s">
        <v>20</v>
      </c>
      <c r="J301" s="7">
        <v>43667</v>
      </c>
      <c r="K301" s="7">
        <v>44156</v>
      </c>
      <c r="L301" s="5">
        <v>50</v>
      </c>
      <c r="M301" t="s">
        <v>27</v>
      </c>
      <c r="N301" t="s">
        <v>413</v>
      </c>
      <c r="O301">
        <v>50</v>
      </c>
      <c r="P301" t="s">
        <v>206</v>
      </c>
      <c r="Q301" t="s">
        <v>25</v>
      </c>
      <c r="R301">
        <v>149</v>
      </c>
      <c r="S301">
        <v>1</v>
      </c>
      <c r="T301" t="s">
        <v>82</v>
      </c>
      <c r="U301" t="s">
        <v>61</v>
      </c>
      <c r="V301">
        <v>3.63</v>
      </c>
      <c r="W301">
        <v>4.83</v>
      </c>
      <c r="X301">
        <v>1.6</v>
      </c>
      <c r="Y301">
        <v>7</v>
      </c>
      <c r="Z301">
        <v>7.8</v>
      </c>
    </row>
    <row r="302" spans="1:26">
      <c r="A302" t="s">
        <v>741</v>
      </c>
      <c r="B302">
        <v>84</v>
      </c>
      <c r="C302" t="s">
        <v>71</v>
      </c>
      <c r="D302" t="s">
        <v>41</v>
      </c>
      <c r="E302" t="s">
        <v>311</v>
      </c>
      <c r="F302" t="s">
        <v>260</v>
      </c>
      <c r="G302" t="s">
        <v>319</v>
      </c>
      <c r="H302" t="s">
        <v>34</v>
      </c>
      <c r="I302" t="s">
        <v>19</v>
      </c>
      <c r="J302" s="7">
        <v>43653</v>
      </c>
      <c r="K302" s="7">
        <v>43989</v>
      </c>
      <c r="L302" s="5">
        <v>50</v>
      </c>
      <c r="M302" t="s">
        <v>28</v>
      </c>
      <c r="N302" t="s">
        <v>410</v>
      </c>
      <c r="O302">
        <v>50</v>
      </c>
      <c r="P302" t="s">
        <v>206</v>
      </c>
      <c r="Q302" t="s">
        <v>26</v>
      </c>
      <c r="R302">
        <v>80</v>
      </c>
      <c r="S302">
        <v>1</v>
      </c>
      <c r="T302" t="s">
        <v>78</v>
      </c>
      <c r="U302" t="s">
        <v>61</v>
      </c>
      <c r="V302">
        <v>2.05</v>
      </c>
      <c r="W302">
        <v>1.99</v>
      </c>
      <c r="X302">
        <v>9.2</v>
      </c>
      <c r="Y302">
        <v>10.5</v>
      </c>
      <c r="Z302">
        <v>7.6</v>
      </c>
    </row>
    <row r="303" spans="1:26">
      <c r="A303" t="s">
        <v>742</v>
      </c>
      <c r="B303">
        <v>57</v>
      </c>
      <c r="C303" t="s">
        <v>71</v>
      </c>
      <c r="D303" t="s">
        <v>42</v>
      </c>
      <c r="E303" t="s">
        <v>311</v>
      </c>
      <c r="F303" t="s">
        <v>277</v>
      </c>
      <c r="G303" t="s">
        <v>274</v>
      </c>
      <c r="H303" t="s">
        <v>32</v>
      </c>
      <c r="I303" t="s">
        <v>19</v>
      </c>
      <c r="J303" s="7">
        <v>43877</v>
      </c>
      <c r="K303" s="7">
        <v>44151</v>
      </c>
      <c r="L303" s="5">
        <v>150</v>
      </c>
      <c r="M303" t="s">
        <v>150</v>
      </c>
      <c r="N303" t="s">
        <v>743</v>
      </c>
      <c r="O303">
        <v>150</v>
      </c>
      <c r="P303" t="s">
        <v>206</v>
      </c>
      <c r="Q303" t="s">
        <v>28</v>
      </c>
      <c r="R303">
        <v>142</v>
      </c>
      <c r="S303">
        <v>1</v>
      </c>
      <c r="T303" t="s">
        <v>83</v>
      </c>
      <c r="U303" t="s">
        <v>61</v>
      </c>
      <c r="V303">
        <v>4.04</v>
      </c>
      <c r="W303">
        <v>2.8</v>
      </c>
      <c r="X303">
        <v>8</v>
      </c>
      <c r="Y303">
        <v>7.2</v>
      </c>
      <c r="Z303">
        <v>11.3</v>
      </c>
    </row>
    <row r="304" spans="1:26">
      <c r="A304" t="s">
        <v>744</v>
      </c>
      <c r="B304">
        <v>33</v>
      </c>
      <c r="C304" t="s">
        <v>71</v>
      </c>
      <c r="D304" t="s">
        <v>42</v>
      </c>
      <c r="E304" t="s">
        <v>311</v>
      </c>
      <c r="F304" t="s">
        <v>277</v>
      </c>
      <c r="G304" t="s">
        <v>281</v>
      </c>
      <c r="H304" t="s">
        <v>29</v>
      </c>
      <c r="I304" t="s">
        <v>20</v>
      </c>
      <c r="J304" s="7">
        <v>43605</v>
      </c>
      <c r="K304" s="7">
        <v>44094</v>
      </c>
      <c r="L304" s="5">
        <v>200</v>
      </c>
      <c r="M304" t="s">
        <v>28</v>
      </c>
      <c r="N304" t="s">
        <v>382</v>
      </c>
      <c r="O304">
        <v>200</v>
      </c>
      <c r="P304" t="s">
        <v>206</v>
      </c>
      <c r="Q304" t="s">
        <v>25</v>
      </c>
      <c r="R304">
        <v>43</v>
      </c>
      <c r="S304">
        <v>1</v>
      </c>
      <c r="T304" t="s">
        <v>81</v>
      </c>
      <c r="U304" t="s">
        <v>61</v>
      </c>
      <c r="V304">
        <v>1.13</v>
      </c>
      <c r="W304">
        <v>1.25</v>
      </c>
      <c r="X304">
        <v>9.2</v>
      </c>
      <c r="Y304">
        <v>8.5</v>
      </c>
      <c r="Z304">
        <v>12.1</v>
      </c>
    </row>
    <row r="305" spans="1:26">
      <c r="A305" t="s">
        <v>745</v>
      </c>
      <c r="B305">
        <v>69</v>
      </c>
      <c r="C305" t="s">
        <v>71</v>
      </c>
      <c r="D305" t="s">
        <v>44</v>
      </c>
      <c r="E305" t="s">
        <v>272</v>
      </c>
      <c r="F305" t="s">
        <v>268</v>
      </c>
      <c r="G305" t="s">
        <v>306</v>
      </c>
      <c r="H305" t="s">
        <v>29</v>
      </c>
      <c r="I305" t="s">
        <v>20</v>
      </c>
      <c r="J305" s="7">
        <v>44799</v>
      </c>
      <c r="K305" s="7">
        <v>45164</v>
      </c>
      <c r="L305" s="5">
        <v>50</v>
      </c>
      <c r="M305" t="s">
        <v>28</v>
      </c>
      <c r="N305" t="s">
        <v>541</v>
      </c>
      <c r="O305">
        <v>50</v>
      </c>
      <c r="P305" t="s">
        <v>211</v>
      </c>
      <c r="Q305" t="s">
        <v>25</v>
      </c>
      <c r="R305">
        <v>79</v>
      </c>
      <c r="S305">
        <v>0</v>
      </c>
      <c r="T305" t="s">
        <v>83</v>
      </c>
      <c r="U305" t="s">
        <v>63</v>
      </c>
      <c r="V305">
        <v>2.64</v>
      </c>
      <c r="W305">
        <v>2.39</v>
      </c>
      <c r="X305">
        <v>9.1</v>
      </c>
      <c r="Y305">
        <v>6.4</v>
      </c>
      <c r="Z305">
        <v>14.3</v>
      </c>
    </row>
    <row r="306" spans="1:26">
      <c r="A306" t="s">
        <v>746</v>
      </c>
      <c r="B306">
        <v>19</v>
      </c>
      <c r="C306" t="s">
        <v>44</v>
      </c>
      <c r="D306" t="s">
        <v>42</v>
      </c>
      <c r="E306" t="s">
        <v>255</v>
      </c>
      <c r="F306" t="s">
        <v>150</v>
      </c>
      <c r="G306" t="s">
        <v>278</v>
      </c>
      <c r="H306" t="s">
        <v>30</v>
      </c>
      <c r="I306" t="s">
        <v>19</v>
      </c>
      <c r="J306" s="7">
        <v>44393</v>
      </c>
      <c r="K306" s="7">
        <v>44911</v>
      </c>
      <c r="L306" s="5">
        <v>200</v>
      </c>
      <c r="M306" t="s">
        <v>26</v>
      </c>
      <c r="N306" t="s">
        <v>302</v>
      </c>
      <c r="O306">
        <v>200</v>
      </c>
      <c r="P306" t="s">
        <v>206</v>
      </c>
      <c r="Q306" t="s">
        <v>28</v>
      </c>
      <c r="R306">
        <v>62</v>
      </c>
      <c r="S306">
        <v>1</v>
      </c>
      <c r="T306" t="s">
        <v>81</v>
      </c>
      <c r="U306" t="s">
        <v>61</v>
      </c>
      <c r="V306">
        <v>4.85</v>
      </c>
      <c r="W306">
        <v>3.24</v>
      </c>
      <c r="X306">
        <v>9.4</v>
      </c>
      <c r="Y306">
        <v>6.9</v>
      </c>
      <c r="Z306">
        <v>10.1</v>
      </c>
    </row>
    <row r="307" spans="1:26">
      <c r="A307" t="s">
        <v>747</v>
      </c>
      <c r="B307">
        <v>83</v>
      </c>
      <c r="C307" t="s">
        <v>44</v>
      </c>
      <c r="D307" t="s">
        <v>39</v>
      </c>
      <c r="E307" t="s">
        <v>150</v>
      </c>
      <c r="F307" t="s">
        <v>150</v>
      </c>
      <c r="G307" t="s">
        <v>319</v>
      </c>
      <c r="H307" t="s">
        <v>30</v>
      </c>
      <c r="I307" t="s">
        <v>18</v>
      </c>
      <c r="J307" s="7">
        <v>44701</v>
      </c>
      <c r="K307" s="7">
        <v>45036</v>
      </c>
      <c r="L307" s="5">
        <v>150</v>
      </c>
      <c r="M307" t="s">
        <v>28</v>
      </c>
      <c r="N307" t="s">
        <v>369</v>
      </c>
      <c r="O307">
        <v>150</v>
      </c>
      <c r="P307" t="s">
        <v>206</v>
      </c>
      <c r="Q307" t="s">
        <v>25</v>
      </c>
      <c r="R307">
        <v>173</v>
      </c>
      <c r="S307">
        <v>1</v>
      </c>
      <c r="T307" t="s">
        <v>83</v>
      </c>
      <c r="U307" t="s">
        <v>61</v>
      </c>
      <c r="V307">
        <v>2.04</v>
      </c>
      <c r="W307">
        <v>3.92</v>
      </c>
      <c r="X307">
        <v>9.8</v>
      </c>
      <c r="Y307">
        <v>10.6</v>
      </c>
      <c r="Z307">
        <v>14.1</v>
      </c>
    </row>
    <row r="308" spans="1:26">
      <c r="A308" t="s">
        <v>748</v>
      </c>
      <c r="B308">
        <v>62</v>
      </c>
      <c r="C308" t="s">
        <v>71</v>
      </c>
      <c r="D308" t="s">
        <v>41</v>
      </c>
      <c r="E308" t="s">
        <v>259</v>
      </c>
      <c r="F308" t="s">
        <v>150</v>
      </c>
      <c r="G308" t="s">
        <v>256</v>
      </c>
      <c r="H308" t="s">
        <v>30</v>
      </c>
      <c r="I308" t="s">
        <v>20</v>
      </c>
      <c r="J308" s="7">
        <v>44857</v>
      </c>
      <c r="K308" s="7">
        <v>45192</v>
      </c>
      <c r="L308" s="5">
        <v>150</v>
      </c>
      <c r="M308" t="s">
        <v>150</v>
      </c>
      <c r="N308" t="s">
        <v>722</v>
      </c>
      <c r="O308">
        <v>150</v>
      </c>
      <c r="P308" t="s">
        <v>206</v>
      </c>
      <c r="Q308" t="s">
        <v>27</v>
      </c>
      <c r="R308">
        <v>40</v>
      </c>
      <c r="S308">
        <v>1</v>
      </c>
      <c r="T308" t="s">
        <v>82</v>
      </c>
      <c r="U308" t="s">
        <v>63</v>
      </c>
      <c r="V308">
        <v>1.79</v>
      </c>
      <c r="W308">
        <v>3.26</v>
      </c>
      <c r="X308">
        <v>5.2</v>
      </c>
      <c r="Y308">
        <v>23.5</v>
      </c>
      <c r="Z308">
        <v>13.3</v>
      </c>
    </row>
    <row r="309" spans="1:26">
      <c r="A309" t="s">
        <v>749</v>
      </c>
      <c r="B309">
        <v>18</v>
      </c>
      <c r="C309" t="s">
        <v>44</v>
      </c>
      <c r="D309" t="s">
        <v>41</v>
      </c>
      <c r="E309" t="s">
        <v>259</v>
      </c>
      <c r="F309" t="s">
        <v>273</v>
      </c>
      <c r="G309" t="s">
        <v>265</v>
      </c>
      <c r="H309" t="s">
        <v>34</v>
      </c>
      <c r="I309" t="s">
        <v>19</v>
      </c>
      <c r="J309" s="7">
        <v>44664</v>
      </c>
      <c r="K309" s="7">
        <v>44908</v>
      </c>
      <c r="L309" s="5">
        <v>50</v>
      </c>
      <c r="M309" t="s">
        <v>28</v>
      </c>
      <c r="N309" t="s">
        <v>750</v>
      </c>
      <c r="O309">
        <v>50</v>
      </c>
      <c r="P309" t="s">
        <v>206</v>
      </c>
      <c r="Q309" t="s">
        <v>25</v>
      </c>
      <c r="R309">
        <v>59</v>
      </c>
      <c r="S309">
        <v>1</v>
      </c>
      <c r="T309" t="s">
        <v>78</v>
      </c>
      <c r="U309" t="s">
        <v>61</v>
      </c>
      <c r="V309">
        <v>2.4</v>
      </c>
      <c r="W309">
        <v>1.46</v>
      </c>
      <c r="X309">
        <v>2.4</v>
      </c>
      <c r="Y309">
        <v>10.1</v>
      </c>
      <c r="Z309">
        <v>7.3</v>
      </c>
    </row>
    <row r="310" spans="1:26">
      <c r="A310" t="s">
        <v>751</v>
      </c>
      <c r="B310">
        <v>74</v>
      </c>
      <c r="C310" t="s">
        <v>71</v>
      </c>
      <c r="D310" t="s">
        <v>44</v>
      </c>
      <c r="E310" t="s">
        <v>150</v>
      </c>
      <c r="F310" t="s">
        <v>277</v>
      </c>
      <c r="G310" t="s">
        <v>278</v>
      </c>
      <c r="H310" t="s">
        <v>30</v>
      </c>
      <c r="I310" t="s">
        <v>19</v>
      </c>
      <c r="J310" s="7">
        <v>43930</v>
      </c>
      <c r="K310" s="7">
        <v>44448</v>
      </c>
      <c r="L310" s="5">
        <v>100</v>
      </c>
      <c r="M310" t="s">
        <v>25</v>
      </c>
      <c r="N310" t="s">
        <v>503</v>
      </c>
      <c r="O310">
        <v>100</v>
      </c>
      <c r="P310" t="s">
        <v>206</v>
      </c>
      <c r="Q310" t="s">
        <v>28</v>
      </c>
      <c r="R310">
        <v>75</v>
      </c>
      <c r="S310">
        <v>1</v>
      </c>
      <c r="T310" t="s">
        <v>81</v>
      </c>
      <c r="U310" t="s">
        <v>63</v>
      </c>
      <c r="V310">
        <v>4.4</v>
      </c>
      <c r="W310">
        <v>3.24</v>
      </c>
      <c r="X310">
        <v>5.7</v>
      </c>
      <c r="Y310">
        <v>8.1</v>
      </c>
      <c r="Z310">
        <v>17.6</v>
      </c>
    </row>
    <row r="311" spans="1:26">
      <c r="A311" t="s">
        <v>752</v>
      </c>
      <c r="B311">
        <v>20</v>
      </c>
      <c r="C311" t="s">
        <v>44</v>
      </c>
      <c r="D311" t="s">
        <v>41</v>
      </c>
      <c r="E311" t="s">
        <v>272</v>
      </c>
      <c r="F311" t="s">
        <v>150</v>
      </c>
      <c r="G311" t="s">
        <v>284</v>
      </c>
      <c r="H311" t="s">
        <v>32</v>
      </c>
      <c r="I311" t="s">
        <v>18</v>
      </c>
      <c r="J311" s="7">
        <v>44416</v>
      </c>
      <c r="K311" s="7">
        <v>44750</v>
      </c>
      <c r="L311" s="5">
        <v>150</v>
      </c>
      <c r="M311" t="s">
        <v>26</v>
      </c>
      <c r="N311" t="s">
        <v>584</v>
      </c>
      <c r="O311">
        <v>150</v>
      </c>
      <c r="P311" t="s">
        <v>206</v>
      </c>
      <c r="Q311" t="s">
        <v>26</v>
      </c>
      <c r="R311">
        <v>63</v>
      </c>
      <c r="S311">
        <v>1</v>
      </c>
      <c r="T311" t="s">
        <v>78</v>
      </c>
      <c r="U311" t="s">
        <v>63</v>
      </c>
      <c r="V311">
        <v>3.89</v>
      </c>
      <c r="W311">
        <v>1.27</v>
      </c>
      <c r="X311">
        <v>7.4</v>
      </c>
      <c r="Y311">
        <v>15.8</v>
      </c>
      <c r="Z311">
        <v>4.4</v>
      </c>
    </row>
    <row r="312" spans="1:26">
      <c r="A312" t="s">
        <v>753</v>
      </c>
      <c r="B312">
        <v>66</v>
      </c>
      <c r="C312" t="s">
        <v>44</v>
      </c>
      <c r="D312" t="s">
        <v>39</v>
      </c>
      <c r="E312" t="s">
        <v>150</v>
      </c>
      <c r="F312" t="s">
        <v>150</v>
      </c>
      <c r="G312" t="s">
        <v>265</v>
      </c>
      <c r="H312" t="s">
        <v>29</v>
      </c>
      <c r="I312" t="s">
        <v>18</v>
      </c>
      <c r="J312" s="7">
        <v>45072</v>
      </c>
      <c r="K312" s="7">
        <v>45317</v>
      </c>
      <c r="L312" s="5">
        <v>150</v>
      </c>
      <c r="M312" t="s">
        <v>28</v>
      </c>
      <c r="N312" t="s">
        <v>388</v>
      </c>
      <c r="O312">
        <v>150</v>
      </c>
      <c r="P312" t="s">
        <v>211</v>
      </c>
      <c r="Q312" t="s">
        <v>26</v>
      </c>
      <c r="R312">
        <v>160</v>
      </c>
      <c r="S312">
        <v>0</v>
      </c>
      <c r="T312" t="s">
        <v>80</v>
      </c>
      <c r="U312" t="s">
        <v>61</v>
      </c>
      <c r="V312">
        <v>2.83</v>
      </c>
      <c r="W312">
        <v>2.94</v>
      </c>
      <c r="X312">
        <v>2.5</v>
      </c>
      <c r="Y312">
        <v>23</v>
      </c>
      <c r="Z312">
        <v>17.4</v>
      </c>
    </row>
    <row r="313" spans="1:26">
      <c r="A313" t="s">
        <v>754</v>
      </c>
      <c r="B313">
        <v>44</v>
      </c>
      <c r="C313" t="s">
        <v>44</v>
      </c>
      <c r="D313" t="s">
        <v>42</v>
      </c>
      <c r="E313" t="s">
        <v>272</v>
      </c>
      <c r="F313" t="s">
        <v>150</v>
      </c>
      <c r="G313" t="s">
        <v>306</v>
      </c>
      <c r="H313" t="s">
        <v>29</v>
      </c>
      <c r="I313" t="s">
        <v>18</v>
      </c>
      <c r="J313" s="7">
        <v>45132</v>
      </c>
      <c r="K313" s="7">
        <v>45621</v>
      </c>
      <c r="L313" s="5">
        <v>150</v>
      </c>
      <c r="M313" t="s">
        <v>25</v>
      </c>
      <c r="N313" t="s">
        <v>503</v>
      </c>
      <c r="O313">
        <v>150</v>
      </c>
      <c r="P313" t="s">
        <v>211</v>
      </c>
      <c r="Q313" t="s">
        <v>150</v>
      </c>
      <c r="R313">
        <v>164</v>
      </c>
      <c r="S313">
        <v>0</v>
      </c>
      <c r="T313" t="s">
        <v>82</v>
      </c>
      <c r="U313" t="s">
        <v>61</v>
      </c>
      <c r="V313">
        <v>3.68</v>
      </c>
      <c r="W313">
        <v>2.85</v>
      </c>
      <c r="X313">
        <v>4.7</v>
      </c>
      <c r="Y313">
        <v>17.7</v>
      </c>
      <c r="Z313">
        <v>12.3</v>
      </c>
    </row>
    <row r="314" spans="1:26">
      <c r="A314" t="s">
        <v>755</v>
      </c>
      <c r="B314">
        <v>78</v>
      </c>
      <c r="C314" t="s">
        <v>70</v>
      </c>
      <c r="D314" t="s">
        <v>44</v>
      </c>
      <c r="E314" t="s">
        <v>272</v>
      </c>
      <c r="F314" t="s">
        <v>150</v>
      </c>
      <c r="G314" t="s">
        <v>274</v>
      </c>
      <c r="H314" t="s">
        <v>29</v>
      </c>
      <c r="I314" t="s">
        <v>18</v>
      </c>
      <c r="J314" s="7">
        <v>43936</v>
      </c>
      <c r="K314" s="7">
        <v>44211</v>
      </c>
      <c r="L314" s="5">
        <v>200</v>
      </c>
      <c r="M314" t="s">
        <v>150</v>
      </c>
      <c r="N314" t="s">
        <v>410</v>
      </c>
      <c r="O314">
        <v>200</v>
      </c>
      <c r="P314" t="s">
        <v>211</v>
      </c>
      <c r="Q314" t="s">
        <v>25</v>
      </c>
      <c r="R314">
        <v>70</v>
      </c>
      <c r="S314">
        <v>0</v>
      </c>
      <c r="T314" t="s">
        <v>81</v>
      </c>
      <c r="U314" t="s">
        <v>61</v>
      </c>
      <c r="V314">
        <v>1.25</v>
      </c>
      <c r="W314">
        <v>3.05</v>
      </c>
      <c r="X314">
        <v>8.3</v>
      </c>
      <c r="Y314">
        <v>14.3</v>
      </c>
      <c r="Z314">
        <v>3.9</v>
      </c>
    </row>
    <row r="315" spans="1:26">
      <c r="A315" t="s">
        <v>756</v>
      </c>
      <c r="B315">
        <v>28</v>
      </c>
      <c r="C315" t="s">
        <v>71</v>
      </c>
      <c r="D315" t="s">
        <v>42</v>
      </c>
      <c r="E315" t="s">
        <v>150</v>
      </c>
      <c r="F315" t="s">
        <v>264</v>
      </c>
      <c r="G315" t="s">
        <v>265</v>
      </c>
      <c r="H315" t="s">
        <v>29</v>
      </c>
      <c r="I315" t="s">
        <v>20</v>
      </c>
      <c r="J315" s="7">
        <v>45210</v>
      </c>
      <c r="K315" s="7">
        <v>45576</v>
      </c>
      <c r="L315" s="5">
        <v>200</v>
      </c>
      <c r="M315" t="s">
        <v>27</v>
      </c>
      <c r="N315" t="s">
        <v>724</v>
      </c>
      <c r="O315">
        <v>200</v>
      </c>
      <c r="P315" t="s">
        <v>211</v>
      </c>
      <c r="Q315" t="s">
        <v>150</v>
      </c>
      <c r="R315">
        <v>99</v>
      </c>
      <c r="S315">
        <v>0</v>
      </c>
      <c r="T315" t="s">
        <v>82</v>
      </c>
      <c r="U315" t="s">
        <v>63</v>
      </c>
      <c r="V315">
        <v>4.15</v>
      </c>
      <c r="W315">
        <v>1.81</v>
      </c>
      <c r="X315">
        <v>3.3</v>
      </c>
      <c r="Y315">
        <v>9</v>
      </c>
      <c r="Z315">
        <v>8.6</v>
      </c>
    </row>
    <row r="316" spans="1:26">
      <c r="A316" t="s">
        <v>757</v>
      </c>
      <c r="B316">
        <v>40</v>
      </c>
      <c r="C316" t="s">
        <v>70</v>
      </c>
      <c r="D316" t="s">
        <v>41</v>
      </c>
      <c r="E316" t="s">
        <v>150</v>
      </c>
      <c r="F316" t="s">
        <v>150</v>
      </c>
      <c r="G316" t="s">
        <v>327</v>
      </c>
      <c r="H316" t="s">
        <v>29</v>
      </c>
      <c r="I316" t="s">
        <v>19</v>
      </c>
      <c r="J316" s="7">
        <v>45187</v>
      </c>
      <c r="K316" s="7">
        <v>45675</v>
      </c>
      <c r="L316" s="5">
        <v>50</v>
      </c>
      <c r="M316" t="s">
        <v>26</v>
      </c>
      <c r="N316" t="s">
        <v>505</v>
      </c>
      <c r="O316">
        <v>50</v>
      </c>
      <c r="P316" t="s">
        <v>206</v>
      </c>
      <c r="Q316" t="s">
        <v>150</v>
      </c>
      <c r="R316">
        <v>39</v>
      </c>
      <c r="S316">
        <v>1</v>
      </c>
      <c r="T316" t="s">
        <v>80</v>
      </c>
      <c r="U316" t="s">
        <v>63</v>
      </c>
      <c r="V316">
        <v>4.03</v>
      </c>
      <c r="W316">
        <v>3.08</v>
      </c>
      <c r="X316">
        <v>2.8</v>
      </c>
      <c r="Y316">
        <v>21.8</v>
      </c>
      <c r="Z316">
        <v>18</v>
      </c>
    </row>
    <row r="317" spans="1:26">
      <c r="A317" t="s">
        <v>758</v>
      </c>
      <c r="B317">
        <v>60</v>
      </c>
      <c r="C317" t="s">
        <v>71</v>
      </c>
      <c r="D317" t="s">
        <v>39</v>
      </c>
      <c r="E317" t="s">
        <v>150</v>
      </c>
      <c r="F317" t="s">
        <v>264</v>
      </c>
      <c r="G317" t="s">
        <v>278</v>
      </c>
      <c r="H317" t="s">
        <v>30</v>
      </c>
      <c r="I317" t="s">
        <v>19</v>
      </c>
      <c r="J317" s="7">
        <v>43595</v>
      </c>
      <c r="K317" s="7">
        <v>43931</v>
      </c>
      <c r="L317" s="5">
        <v>200</v>
      </c>
      <c r="M317" t="s">
        <v>25</v>
      </c>
      <c r="N317" t="s">
        <v>526</v>
      </c>
      <c r="O317">
        <v>200</v>
      </c>
      <c r="P317" t="s">
        <v>205</v>
      </c>
      <c r="Q317" t="s">
        <v>25</v>
      </c>
      <c r="R317">
        <v>68</v>
      </c>
      <c r="S317">
        <v>0</v>
      </c>
      <c r="T317" t="s">
        <v>82</v>
      </c>
      <c r="U317" t="s">
        <v>63</v>
      </c>
      <c r="V317">
        <v>4.48</v>
      </c>
      <c r="W317">
        <v>1.96</v>
      </c>
      <c r="X317">
        <v>5.1</v>
      </c>
      <c r="Y317">
        <v>23.7</v>
      </c>
      <c r="Z317">
        <v>16.1</v>
      </c>
    </row>
    <row r="318" spans="1:26">
      <c r="A318" t="s">
        <v>759</v>
      </c>
      <c r="B318">
        <v>47</v>
      </c>
      <c r="C318" t="s">
        <v>44</v>
      </c>
      <c r="D318" t="s">
        <v>41</v>
      </c>
      <c r="E318" t="s">
        <v>272</v>
      </c>
      <c r="F318" t="s">
        <v>268</v>
      </c>
      <c r="G318" t="s">
        <v>319</v>
      </c>
      <c r="H318" t="s">
        <v>34</v>
      </c>
      <c r="I318" t="s">
        <v>20</v>
      </c>
      <c r="J318" s="7">
        <v>44238</v>
      </c>
      <c r="K318" s="7">
        <v>44511</v>
      </c>
      <c r="L318" s="5">
        <v>200</v>
      </c>
      <c r="M318" t="s">
        <v>27</v>
      </c>
      <c r="N318" t="s">
        <v>686</v>
      </c>
      <c r="O318">
        <v>200</v>
      </c>
      <c r="P318" t="s">
        <v>205</v>
      </c>
      <c r="Q318" t="s">
        <v>28</v>
      </c>
      <c r="R318">
        <v>125</v>
      </c>
      <c r="S318">
        <v>0</v>
      </c>
      <c r="T318" t="s">
        <v>78</v>
      </c>
      <c r="U318" t="s">
        <v>63</v>
      </c>
      <c r="V318">
        <v>1.11</v>
      </c>
      <c r="W318">
        <v>1.26</v>
      </c>
      <c r="X318">
        <v>5.2</v>
      </c>
      <c r="Y318">
        <v>22.4</v>
      </c>
      <c r="Z318">
        <v>12.2</v>
      </c>
    </row>
    <row r="319" spans="1:26">
      <c r="A319" t="s">
        <v>760</v>
      </c>
      <c r="B319">
        <v>57</v>
      </c>
      <c r="C319" t="s">
        <v>44</v>
      </c>
      <c r="D319" t="s">
        <v>42</v>
      </c>
      <c r="E319" t="s">
        <v>272</v>
      </c>
      <c r="F319" t="s">
        <v>150</v>
      </c>
      <c r="G319" t="s">
        <v>327</v>
      </c>
      <c r="H319" t="s">
        <v>32</v>
      </c>
      <c r="I319" t="s">
        <v>18</v>
      </c>
      <c r="J319" s="7">
        <v>44764</v>
      </c>
      <c r="K319" s="7">
        <v>45313</v>
      </c>
      <c r="L319" s="5">
        <v>200</v>
      </c>
      <c r="M319" t="s">
        <v>25</v>
      </c>
      <c r="N319" t="s">
        <v>501</v>
      </c>
      <c r="O319">
        <v>200</v>
      </c>
      <c r="P319" t="s">
        <v>206</v>
      </c>
      <c r="Q319" t="s">
        <v>25</v>
      </c>
      <c r="R319">
        <v>38</v>
      </c>
      <c r="S319">
        <v>1</v>
      </c>
      <c r="T319" t="s">
        <v>78</v>
      </c>
      <c r="U319" t="s">
        <v>63</v>
      </c>
      <c r="V319">
        <v>2.99</v>
      </c>
      <c r="W319">
        <v>1.42</v>
      </c>
      <c r="X319">
        <v>6.9</v>
      </c>
      <c r="Y319">
        <v>20.8</v>
      </c>
      <c r="Z319">
        <v>9.5</v>
      </c>
    </row>
    <row r="320" spans="1:26">
      <c r="A320" t="s">
        <v>761</v>
      </c>
      <c r="B320">
        <v>60</v>
      </c>
      <c r="C320" t="s">
        <v>44</v>
      </c>
      <c r="D320" t="s">
        <v>44</v>
      </c>
      <c r="E320" t="s">
        <v>255</v>
      </c>
      <c r="F320" t="s">
        <v>150</v>
      </c>
      <c r="G320" t="s">
        <v>297</v>
      </c>
      <c r="H320" t="s">
        <v>34</v>
      </c>
      <c r="I320" t="s">
        <v>18</v>
      </c>
      <c r="J320" s="7">
        <v>44610</v>
      </c>
      <c r="K320" s="7">
        <v>44975</v>
      </c>
      <c r="L320" s="5">
        <v>100</v>
      </c>
      <c r="M320" t="s">
        <v>28</v>
      </c>
      <c r="N320" t="s">
        <v>596</v>
      </c>
      <c r="O320">
        <v>100</v>
      </c>
      <c r="P320" t="s">
        <v>211</v>
      </c>
      <c r="Q320" t="s">
        <v>150</v>
      </c>
      <c r="R320">
        <v>53</v>
      </c>
      <c r="S320">
        <v>0</v>
      </c>
      <c r="T320" t="s">
        <v>78</v>
      </c>
      <c r="U320" t="s">
        <v>63</v>
      </c>
      <c r="V320">
        <v>4.1</v>
      </c>
      <c r="W320">
        <v>4.86</v>
      </c>
      <c r="X320">
        <v>2.8</v>
      </c>
      <c r="Y320">
        <v>15.4</v>
      </c>
      <c r="Z320">
        <v>7.9</v>
      </c>
    </row>
    <row r="321" spans="1:26">
      <c r="A321" t="s">
        <v>762</v>
      </c>
      <c r="B321">
        <v>40</v>
      </c>
      <c r="C321" t="s">
        <v>71</v>
      </c>
      <c r="D321" t="s">
        <v>44</v>
      </c>
      <c r="E321" t="s">
        <v>272</v>
      </c>
      <c r="F321" t="s">
        <v>273</v>
      </c>
      <c r="G321" t="s">
        <v>294</v>
      </c>
      <c r="H321" t="s">
        <v>34</v>
      </c>
      <c r="I321" t="s">
        <v>19</v>
      </c>
      <c r="J321" s="7">
        <v>43931</v>
      </c>
      <c r="K321" s="7">
        <v>44418</v>
      </c>
      <c r="L321" s="5">
        <v>50</v>
      </c>
      <c r="M321" t="s">
        <v>28</v>
      </c>
      <c r="N321" t="s">
        <v>541</v>
      </c>
      <c r="O321">
        <v>50</v>
      </c>
      <c r="P321" t="s">
        <v>206</v>
      </c>
      <c r="Q321" t="s">
        <v>26</v>
      </c>
      <c r="R321">
        <v>113</v>
      </c>
      <c r="S321">
        <v>1</v>
      </c>
      <c r="T321" t="s">
        <v>82</v>
      </c>
      <c r="U321" t="s">
        <v>61</v>
      </c>
      <c r="V321">
        <v>4.17</v>
      </c>
      <c r="W321">
        <v>3.31</v>
      </c>
      <c r="X321">
        <v>6.7</v>
      </c>
      <c r="Y321">
        <v>20.4</v>
      </c>
      <c r="Z321">
        <v>9.7</v>
      </c>
    </row>
    <row r="322" spans="1:26">
      <c r="A322" t="s">
        <v>763</v>
      </c>
      <c r="B322">
        <v>38</v>
      </c>
      <c r="C322" t="s">
        <v>71</v>
      </c>
      <c r="D322" t="s">
        <v>41</v>
      </c>
      <c r="E322" t="s">
        <v>255</v>
      </c>
      <c r="F322" t="s">
        <v>277</v>
      </c>
      <c r="G322" t="s">
        <v>297</v>
      </c>
      <c r="H322" t="s">
        <v>30</v>
      </c>
      <c r="I322" t="s">
        <v>18</v>
      </c>
      <c r="J322" s="7">
        <v>43965</v>
      </c>
      <c r="K322" s="7">
        <v>44483</v>
      </c>
      <c r="L322" s="5">
        <v>200</v>
      </c>
      <c r="M322" t="s">
        <v>25</v>
      </c>
      <c r="N322" t="s">
        <v>509</v>
      </c>
      <c r="O322">
        <v>200</v>
      </c>
      <c r="P322" t="s">
        <v>211</v>
      </c>
      <c r="Q322" t="s">
        <v>25</v>
      </c>
      <c r="R322">
        <v>81</v>
      </c>
      <c r="S322">
        <v>0</v>
      </c>
      <c r="T322" t="s">
        <v>80</v>
      </c>
      <c r="U322" t="s">
        <v>61</v>
      </c>
      <c r="V322">
        <v>4.66</v>
      </c>
      <c r="W322">
        <v>3.13</v>
      </c>
      <c r="X322">
        <v>2.4</v>
      </c>
      <c r="Y322">
        <v>18.5</v>
      </c>
      <c r="Z322">
        <v>16.5</v>
      </c>
    </row>
    <row r="323" spans="1:26">
      <c r="A323" t="s">
        <v>764</v>
      </c>
      <c r="B323">
        <v>53</v>
      </c>
      <c r="C323" t="s">
        <v>71</v>
      </c>
      <c r="D323" t="s">
        <v>42</v>
      </c>
      <c r="E323" t="s">
        <v>259</v>
      </c>
      <c r="F323" t="s">
        <v>260</v>
      </c>
      <c r="G323" t="s">
        <v>306</v>
      </c>
      <c r="H323" t="s">
        <v>30</v>
      </c>
      <c r="I323" t="s">
        <v>19</v>
      </c>
      <c r="J323" s="7">
        <v>45153</v>
      </c>
      <c r="K323" s="7">
        <v>45550</v>
      </c>
      <c r="L323" s="5">
        <v>50</v>
      </c>
      <c r="M323" t="s">
        <v>28</v>
      </c>
      <c r="N323" t="s">
        <v>679</v>
      </c>
      <c r="O323">
        <v>50</v>
      </c>
      <c r="P323" t="s">
        <v>211</v>
      </c>
      <c r="Q323" t="s">
        <v>150</v>
      </c>
      <c r="R323">
        <v>130</v>
      </c>
      <c r="S323">
        <v>0</v>
      </c>
      <c r="T323" t="s">
        <v>80</v>
      </c>
      <c r="U323" t="s">
        <v>63</v>
      </c>
      <c r="V323">
        <v>2.27</v>
      </c>
      <c r="W323">
        <v>4.43</v>
      </c>
      <c r="X323">
        <v>9.2</v>
      </c>
      <c r="Y323">
        <v>11</v>
      </c>
      <c r="Z323">
        <v>19.7</v>
      </c>
    </row>
    <row r="324" spans="1:26">
      <c r="A324" t="s">
        <v>765</v>
      </c>
      <c r="B324">
        <v>71</v>
      </c>
      <c r="C324" t="s">
        <v>71</v>
      </c>
      <c r="D324" t="s">
        <v>41</v>
      </c>
      <c r="E324" t="s">
        <v>255</v>
      </c>
      <c r="F324" t="s">
        <v>150</v>
      </c>
      <c r="G324" t="s">
        <v>431</v>
      </c>
      <c r="H324" t="s">
        <v>34</v>
      </c>
      <c r="I324" t="s">
        <v>18</v>
      </c>
      <c r="J324" s="7">
        <v>44970</v>
      </c>
      <c r="K324" s="7">
        <v>45486</v>
      </c>
      <c r="L324" s="5">
        <v>50</v>
      </c>
      <c r="M324" t="s">
        <v>26</v>
      </c>
      <c r="N324" t="s">
        <v>413</v>
      </c>
      <c r="O324">
        <v>50</v>
      </c>
      <c r="P324" t="s">
        <v>205</v>
      </c>
      <c r="Q324" t="s">
        <v>25</v>
      </c>
      <c r="R324">
        <v>104</v>
      </c>
      <c r="S324">
        <v>0</v>
      </c>
      <c r="T324" t="s">
        <v>83</v>
      </c>
      <c r="U324" t="s">
        <v>63</v>
      </c>
      <c r="V324">
        <v>1.56</v>
      </c>
      <c r="W324">
        <v>1.81</v>
      </c>
      <c r="X324">
        <v>2.7</v>
      </c>
      <c r="Y324">
        <v>22.1</v>
      </c>
      <c r="Z324">
        <v>14.1</v>
      </c>
    </row>
    <row r="325" spans="1:26">
      <c r="A325" t="s">
        <v>766</v>
      </c>
      <c r="B325">
        <v>81</v>
      </c>
      <c r="C325" t="s">
        <v>70</v>
      </c>
      <c r="D325" t="s">
        <v>44</v>
      </c>
      <c r="E325" t="s">
        <v>311</v>
      </c>
      <c r="F325" t="s">
        <v>150</v>
      </c>
      <c r="G325" t="s">
        <v>294</v>
      </c>
      <c r="H325" t="s">
        <v>29</v>
      </c>
      <c r="I325" t="s">
        <v>19</v>
      </c>
      <c r="J325" s="7">
        <v>44779</v>
      </c>
      <c r="K325" s="7">
        <v>45083</v>
      </c>
      <c r="L325" s="5">
        <v>100</v>
      </c>
      <c r="M325" t="s">
        <v>28</v>
      </c>
      <c r="N325" t="s">
        <v>514</v>
      </c>
      <c r="O325">
        <v>100</v>
      </c>
      <c r="P325" t="s">
        <v>205</v>
      </c>
      <c r="Q325" t="s">
        <v>27</v>
      </c>
      <c r="R325">
        <v>127</v>
      </c>
      <c r="S325">
        <v>0</v>
      </c>
      <c r="T325" t="s">
        <v>81</v>
      </c>
      <c r="U325" t="s">
        <v>61</v>
      </c>
      <c r="V325">
        <v>1.61</v>
      </c>
      <c r="W325">
        <v>2.76</v>
      </c>
      <c r="X325">
        <v>6.5</v>
      </c>
      <c r="Y325">
        <v>7.5</v>
      </c>
      <c r="Z325">
        <v>18</v>
      </c>
    </row>
    <row r="326" spans="1:26">
      <c r="A326" t="s">
        <v>767</v>
      </c>
      <c r="B326">
        <v>42</v>
      </c>
      <c r="C326" t="s">
        <v>70</v>
      </c>
      <c r="D326" t="s">
        <v>42</v>
      </c>
      <c r="E326" t="s">
        <v>311</v>
      </c>
      <c r="F326" t="s">
        <v>273</v>
      </c>
      <c r="G326" t="s">
        <v>256</v>
      </c>
      <c r="H326" t="s">
        <v>34</v>
      </c>
      <c r="I326" t="s">
        <v>20</v>
      </c>
      <c r="J326" s="7">
        <v>44595</v>
      </c>
      <c r="K326" s="7">
        <v>45019</v>
      </c>
      <c r="L326" s="5">
        <v>100</v>
      </c>
      <c r="M326" t="s">
        <v>27</v>
      </c>
      <c r="N326" t="s">
        <v>768</v>
      </c>
      <c r="O326">
        <v>100</v>
      </c>
      <c r="P326" t="s">
        <v>206</v>
      </c>
      <c r="Q326" t="s">
        <v>26</v>
      </c>
      <c r="R326">
        <v>34</v>
      </c>
      <c r="S326">
        <v>1</v>
      </c>
      <c r="T326" t="s">
        <v>80</v>
      </c>
      <c r="U326" t="s">
        <v>63</v>
      </c>
      <c r="V326">
        <v>4.21</v>
      </c>
      <c r="W326">
        <v>3.02</v>
      </c>
      <c r="X326">
        <v>9.7</v>
      </c>
      <c r="Y326">
        <v>13.5</v>
      </c>
      <c r="Z326">
        <v>19.7</v>
      </c>
    </row>
    <row r="327" spans="1:26">
      <c r="A327" t="s">
        <v>769</v>
      </c>
      <c r="B327">
        <v>40</v>
      </c>
      <c r="C327" t="s">
        <v>70</v>
      </c>
      <c r="D327" t="s">
        <v>42</v>
      </c>
      <c r="E327" t="s">
        <v>255</v>
      </c>
      <c r="F327" t="s">
        <v>150</v>
      </c>
      <c r="G327" t="s">
        <v>288</v>
      </c>
      <c r="H327" t="s">
        <v>29</v>
      </c>
      <c r="I327" t="s">
        <v>16</v>
      </c>
      <c r="J327" s="7">
        <v>44270</v>
      </c>
      <c r="K327" s="7">
        <v>44607</v>
      </c>
      <c r="L327" s="5">
        <v>100</v>
      </c>
      <c r="M327" t="s">
        <v>28</v>
      </c>
      <c r="N327" t="s">
        <v>660</v>
      </c>
      <c r="O327">
        <v>100</v>
      </c>
      <c r="P327" t="s">
        <v>205</v>
      </c>
      <c r="Q327" t="s">
        <v>26</v>
      </c>
      <c r="R327">
        <v>143</v>
      </c>
      <c r="S327">
        <v>0</v>
      </c>
      <c r="T327" t="s">
        <v>83</v>
      </c>
      <c r="U327" t="s">
        <v>63</v>
      </c>
      <c r="V327">
        <v>3.67</v>
      </c>
      <c r="W327">
        <v>3.54</v>
      </c>
      <c r="X327">
        <v>2.5</v>
      </c>
      <c r="Y327">
        <v>21.9</v>
      </c>
      <c r="Z327">
        <v>10.3</v>
      </c>
    </row>
    <row r="328" spans="1:26">
      <c r="A328" t="s">
        <v>770</v>
      </c>
      <c r="B328">
        <v>67</v>
      </c>
      <c r="C328" t="s">
        <v>44</v>
      </c>
      <c r="D328" t="s">
        <v>39</v>
      </c>
      <c r="E328" t="s">
        <v>272</v>
      </c>
      <c r="F328" t="s">
        <v>277</v>
      </c>
      <c r="G328" t="s">
        <v>291</v>
      </c>
      <c r="H328" t="s">
        <v>34</v>
      </c>
      <c r="I328" t="s">
        <v>18</v>
      </c>
      <c r="J328" s="7">
        <v>43990</v>
      </c>
      <c r="K328" s="7">
        <v>44263</v>
      </c>
      <c r="L328" s="5">
        <v>50</v>
      </c>
      <c r="M328" t="s">
        <v>27</v>
      </c>
      <c r="N328" t="s">
        <v>581</v>
      </c>
      <c r="O328">
        <v>50</v>
      </c>
      <c r="P328" t="s">
        <v>206</v>
      </c>
      <c r="Q328" t="s">
        <v>150</v>
      </c>
      <c r="R328">
        <v>79</v>
      </c>
      <c r="S328">
        <v>1</v>
      </c>
      <c r="T328" t="s">
        <v>83</v>
      </c>
      <c r="U328" t="s">
        <v>63</v>
      </c>
      <c r="V328">
        <v>1.65</v>
      </c>
      <c r="W328">
        <v>1.05</v>
      </c>
      <c r="X328">
        <v>6</v>
      </c>
      <c r="Y328">
        <v>15.5</v>
      </c>
      <c r="Z328">
        <v>15.2</v>
      </c>
    </row>
    <row r="329" spans="1:26">
      <c r="A329" t="s">
        <v>771</v>
      </c>
      <c r="B329">
        <v>30</v>
      </c>
      <c r="C329" t="s">
        <v>44</v>
      </c>
      <c r="D329" t="s">
        <v>41</v>
      </c>
      <c r="E329" t="s">
        <v>259</v>
      </c>
      <c r="F329" t="s">
        <v>268</v>
      </c>
      <c r="G329" t="s">
        <v>284</v>
      </c>
      <c r="H329" t="s">
        <v>32</v>
      </c>
      <c r="I329" t="s">
        <v>19</v>
      </c>
      <c r="J329" s="7">
        <v>45237</v>
      </c>
      <c r="K329" s="7">
        <v>45695</v>
      </c>
      <c r="L329" s="5">
        <v>100</v>
      </c>
      <c r="M329" t="s">
        <v>27</v>
      </c>
      <c r="N329" t="s">
        <v>531</v>
      </c>
      <c r="O329">
        <v>100</v>
      </c>
      <c r="P329" t="s">
        <v>206</v>
      </c>
      <c r="Q329" t="s">
        <v>28</v>
      </c>
      <c r="R329">
        <v>121</v>
      </c>
      <c r="S329">
        <v>1</v>
      </c>
      <c r="T329" t="s">
        <v>81</v>
      </c>
      <c r="U329" t="s">
        <v>63</v>
      </c>
      <c r="V329">
        <v>4.56</v>
      </c>
      <c r="W329">
        <v>1.32</v>
      </c>
      <c r="X329">
        <v>7.6</v>
      </c>
      <c r="Y329">
        <v>9.4</v>
      </c>
      <c r="Z329">
        <v>17.6</v>
      </c>
    </row>
    <row r="330" spans="1:26">
      <c r="A330" t="s">
        <v>772</v>
      </c>
      <c r="B330">
        <v>19</v>
      </c>
      <c r="C330" t="s">
        <v>70</v>
      </c>
      <c r="D330" t="s">
        <v>39</v>
      </c>
      <c r="E330" t="s">
        <v>311</v>
      </c>
      <c r="F330" t="s">
        <v>260</v>
      </c>
      <c r="G330" t="s">
        <v>265</v>
      </c>
      <c r="H330" t="s">
        <v>29</v>
      </c>
      <c r="I330" t="s">
        <v>19</v>
      </c>
      <c r="J330" s="7">
        <v>45079</v>
      </c>
      <c r="K330" s="7">
        <v>45293</v>
      </c>
      <c r="L330" s="5">
        <v>100</v>
      </c>
      <c r="M330" t="s">
        <v>150</v>
      </c>
      <c r="N330" t="s">
        <v>773</v>
      </c>
      <c r="O330">
        <v>100</v>
      </c>
      <c r="P330" t="s">
        <v>205</v>
      </c>
      <c r="Q330" t="s">
        <v>25</v>
      </c>
      <c r="R330">
        <v>175</v>
      </c>
      <c r="S330">
        <v>0</v>
      </c>
      <c r="T330" t="s">
        <v>78</v>
      </c>
      <c r="U330" t="s">
        <v>61</v>
      </c>
      <c r="V330">
        <v>4.28</v>
      </c>
      <c r="W330">
        <v>3.16</v>
      </c>
      <c r="X330">
        <v>7.4</v>
      </c>
      <c r="Y330">
        <v>11.7</v>
      </c>
      <c r="Z330">
        <v>11</v>
      </c>
    </row>
    <row r="331" spans="1:26">
      <c r="A331" t="s">
        <v>774</v>
      </c>
      <c r="B331">
        <v>30</v>
      </c>
      <c r="C331" t="s">
        <v>44</v>
      </c>
      <c r="D331" t="s">
        <v>39</v>
      </c>
      <c r="E331" t="s">
        <v>272</v>
      </c>
      <c r="F331" t="s">
        <v>150</v>
      </c>
      <c r="G331" t="s">
        <v>281</v>
      </c>
      <c r="H331" t="s">
        <v>32</v>
      </c>
      <c r="I331" t="s">
        <v>18</v>
      </c>
      <c r="J331" s="7">
        <v>44516</v>
      </c>
      <c r="K331" s="7">
        <v>44728</v>
      </c>
      <c r="L331" s="5">
        <v>150</v>
      </c>
      <c r="M331" t="s">
        <v>25</v>
      </c>
      <c r="N331" t="s">
        <v>421</v>
      </c>
      <c r="O331">
        <v>150</v>
      </c>
      <c r="P331" t="s">
        <v>211</v>
      </c>
      <c r="Q331" t="s">
        <v>27</v>
      </c>
      <c r="R331">
        <v>160</v>
      </c>
      <c r="S331">
        <v>0</v>
      </c>
      <c r="T331" t="s">
        <v>78</v>
      </c>
      <c r="U331" t="s">
        <v>63</v>
      </c>
      <c r="V331">
        <v>4.29</v>
      </c>
      <c r="W331">
        <v>2.84</v>
      </c>
      <c r="X331">
        <v>4.2</v>
      </c>
      <c r="Y331">
        <v>14.9</v>
      </c>
      <c r="Z331">
        <v>17.1</v>
      </c>
    </row>
    <row r="332" spans="1:26">
      <c r="A332" t="s">
        <v>775</v>
      </c>
      <c r="B332">
        <v>47</v>
      </c>
      <c r="C332" t="s">
        <v>71</v>
      </c>
      <c r="D332" t="s">
        <v>44</v>
      </c>
      <c r="E332" t="s">
        <v>311</v>
      </c>
      <c r="F332" t="s">
        <v>260</v>
      </c>
      <c r="G332" t="s">
        <v>265</v>
      </c>
      <c r="H332" t="s">
        <v>29</v>
      </c>
      <c r="I332" t="s">
        <v>16</v>
      </c>
      <c r="J332" s="7">
        <v>43998</v>
      </c>
      <c r="K332" s="7">
        <v>44302</v>
      </c>
      <c r="L332" s="5">
        <v>100</v>
      </c>
      <c r="M332" t="s">
        <v>27</v>
      </c>
      <c r="N332" t="s">
        <v>776</v>
      </c>
      <c r="O332">
        <v>100</v>
      </c>
      <c r="P332" t="s">
        <v>205</v>
      </c>
      <c r="Q332" t="s">
        <v>28</v>
      </c>
      <c r="R332">
        <v>90</v>
      </c>
      <c r="S332">
        <v>0</v>
      </c>
      <c r="T332" t="s">
        <v>80</v>
      </c>
      <c r="U332" t="s">
        <v>61</v>
      </c>
      <c r="V332">
        <v>2.34</v>
      </c>
      <c r="W332">
        <v>1.7</v>
      </c>
      <c r="X332">
        <v>7.4</v>
      </c>
      <c r="Y332">
        <v>20.9</v>
      </c>
      <c r="Z332">
        <v>4.7</v>
      </c>
    </row>
    <row r="333" spans="1:26">
      <c r="A333" t="s">
        <v>777</v>
      </c>
      <c r="B333">
        <v>60</v>
      </c>
      <c r="C333" t="s">
        <v>71</v>
      </c>
      <c r="D333" t="s">
        <v>39</v>
      </c>
      <c r="E333" t="s">
        <v>150</v>
      </c>
      <c r="F333" t="s">
        <v>150</v>
      </c>
      <c r="G333" t="s">
        <v>291</v>
      </c>
      <c r="H333" t="s">
        <v>34</v>
      </c>
      <c r="I333" t="s">
        <v>19</v>
      </c>
      <c r="J333" s="7">
        <v>43583</v>
      </c>
      <c r="K333" s="7">
        <v>44102</v>
      </c>
      <c r="L333" s="5">
        <v>150</v>
      </c>
      <c r="M333" t="s">
        <v>26</v>
      </c>
      <c r="N333" t="s">
        <v>718</v>
      </c>
      <c r="O333">
        <v>150</v>
      </c>
      <c r="P333" t="s">
        <v>206</v>
      </c>
      <c r="Q333" t="s">
        <v>26</v>
      </c>
      <c r="R333">
        <v>86</v>
      </c>
      <c r="S333">
        <v>1</v>
      </c>
      <c r="T333" t="s">
        <v>80</v>
      </c>
      <c r="U333" t="s">
        <v>61</v>
      </c>
      <c r="V333">
        <v>1.96</v>
      </c>
      <c r="W333">
        <v>1.57</v>
      </c>
      <c r="X333">
        <v>4.1</v>
      </c>
      <c r="Y333">
        <v>14.1</v>
      </c>
      <c r="Z333">
        <v>15.7</v>
      </c>
    </row>
    <row r="334" spans="1:26">
      <c r="A334" t="s">
        <v>778</v>
      </c>
      <c r="B334">
        <v>84</v>
      </c>
      <c r="C334" t="s">
        <v>70</v>
      </c>
      <c r="D334" t="s">
        <v>41</v>
      </c>
      <c r="E334" t="s">
        <v>272</v>
      </c>
      <c r="F334" t="s">
        <v>150</v>
      </c>
      <c r="G334" t="s">
        <v>294</v>
      </c>
      <c r="H334" t="s">
        <v>34</v>
      </c>
      <c r="I334" t="s">
        <v>16</v>
      </c>
      <c r="J334" s="7">
        <v>43851</v>
      </c>
      <c r="K334" s="7">
        <v>44095</v>
      </c>
      <c r="L334" s="5">
        <v>100</v>
      </c>
      <c r="M334" t="s">
        <v>28</v>
      </c>
      <c r="N334" t="s">
        <v>779</v>
      </c>
      <c r="O334">
        <v>100</v>
      </c>
      <c r="P334" t="s">
        <v>205</v>
      </c>
      <c r="Q334" t="s">
        <v>25</v>
      </c>
      <c r="R334">
        <v>82</v>
      </c>
      <c r="S334">
        <v>0</v>
      </c>
      <c r="T334" t="s">
        <v>78</v>
      </c>
      <c r="U334" t="s">
        <v>63</v>
      </c>
      <c r="V334">
        <v>3.6</v>
      </c>
      <c r="W334">
        <v>3.48</v>
      </c>
      <c r="X334">
        <v>4.2</v>
      </c>
      <c r="Y334">
        <v>21.1</v>
      </c>
      <c r="Z334">
        <v>11</v>
      </c>
    </row>
    <row r="335" spans="1:26">
      <c r="A335" t="s">
        <v>780</v>
      </c>
      <c r="B335">
        <v>72</v>
      </c>
      <c r="C335" t="s">
        <v>44</v>
      </c>
      <c r="D335" t="s">
        <v>43</v>
      </c>
      <c r="E335" t="s">
        <v>150</v>
      </c>
      <c r="F335" t="s">
        <v>273</v>
      </c>
      <c r="G335" t="s">
        <v>265</v>
      </c>
      <c r="H335" t="s">
        <v>34</v>
      </c>
      <c r="I335" t="s">
        <v>18</v>
      </c>
      <c r="J335" s="7">
        <v>45026</v>
      </c>
      <c r="K335" s="7">
        <v>45332</v>
      </c>
      <c r="L335" s="5">
        <v>200</v>
      </c>
      <c r="M335" t="s">
        <v>26</v>
      </c>
      <c r="N335" t="s">
        <v>647</v>
      </c>
      <c r="O335">
        <v>200</v>
      </c>
      <c r="P335" t="s">
        <v>211</v>
      </c>
      <c r="Q335" t="s">
        <v>27</v>
      </c>
      <c r="R335">
        <v>126</v>
      </c>
      <c r="S335">
        <v>0</v>
      </c>
      <c r="T335" t="s">
        <v>78</v>
      </c>
      <c r="U335" t="s">
        <v>61</v>
      </c>
      <c r="V335">
        <v>4.92</v>
      </c>
      <c r="W335">
        <v>3.54</v>
      </c>
      <c r="X335">
        <v>2.1</v>
      </c>
      <c r="Y335">
        <v>18.2</v>
      </c>
      <c r="Z335">
        <v>8.5</v>
      </c>
    </row>
    <row r="336" spans="1:26">
      <c r="A336" t="s">
        <v>781</v>
      </c>
      <c r="B336">
        <v>74</v>
      </c>
      <c r="C336" t="s">
        <v>70</v>
      </c>
      <c r="D336" t="s">
        <v>44</v>
      </c>
      <c r="E336" t="s">
        <v>255</v>
      </c>
      <c r="F336" t="s">
        <v>150</v>
      </c>
      <c r="G336" t="s">
        <v>281</v>
      </c>
      <c r="H336" t="s">
        <v>34</v>
      </c>
      <c r="I336" t="s">
        <v>16</v>
      </c>
      <c r="J336" s="7">
        <v>44770</v>
      </c>
      <c r="K336" s="7">
        <v>44985</v>
      </c>
      <c r="L336" s="5">
        <v>150</v>
      </c>
      <c r="M336" t="s">
        <v>25</v>
      </c>
      <c r="N336" t="s">
        <v>782</v>
      </c>
      <c r="O336">
        <v>150</v>
      </c>
      <c r="P336" t="s">
        <v>206</v>
      </c>
      <c r="Q336" t="s">
        <v>150</v>
      </c>
      <c r="R336">
        <v>127</v>
      </c>
      <c r="S336">
        <v>1</v>
      </c>
      <c r="T336" t="s">
        <v>82</v>
      </c>
      <c r="U336" t="s">
        <v>61</v>
      </c>
      <c r="V336">
        <v>3.75</v>
      </c>
      <c r="W336">
        <v>1.28</v>
      </c>
      <c r="X336">
        <v>2.6</v>
      </c>
      <c r="Y336">
        <v>21.4</v>
      </c>
      <c r="Z336">
        <v>6.9</v>
      </c>
    </row>
    <row r="337" spans="1:26">
      <c r="A337" t="s">
        <v>783</v>
      </c>
      <c r="B337">
        <v>76</v>
      </c>
      <c r="C337" t="s">
        <v>70</v>
      </c>
      <c r="D337" t="s">
        <v>43</v>
      </c>
      <c r="E337" t="s">
        <v>255</v>
      </c>
      <c r="F337" t="s">
        <v>150</v>
      </c>
      <c r="G337" t="s">
        <v>294</v>
      </c>
      <c r="H337" t="s">
        <v>32</v>
      </c>
      <c r="I337" t="s">
        <v>18</v>
      </c>
      <c r="J337" s="7">
        <v>44656</v>
      </c>
      <c r="K337" s="7">
        <v>44931</v>
      </c>
      <c r="L337" s="5">
        <v>50</v>
      </c>
      <c r="M337" t="s">
        <v>25</v>
      </c>
      <c r="N337" t="s">
        <v>782</v>
      </c>
      <c r="O337">
        <v>50</v>
      </c>
      <c r="P337" t="s">
        <v>205</v>
      </c>
      <c r="Q337" t="s">
        <v>150</v>
      </c>
      <c r="R337">
        <v>155</v>
      </c>
      <c r="S337">
        <v>0</v>
      </c>
      <c r="T337" t="s">
        <v>82</v>
      </c>
      <c r="U337" t="s">
        <v>61</v>
      </c>
      <c r="V337">
        <v>4.35</v>
      </c>
      <c r="W337">
        <v>2.12</v>
      </c>
      <c r="X337">
        <v>6.8</v>
      </c>
      <c r="Y337">
        <v>18.5</v>
      </c>
      <c r="Z337">
        <v>11.7</v>
      </c>
    </row>
    <row r="338" spans="1:26">
      <c r="A338" t="s">
        <v>784</v>
      </c>
      <c r="B338">
        <v>68</v>
      </c>
      <c r="C338" t="s">
        <v>44</v>
      </c>
      <c r="D338" t="s">
        <v>39</v>
      </c>
      <c r="E338" t="s">
        <v>272</v>
      </c>
      <c r="F338" t="s">
        <v>268</v>
      </c>
      <c r="G338" t="s">
        <v>294</v>
      </c>
      <c r="H338" t="s">
        <v>34</v>
      </c>
      <c r="I338" t="s">
        <v>16</v>
      </c>
      <c r="J338" s="7">
        <v>43665</v>
      </c>
      <c r="K338" s="7">
        <v>43909</v>
      </c>
      <c r="L338" s="5">
        <v>100</v>
      </c>
      <c r="M338" t="s">
        <v>150</v>
      </c>
      <c r="N338" t="s">
        <v>785</v>
      </c>
      <c r="O338">
        <v>100</v>
      </c>
      <c r="P338" t="s">
        <v>205</v>
      </c>
      <c r="Q338" t="s">
        <v>27</v>
      </c>
      <c r="R338">
        <v>124</v>
      </c>
      <c r="S338">
        <v>0</v>
      </c>
      <c r="T338" t="s">
        <v>83</v>
      </c>
      <c r="U338" t="s">
        <v>61</v>
      </c>
      <c r="V338">
        <v>2.22</v>
      </c>
      <c r="W338">
        <v>1.85</v>
      </c>
      <c r="X338">
        <v>1.3</v>
      </c>
      <c r="Y338">
        <v>11.5</v>
      </c>
      <c r="Z338">
        <v>14.1</v>
      </c>
    </row>
    <row r="339" spans="1:26">
      <c r="A339" t="s">
        <v>786</v>
      </c>
      <c r="B339">
        <v>72</v>
      </c>
      <c r="C339" t="s">
        <v>44</v>
      </c>
      <c r="D339" t="s">
        <v>41</v>
      </c>
      <c r="E339" t="s">
        <v>259</v>
      </c>
      <c r="F339" t="s">
        <v>264</v>
      </c>
      <c r="G339" t="s">
        <v>312</v>
      </c>
      <c r="H339" t="s">
        <v>30</v>
      </c>
      <c r="I339" t="s">
        <v>19</v>
      </c>
      <c r="J339" s="7">
        <v>45160</v>
      </c>
      <c r="K339" s="7">
        <v>45404</v>
      </c>
      <c r="L339" s="5">
        <v>150</v>
      </c>
      <c r="M339" t="s">
        <v>25</v>
      </c>
      <c r="N339" t="s">
        <v>590</v>
      </c>
      <c r="O339">
        <v>150</v>
      </c>
      <c r="P339" t="s">
        <v>205</v>
      </c>
      <c r="Q339" t="s">
        <v>26</v>
      </c>
      <c r="R339">
        <v>33</v>
      </c>
      <c r="S339">
        <v>0</v>
      </c>
      <c r="T339" t="s">
        <v>83</v>
      </c>
      <c r="U339" t="s">
        <v>63</v>
      </c>
      <c r="V339">
        <v>4.75</v>
      </c>
      <c r="W339">
        <v>4.48</v>
      </c>
      <c r="X339">
        <v>7.9</v>
      </c>
      <c r="Y339">
        <v>20.2</v>
      </c>
      <c r="Z339">
        <v>14.3</v>
      </c>
    </row>
    <row r="340" spans="1:26">
      <c r="A340" t="s">
        <v>787</v>
      </c>
      <c r="B340">
        <v>67</v>
      </c>
      <c r="C340" t="s">
        <v>70</v>
      </c>
      <c r="D340" t="s">
        <v>44</v>
      </c>
      <c r="E340" t="s">
        <v>311</v>
      </c>
      <c r="F340" t="s">
        <v>150</v>
      </c>
      <c r="G340" t="s">
        <v>278</v>
      </c>
      <c r="H340" t="s">
        <v>34</v>
      </c>
      <c r="I340" t="s">
        <v>18</v>
      </c>
      <c r="J340" s="7">
        <v>44704</v>
      </c>
      <c r="K340" s="7">
        <v>45008</v>
      </c>
      <c r="L340" s="5">
        <v>200</v>
      </c>
      <c r="M340" t="s">
        <v>150</v>
      </c>
      <c r="N340" t="s">
        <v>704</v>
      </c>
      <c r="O340">
        <v>200</v>
      </c>
      <c r="P340" t="s">
        <v>206</v>
      </c>
      <c r="Q340" t="s">
        <v>25</v>
      </c>
      <c r="R340">
        <v>118</v>
      </c>
      <c r="S340">
        <v>1</v>
      </c>
      <c r="T340" t="s">
        <v>78</v>
      </c>
      <c r="U340" t="s">
        <v>61</v>
      </c>
      <c r="V340">
        <v>2.04</v>
      </c>
      <c r="W340">
        <v>4.63</v>
      </c>
      <c r="X340">
        <v>7</v>
      </c>
      <c r="Y340">
        <v>16.1</v>
      </c>
      <c r="Z340">
        <v>4.9</v>
      </c>
    </row>
    <row r="341" spans="1:26">
      <c r="A341" t="s">
        <v>788</v>
      </c>
      <c r="B341">
        <v>44</v>
      </c>
      <c r="C341" t="s">
        <v>44</v>
      </c>
      <c r="D341" t="s">
        <v>43</v>
      </c>
      <c r="E341" t="s">
        <v>150</v>
      </c>
      <c r="F341" t="s">
        <v>273</v>
      </c>
      <c r="G341" t="s">
        <v>269</v>
      </c>
      <c r="H341" t="s">
        <v>29</v>
      </c>
      <c r="I341" t="s">
        <v>16</v>
      </c>
      <c r="J341" s="7">
        <v>43813</v>
      </c>
      <c r="K341" s="7">
        <v>44241</v>
      </c>
      <c r="L341" s="5">
        <v>200</v>
      </c>
      <c r="M341" t="s">
        <v>150</v>
      </c>
      <c r="N341" t="s">
        <v>503</v>
      </c>
      <c r="O341">
        <v>200</v>
      </c>
      <c r="P341" t="s">
        <v>211</v>
      </c>
      <c r="Q341" t="s">
        <v>26</v>
      </c>
      <c r="R341">
        <v>64</v>
      </c>
      <c r="S341">
        <v>0</v>
      </c>
      <c r="T341" t="s">
        <v>78</v>
      </c>
      <c r="U341" t="s">
        <v>61</v>
      </c>
      <c r="V341">
        <v>2.79</v>
      </c>
      <c r="W341">
        <v>2.84</v>
      </c>
      <c r="X341">
        <v>8.8</v>
      </c>
      <c r="Y341">
        <v>15.8</v>
      </c>
      <c r="Z341">
        <v>9.5</v>
      </c>
    </row>
    <row r="342" spans="1:26">
      <c r="A342" t="s">
        <v>789</v>
      </c>
      <c r="B342">
        <v>41</v>
      </c>
      <c r="C342" t="s">
        <v>44</v>
      </c>
      <c r="D342" t="s">
        <v>42</v>
      </c>
      <c r="E342" t="s">
        <v>272</v>
      </c>
      <c r="F342" t="s">
        <v>150</v>
      </c>
      <c r="G342" t="s">
        <v>278</v>
      </c>
      <c r="H342" t="s">
        <v>30</v>
      </c>
      <c r="I342" t="s">
        <v>18</v>
      </c>
      <c r="J342" s="7">
        <v>43805</v>
      </c>
      <c r="K342" s="7">
        <v>44353</v>
      </c>
      <c r="L342" s="5">
        <v>100</v>
      </c>
      <c r="M342" t="s">
        <v>27</v>
      </c>
      <c r="N342" t="s">
        <v>356</v>
      </c>
      <c r="O342">
        <v>100</v>
      </c>
      <c r="P342" t="s">
        <v>205</v>
      </c>
      <c r="Q342" t="s">
        <v>28</v>
      </c>
      <c r="R342">
        <v>72</v>
      </c>
      <c r="S342">
        <v>0</v>
      </c>
      <c r="T342" t="s">
        <v>83</v>
      </c>
      <c r="U342" t="s">
        <v>61</v>
      </c>
      <c r="V342">
        <v>4.91</v>
      </c>
      <c r="W342">
        <v>1.44</v>
      </c>
      <c r="X342">
        <v>4.8</v>
      </c>
      <c r="Y342">
        <v>6.8</v>
      </c>
      <c r="Z342">
        <v>15.6</v>
      </c>
    </row>
    <row r="343" spans="1:26">
      <c r="A343" t="s">
        <v>790</v>
      </c>
      <c r="B343">
        <v>28</v>
      </c>
      <c r="C343" t="s">
        <v>70</v>
      </c>
      <c r="D343" t="s">
        <v>42</v>
      </c>
      <c r="E343" t="s">
        <v>150</v>
      </c>
      <c r="F343" t="s">
        <v>277</v>
      </c>
      <c r="G343" t="s">
        <v>274</v>
      </c>
      <c r="H343" t="s">
        <v>30</v>
      </c>
      <c r="I343" t="s">
        <v>20</v>
      </c>
      <c r="J343" s="7">
        <v>44890</v>
      </c>
      <c r="K343" s="7">
        <v>45102</v>
      </c>
      <c r="L343" s="5">
        <v>50</v>
      </c>
      <c r="M343" t="s">
        <v>150</v>
      </c>
      <c r="N343" t="s">
        <v>791</v>
      </c>
      <c r="O343">
        <v>50</v>
      </c>
      <c r="P343" t="s">
        <v>206</v>
      </c>
      <c r="Q343" t="s">
        <v>25</v>
      </c>
      <c r="R343">
        <v>40</v>
      </c>
      <c r="S343">
        <v>1</v>
      </c>
      <c r="T343" t="s">
        <v>83</v>
      </c>
      <c r="U343" t="s">
        <v>63</v>
      </c>
      <c r="V343">
        <v>4.67</v>
      </c>
      <c r="W343">
        <v>2.12</v>
      </c>
      <c r="X343">
        <v>8.7</v>
      </c>
      <c r="Y343">
        <v>11.3</v>
      </c>
      <c r="Z343">
        <v>18.5</v>
      </c>
    </row>
    <row r="344" spans="1:26">
      <c r="A344" t="s">
        <v>792</v>
      </c>
      <c r="B344">
        <v>84</v>
      </c>
      <c r="C344" t="s">
        <v>71</v>
      </c>
      <c r="D344" t="s">
        <v>43</v>
      </c>
      <c r="E344" t="s">
        <v>255</v>
      </c>
      <c r="F344" t="s">
        <v>150</v>
      </c>
      <c r="G344" t="s">
        <v>322</v>
      </c>
      <c r="H344" t="s">
        <v>34</v>
      </c>
      <c r="I344" t="s">
        <v>20</v>
      </c>
      <c r="J344" s="7">
        <v>44483</v>
      </c>
      <c r="K344" s="7">
        <v>44818</v>
      </c>
      <c r="L344" s="5">
        <v>150</v>
      </c>
      <c r="M344" t="s">
        <v>150</v>
      </c>
      <c r="N344" t="s">
        <v>323</v>
      </c>
      <c r="O344">
        <v>150</v>
      </c>
      <c r="P344" t="s">
        <v>205</v>
      </c>
      <c r="Q344" t="s">
        <v>27</v>
      </c>
      <c r="R344">
        <v>126</v>
      </c>
      <c r="S344">
        <v>0</v>
      </c>
      <c r="T344" t="s">
        <v>80</v>
      </c>
      <c r="U344" t="s">
        <v>63</v>
      </c>
      <c r="V344">
        <v>4.02</v>
      </c>
      <c r="W344">
        <v>4.22</v>
      </c>
      <c r="X344">
        <v>1.2</v>
      </c>
      <c r="Y344">
        <v>23.3</v>
      </c>
      <c r="Z344">
        <v>15.4</v>
      </c>
    </row>
    <row r="345" spans="1:26">
      <c r="A345" t="s">
        <v>793</v>
      </c>
      <c r="B345">
        <v>63</v>
      </c>
      <c r="C345" t="s">
        <v>70</v>
      </c>
      <c r="D345" t="s">
        <v>42</v>
      </c>
      <c r="E345" t="s">
        <v>311</v>
      </c>
      <c r="F345" t="s">
        <v>260</v>
      </c>
      <c r="G345" t="s">
        <v>281</v>
      </c>
      <c r="H345" t="s">
        <v>29</v>
      </c>
      <c r="I345" t="s">
        <v>16</v>
      </c>
      <c r="J345" s="7">
        <v>45069</v>
      </c>
      <c r="K345" s="7">
        <v>45619</v>
      </c>
      <c r="L345" s="5">
        <v>100</v>
      </c>
      <c r="M345" t="s">
        <v>27</v>
      </c>
      <c r="N345" t="s">
        <v>642</v>
      </c>
      <c r="O345">
        <v>100</v>
      </c>
      <c r="P345" t="s">
        <v>211</v>
      </c>
      <c r="Q345" t="s">
        <v>26</v>
      </c>
      <c r="R345">
        <v>30</v>
      </c>
      <c r="S345">
        <v>0</v>
      </c>
      <c r="T345" t="s">
        <v>81</v>
      </c>
      <c r="U345" t="s">
        <v>63</v>
      </c>
      <c r="V345">
        <v>2.22</v>
      </c>
      <c r="W345">
        <v>4.32</v>
      </c>
      <c r="X345">
        <v>3.5</v>
      </c>
      <c r="Y345">
        <v>21.7</v>
      </c>
      <c r="Z345">
        <v>4.9</v>
      </c>
    </row>
    <row r="346" spans="1:26">
      <c r="A346" t="s">
        <v>794</v>
      </c>
      <c r="B346">
        <v>64</v>
      </c>
      <c r="C346" t="s">
        <v>71</v>
      </c>
      <c r="D346" t="s">
        <v>39</v>
      </c>
      <c r="E346" t="s">
        <v>272</v>
      </c>
      <c r="F346" t="s">
        <v>260</v>
      </c>
      <c r="G346" t="s">
        <v>297</v>
      </c>
      <c r="H346" t="s">
        <v>29</v>
      </c>
      <c r="I346" t="s">
        <v>19</v>
      </c>
      <c r="J346" s="7">
        <v>44795</v>
      </c>
      <c r="K346" s="7">
        <v>45313</v>
      </c>
      <c r="L346" s="5">
        <v>50</v>
      </c>
      <c r="M346" t="s">
        <v>27</v>
      </c>
      <c r="N346" t="s">
        <v>475</v>
      </c>
      <c r="O346">
        <v>50</v>
      </c>
      <c r="P346" t="s">
        <v>205</v>
      </c>
      <c r="Q346" t="s">
        <v>26</v>
      </c>
      <c r="R346">
        <v>163</v>
      </c>
      <c r="S346">
        <v>0</v>
      </c>
      <c r="T346" t="s">
        <v>80</v>
      </c>
      <c r="U346" t="s">
        <v>63</v>
      </c>
      <c r="V346">
        <v>3.81</v>
      </c>
      <c r="W346">
        <v>3.16</v>
      </c>
      <c r="X346">
        <v>1.9</v>
      </c>
      <c r="Y346">
        <v>10.4</v>
      </c>
      <c r="Z346">
        <v>3.2</v>
      </c>
    </row>
    <row r="347" spans="1:26">
      <c r="A347" t="s">
        <v>795</v>
      </c>
      <c r="B347">
        <v>34</v>
      </c>
      <c r="C347" t="s">
        <v>70</v>
      </c>
      <c r="D347" t="s">
        <v>42</v>
      </c>
      <c r="E347" t="s">
        <v>150</v>
      </c>
      <c r="F347" t="s">
        <v>150</v>
      </c>
      <c r="G347" t="s">
        <v>319</v>
      </c>
      <c r="H347" t="s">
        <v>34</v>
      </c>
      <c r="I347" t="s">
        <v>18</v>
      </c>
      <c r="J347" s="7">
        <v>44608</v>
      </c>
      <c r="K347" s="7">
        <v>45093</v>
      </c>
      <c r="L347" s="5">
        <v>100</v>
      </c>
      <c r="M347" t="s">
        <v>26</v>
      </c>
      <c r="N347" t="s">
        <v>664</v>
      </c>
      <c r="O347">
        <v>100</v>
      </c>
      <c r="P347" t="s">
        <v>205</v>
      </c>
      <c r="Q347" t="s">
        <v>28</v>
      </c>
      <c r="R347">
        <v>57</v>
      </c>
      <c r="S347">
        <v>0</v>
      </c>
      <c r="T347" t="s">
        <v>82</v>
      </c>
      <c r="U347" t="s">
        <v>63</v>
      </c>
      <c r="V347">
        <v>2.88</v>
      </c>
      <c r="W347">
        <v>2.21</v>
      </c>
      <c r="X347">
        <v>6.4</v>
      </c>
      <c r="Y347">
        <v>11.4</v>
      </c>
      <c r="Z347">
        <v>8.1</v>
      </c>
    </row>
    <row r="348" spans="1:26">
      <c r="A348" t="s">
        <v>796</v>
      </c>
      <c r="B348">
        <v>38</v>
      </c>
      <c r="C348" t="s">
        <v>70</v>
      </c>
      <c r="D348" t="s">
        <v>43</v>
      </c>
      <c r="E348" t="s">
        <v>150</v>
      </c>
      <c r="F348" t="s">
        <v>264</v>
      </c>
      <c r="G348" t="s">
        <v>269</v>
      </c>
      <c r="H348" t="s">
        <v>29</v>
      </c>
      <c r="I348" t="s">
        <v>18</v>
      </c>
      <c r="J348" s="7">
        <v>45254</v>
      </c>
      <c r="K348" s="7">
        <v>45650</v>
      </c>
      <c r="L348" s="5">
        <v>50</v>
      </c>
      <c r="M348" t="s">
        <v>150</v>
      </c>
      <c r="N348" t="s">
        <v>490</v>
      </c>
      <c r="O348">
        <v>50</v>
      </c>
      <c r="P348" t="s">
        <v>205</v>
      </c>
      <c r="Q348" t="s">
        <v>28</v>
      </c>
      <c r="R348">
        <v>117</v>
      </c>
      <c r="S348">
        <v>0</v>
      </c>
      <c r="T348" t="s">
        <v>82</v>
      </c>
      <c r="U348" t="s">
        <v>61</v>
      </c>
      <c r="V348">
        <v>3.97</v>
      </c>
      <c r="W348">
        <v>1.19</v>
      </c>
      <c r="X348">
        <v>9.1</v>
      </c>
      <c r="Y348">
        <v>21.3</v>
      </c>
      <c r="Z348">
        <v>14.4</v>
      </c>
    </row>
    <row r="349" spans="1:26">
      <c r="A349" t="s">
        <v>797</v>
      </c>
      <c r="B349">
        <v>73</v>
      </c>
      <c r="C349" t="s">
        <v>71</v>
      </c>
      <c r="D349" t="s">
        <v>41</v>
      </c>
      <c r="E349" t="s">
        <v>150</v>
      </c>
      <c r="F349" t="s">
        <v>277</v>
      </c>
      <c r="G349" t="s">
        <v>284</v>
      </c>
      <c r="H349" t="s">
        <v>29</v>
      </c>
      <c r="I349" t="s">
        <v>19</v>
      </c>
      <c r="J349" s="7">
        <v>45040</v>
      </c>
      <c r="K349" s="7">
        <v>45254</v>
      </c>
      <c r="L349" s="5">
        <v>150</v>
      </c>
      <c r="M349" t="s">
        <v>150</v>
      </c>
      <c r="N349" t="s">
        <v>442</v>
      </c>
      <c r="O349">
        <v>150</v>
      </c>
      <c r="P349" t="s">
        <v>205</v>
      </c>
      <c r="Q349" t="s">
        <v>28</v>
      </c>
      <c r="R349">
        <v>109</v>
      </c>
      <c r="S349">
        <v>0</v>
      </c>
      <c r="T349" t="s">
        <v>83</v>
      </c>
      <c r="U349" t="s">
        <v>63</v>
      </c>
      <c r="V349">
        <v>3.37</v>
      </c>
      <c r="W349">
        <v>4.57</v>
      </c>
      <c r="X349">
        <v>2.7</v>
      </c>
      <c r="Y349">
        <v>7.4</v>
      </c>
      <c r="Z349">
        <v>7.1</v>
      </c>
    </row>
    <row r="350" spans="1:26">
      <c r="A350" t="s">
        <v>798</v>
      </c>
      <c r="B350">
        <v>67</v>
      </c>
      <c r="C350" t="s">
        <v>70</v>
      </c>
      <c r="D350" t="s">
        <v>39</v>
      </c>
      <c r="E350" t="s">
        <v>150</v>
      </c>
      <c r="F350" t="s">
        <v>150</v>
      </c>
      <c r="G350" t="s">
        <v>281</v>
      </c>
      <c r="H350" t="s">
        <v>30</v>
      </c>
      <c r="I350" t="s">
        <v>16</v>
      </c>
      <c r="J350" s="7">
        <v>44579</v>
      </c>
      <c r="K350" s="7">
        <v>44975</v>
      </c>
      <c r="L350" s="5">
        <v>150</v>
      </c>
      <c r="M350" t="s">
        <v>150</v>
      </c>
      <c r="N350" t="s">
        <v>799</v>
      </c>
      <c r="O350">
        <v>150</v>
      </c>
      <c r="P350" t="s">
        <v>211</v>
      </c>
      <c r="Q350" t="s">
        <v>27</v>
      </c>
      <c r="R350">
        <v>67</v>
      </c>
      <c r="S350">
        <v>0</v>
      </c>
      <c r="T350" t="s">
        <v>80</v>
      </c>
      <c r="U350" t="s">
        <v>61</v>
      </c>
      <c r="V350">
        <v>4.18</v>
      </c>
      <c r="W350">
        <v>1.14</v>
      </c>
      <c r="X350">
        <v>6.2</v>
      </c>
      <c r="Y350">
        <v>23.9</v>
      </c>
      <c r="Z350">
        <v>17.5</v>
      </c>
    </row>
    <row r="351" spans="1:26">
      <c r="A351" t="s">
        <v>800</v>
      </c>
      <c r="B351">
        <v>36</v>
      </c>
      <c r="C351" t="s">
        <v>44</v>
      </c>
      <c r="D351" t="s">
        <v>42</v>
      </c>
      <c r="E351" t="s">
        <v>255</v>
      </c>
      <c r="F351" t="s">
        <v>268</v>
      </c>
      <c r="G351" t="s">
        <v>284</v>
      </c>
      <c r="H351" t="s">
        <v>32</v>
      </c>
      <c r="I351" t="s">
        <v>20</v>
      </c>
      <c r="J351" s="7">
        <v>44053</v>
      </c>
      <c r="K351" s="7">
        <v>44571</v>
      </c>
      <c r="L351" s="5">
        <v>200</v>
      </c>
      <c r="M351" t="s">
        <v>150</v>
      </c>
      <c r="N351" t="s">
        <v>545</v>
      </c>
      <c r="O351">
        <v>200</v>
      </c>
      <c r="P351" t="s">
        <v>205</v>
      </c>
      <c r="Q351" t="s">
        <v>26</v>
      </c>
      <c r="R351">
        <v>87</v>
      </c>
      <c r="S351">
        <v>0</v>
      </c>
      <c r="T351" t="s">
        <v>83</v>
      </c>
      <c r="U351" t="s">
        <v>63</v>
      </c>
      <c r="V351">
        <v>3.09</v>
      </c>
      <c r="W351">
        <v>1.25</v>
      </c>
      <c r="X351">
        <v>8.5</v>
      </c>
      <c r="Y351">
        <v>16.8</v>
      </c>
      <c r="Z351">
        <v>5</v>
      </c>
    </row>
    <row r="352" spans="1:26">
      <c r="A352" t="s">
        <v>801</v>
      </c>
      <c r="B352">
        <v>80</v>
      </c>
      <c r="C352" t="s">
        <v>44</v>
      </c>
      <c r="D352" t="s">
        <v>43</v>
      </c>
      <c r="E352" t="s">
        <v>150</v>
      </c>
      <c r="F352" t="s">
        <v>150</v>
      </c>
      <c r="G352" t="s">
        <v>288</v>
      </c>
      <c r="H352" t="s">
        <v>29</v>
      </c>
      <c r="I352" t="s">
        <v>20</v>
      </c>
      <c r="J352" s="7">
        <v>44399</v>
      </c>
      <c r="K352" s="7">
        <v>44795</v>
      </c>
      <c r="L352" s="5">
        <v>150</v>
      </c>
      <c r="M352" t="s">
        <v>27</v>
      </c>
      <c r="N352" t="s">
        <v>390</v>
      </c>
      <c r="O352">
        <v>150</v>
      </c>
      <c r="P352" t="s">
        <v>205</v>
      </c>
      <c r="Q352" t="s">
        <v>150</v>
      </c>
      <c r="R352">
        <v>102</v>
      </c>
      <c r="S352">
        <v>0</v>
      </c>
      <c r="T352" t="s">
        <v>78</v>
      </c>
      <c r="U352" t="s">
        <v>61</v>
      </c>
      <c r="V352">
        <v>1.38</v>
      </c>
      <c r="W352">
        <v>4.64</v>
      </c>
      <c r="X352">
        <v>7</v>
      </c>
      <c r="Y352">
        <v>20.9</v>
      </c>
      <c r="Z352">
        <v>17.9</v>
      </c>
    </row>
    <row r="353" spans="1:26">
      <c r="A353" t="s">
        <v>802</v>
      </c>
      <c r="B353">
        <v>30</v>
      </c>
      <c r="C353" t="s">
        <v>71</v>
      </c>
      <c r="D353" t="s">
        <v>39</v>
      </c>
      <c r="E353" t="s">
        <v>255</v>
      </c>
      <c r="F353" t="s">
        <v>150</v>
      </c>
      <c r="G353" t="s">
        <v>291</v>
      </c>
      <c r="H353" t="s">
        <v>32</v>
      </c>
      <c r="I353" t="s">
        <v>20</v>
      </c>
      <c r="J353" s="7">
        <v>44109</v>
      </c>
      <c r="K353" s="7">
        <v>44505</v>
      </c>
      <c r="L353" s="5">
        <v>200</v>
      </c>
      <c r="M353" t="s">
        <v>26</v>
      </c>
      <c r="N353" t="s">
        <v>345</v>
      </c>
      <c r="O353">
        <v>200</v>
      </c>
      <c r="P353" t="s">
        <v>205</v>
      </c>
      <c r="Q353" t="s">
        <v>26</v>
      </c>
      <c r="R353">
        <v>32</v>
      </c>
      <c r="S353">
        <v>0</v>
      </c>
      <c r="T353" t="s">
        <v>81</v>
      </c>
      <c r="U353" t="s">
        <v>63</v>
      </c>
      <c r="V353">
        <v>3.29</v>
      </c>
      <c r="W353">
        <v>3.07</v>
      </c>
      <c r="X353">
        <v>4.9</v>
      </c>
      <c r="Y353">
        <v>11.7</v>
      </c>
      <c r="Z353">
        <v>10.4</v>
      </c>
    </row>
    <row r="354" spans="1:26">
      <c r="A354" t="s">
        <v>803</v>
      </c>
      <c r="B354">
        <v>36</v>
      </c>
      <c r="C354" t="s">
        <v>70</v>
      </c>
      <c r="D354" t="s">
        <v>43</v>
      </c>
      <c r="E354" t="s">
        <v>259</v>
      </c>
      <c r="F354" t="s">
        <v>150</v>
      </c>
      <c r="G354" t="s">
        <v>284</v>
      </c>
      <c r="H354" t="s">
        <v>32</v>
      </c>
      <c r="I354" t="s">
        <v>20</v>
      </c>
      <c r="J354" s="7">
        <v>43834</v>
      </c>
      <c r="K354" s="7">
        <v>44259</v>
      </c>
      <c r="L354" s="5">
        <v>150</v>
      </c>
      <c r="M354" t="s">
        <v>27</v>
      </c>
      <c r="N354" t="s">
        <v>304</v>
      </c>
      <c r="O354">
        <v>150</v>
      </c>
      <c r="P354" t="s">
        <v>211</v>
      </c>
      <c r="Q354" t="s">
        <v>26</v>
      </c>
      <c r="R354">
        <v>38</v>
      </c>
      <c r="S354">
        <v>0</v>
      </c>
      <c r="T354" t="s">
        <v>83</v>
      </c>
      <c r="U354" t="s">
        <v>63</v>
      </c>
      <c r="V354">
        <v>4.1</v>
      </c>
      <c r="W354">
        <v>3.41</v>
      </c>
      <c r="X354">
        <v>9</v>
      </c>
      <c r="Y354">
        <v>14</v>
      </c>
      <c r="Z354">
        <v>13.3</v>
      </c>
    </row>
    <row r="355" spans="1:26">
      <c r="A355" t="s">
        <v>804</v>
      </c>
      <c r="B355">
        <v>68</v>
      </c>
      <c r="C355" t="s">
        <v>70</v>
      </c>
      <c r="D355" t="s">
        <v>39</v>
      </c>
      <c r="E355" t="s">
        <v>255</v>
      </c>
      <c r="F355" t="s">
        <v>150</v>
      </c>
      <c r="G355" t="s">
        <v>297</v>
      </c>
      <c r="H355" t="s">
        <v>29</v>
      </c>
      <c r="I355" t="s">
        <v>20</v>
      </c>
      <c r="J355" s="7">
        <v>44702</v>
      </c>
      <c r="K355" s="7">
        <v>45190</v>
      </c>
      <c r="L355" s="5">
        <v>200</v>
      </c>
      <c r="M355" t="s">
        <v>28</v>
      </c>
      <c r="N355" t="s">
        <v>440</v>
      </c>
      <c r="O355">
        <v>200</v>
      </c>
      <c r="P355" t="s">
        <v>206</v>
      </c>
      <c r="Q355" t="s">
        <v>28</v>
      </c>
      <c r="R355">
        <v>155</v>
      </c>
      <c r="S355">
        <v>1</v>
      </c>
      <c r="T355" t="s">
        <v>80</v>
      </c>
      <c r="U355" t="s">
        <v>63</v>
      </c>
      <c r="V355">
        <v>3.53</v>
      </c>
      <c r="W355">
        <v>3.37</v>
      </c>
      <c r="X355">
        <v>7.3</v>
      </c>
      <c r="Y355">
        <v>10.3</v>
      </c>
      <c r="Z355">
        <v>11.7</v>
      </c>
    </row>
    <row r="356" spans="1:26">
      <c r="A356" t="s">
        <v>805</v>
      </c>
      <c r="B356">
        <v>20</v>
      </c>
      <c r="C356" t="s">
        <v>44</v>
      </c>
      <c r="D356" t="s">
        <v>44</v>
      </c>
      <c r="E356" t="s">
        <v>255</v>
      </c>
      <c r="F356" t="s">
        <v>277</v>
      </c>
      <c r="G356" t="s">
        <v>274</v>
      </c>
      <c r="H356" t="s">
        <v>30</v>
      </c>
      <c r="I356" t="s">
        <v>20</v>
      </c>
      <c r="J356" s="7">
        <v>44888</v>
      </c>
      <c r="K356" s="7">
        <v>45253</v>
      </c>
      <c r="L356" s="5">
        <v>150</v>
      </c>
      <c r="M356" t="s">
        <v>26</v>
      </c>
      <c r="N356" t="s">
        <v>584</v>
      </c>
      <c r="O356">
        <v>150</v>
      </c>
      <c r="P356" t="s">
        <v>205</v>
      </c>
      <c r="Q356" t="s">
        <v>25</v>
      </c>
      <c r="R356">
        <v>77</v>
      </c>
      <c r="S356">
        <v>0</v>
      </c>
      <c r="T356" t="s">
        <v>82</v>
      </c>
      <c r="U356" t="s">
        <v>63</v>
      </c>
      <c r="V356">
        <v>1.42</v>
      </c>
      <c r="W356">
        <v>2.54</v>
      </c>
      <c r="X356">
        <v>5.4</v>
      </c>
      <c r="Y356">
        <v>17.7</v>
      </c>
      <c r="Z356">
        <v>19.2</v>
      </c>
    </row>
    <row r="357" spans="1:26">
      <c r="A357" t="s">
        <v>806</v>
      </c>
      <c r="B357">
        <v>68</v>
      </c>
      <c r="C357" t="s">
        <v>44</v>
      </c>
      <c r="D357" t="s">
        <v>44</v>
      </c>
      <c r="E357" t="s">
        <v>255</v>
      </c>
      <c r="F357" t="s">
        <v>268</v>
      </c>
      <c r="G357" t="s">
        <v>274</v>
      </c>
      <c r="H357" t="s">
        <v>29</v>
      </c>
      <c r="I357" t="s">
        <v>18</v>
      </c>
      <c r="J357" s="7">
        <v>43552</v>
      </c>
      <c r="K357" s="7">
        <v>44010</v>
      </c>
      <c r="L357" s="5">
        <v>100</v>
      </c>
      <c r="M357" t="s">
        <v>25</v>
      </c>
      <c r="N357" t="s">
        <v>554</v>
      </c>
      <c r="O357">
        <v>100</v>
      </c>
      <c r="P357" t="s">
        <v>211</v>
      </c>
      <c r="Q357" t="s">
        <v>28</v>
      </c>
      <c r="R357">
        <v>40</v>
      </c>
      <c r="S357">
        <v>0</v>
      </c>
      <c r="T357" t="s">
        <v>78</v>
      </c>
      <c r="U357" t="s">
        <v>63</v>
      </c>
      <c r="V357">
        <v>3.4</v>
      </c>
      <c r="W357">
        <v>3.97</v>
      </c>
      <c r="X357">
        <v>5.6</v>
      </c>
      <c r="Y357">
        <v>17.4</v>
      </c>
      <c r="Z357">
        <v>4.2</v>
      </c>
    </row>
    <row r="358" spans="1:26">
      <c r="A358" t="s">
        <v>807</v>
      </c>
      <c r="B358">
        <v>38</v>
      </c>
      <c r="C358" t="s">
        <v>71</v>
      </c>
      <c r="D358" t="s">
        <v>44</v>
      </c>
      <c r="E358" t="s">
        <v>150</v>
      </c>
      <c r="F358" t="s">
        <v>150</v>
      </c>
      <c r="G358" t="s">
        <v>291</v>
      </c>
      <c r="H358" t="s">
        <v>29</v>
      </c>
      <c r="I358" t="s">
        <v>16</v>
      </c>
      <c r="J358" s="7">
        <v>45058</v>
      </c>
      <c r="K358" s="7">
        <v>45485</v>
      </c>
      <c r="L358" s="5">
        <v>100</v>
      </c>
      <c r="M358" t="s">
        <v>28</v>
      </c>
      <c r="N358" t="s">
        <v>282</v>
      </c>
      <c r="O358">
        <v>100</v>
      </c>
      <c r="P358" t="s">
        <v>206</v>
      </c>
      <c r="Q358" t="s">
        <v>25</v>
      </c>
      <c r="R358">
        <v>105</v>
      </c>
      <c r="S358">
        <v>1</v>
      </c>
      <c r="T358" t="s">
        <v>80</v>
      </c>
      <c r="U358" t="s">
        <v>61</v>
      </c>
      <c r="V358">
        <v>2.02</v>
      </c>
      <c r="W358">
        <v>2.45</v>
      </c>
      <c r="X358">
        <v>5.3</v>
      </c>
      <c r="Y358">
        <v>6.8</v>
      </c>
      <c r="Z358">
        <v>5.4</v>
      </c>
    </row>
    <row r="359" spans="1:26">
      <c r="A359" t="s">
        <v>808</v>
      </c>
      <c r="B359">
        <v>35</v>
      </c>
      <c r="C359" t="s">
        <v>44</v>
      </c>
      <c r="D359" t="s">
        <v>43</v>
      </c>
      <c r="E359" t="s">
        <v>150</v>
      </c>
      <c r="F359" t="s">
        <v>150</v>
      </c>
      <c r="G359" t="s">
        <v>327</v>
      </c>
      <c r="H359" t="s">
        <v>30</v>
      </c>
      <c r="I359" t="s">
        <v>16</v>
      </c>
      <c r="J359" s="7">
        <v>43557</v>
      </c>
      <c r="K359" s="7">
        <v>43832</v>
      </c>
      <c r="L359" s="5">
        <v>100</v>
      </c>
      <c r="M359" t="s">
        <v>26</v>
      </c>
      <c r="N359" t="s">
        <v>649</v>
      </c>
      <c r="O359">
        <v>100</v>
      </c>
      <c r="P359" t="s">
        <v>205</v>
      </c>
      <c r="Q359" t="s">
        <v>26</v>
      </c>
      <c r="R359">
        <v>121</v>
      </c>
      <c r="S359">
        <v>0</v>
      </c>
      <c r="T359" t="s">
        <v>81</v>
      </c>
      <c r="U359" t="s">
        <v>63</v>
      </c>
      <c r="V359">
        <v>2.11</v>
      </c>
      <c r="W359">
        <v>4.89</v>
      </c>
      <c r="X359">
        <v>4</v>
      </c>
      <c r="Y359">
        <v>14.7</v>
      </c>
      <c r="Z359">
        <v>6.3</v>
      </c>
    </row>
    <row r="360" spans="1:26">
      <c r="A360" t="s">
        <v>809</v>
      </c>
      <c r="B360">
        <v>72</v>
      </c>
      <c r="C360" t="s">
        <v>71</v>
      </c>
      <c r="D360" t="s">
        <v>44</v>
      </c>
      <c r="E360" t="s">
        <v>150</v>
      </c>
      <c r="F360" t="s">
        <v>273</v>
      </c>
      <c r="G360" t="s">
        <v>297</v>
      </c>
      <c r="H360" t="s">
        <v>34</v>
      </c>
      <c r="I360" t="s">
        <v>16</v>
      </c>
      <c r="J360" s="7">
        <v>44514</v>
      </c>
      <c r="K360" s="7">
        <v>45030</v>
      </c>
      <c r="L360" s="5">
        <v>100</v>
      </c>
      <c r="M360" t="s">
        <v>26</v>
      </c>
      <c r="N360" t="s">
        <v>810</v>
      </c>
      <c r="O360">
        <v>100</v>
      </c>
      <c r="P360" t="s">
        <v>211</v>
      </c>
      <c r="Q360" t="s">
        <v>26</v>
      </c>
      <c r="R360">
        <v>125</v>
      </c>
      <c r="S360">
        <v>0</v>
      </c>
      <c r="T360" t="s">
        <v>80</v>
      </c>
      <c r="U360" t="s">
        <v>63</v>
      </c>
      <c r="V360">
        <v>3.44</v>
      </c>
      <c r="W360">
        <v>2.12</v>
      </c>
      <c r="X360">
        <v>2.9</v>
      </c>
      <c r="Y360">
        <v>15.3</v>
      </c>
      <c r="Z360">
        <v>3.1</v>
      </c>
    </row>
    <row r="361" spans="1:26">
      <c r="A361" t="s">
        <v>811</v>
      </c>
      <c r="B361">
        <v>71</v>
      </c>
      <c r="C361" t="s">
        <v>71</v>
      </c>
      <c r="D361" t="s">
        <v>39</v>
      </c>
      <c r="E361" t="s">
        <v>272</v>
      </c>
      <c r="F361" t="s">
        <v>268</v>
      </c>
      <c r="G361" t="s">
        <v>265</v>
      </c>
      <c r="H361" t="s">
        <v>29</v>
      </c>
      <c r="I361" t="s">
        <v>19</v>
      </c>
      <c r="J361" s="7">
        <v>43712</v>
      </c>
      <c r="K361" s="7">
        <v>44200</v>
      </c>
      <c r="L361" s="5">
        <v>200</v>
      </c>
      <c r="M361" t="s">
        <v>150</v>
      </c>
      <c r="N361" t="s">
        <v>497</v>
      </c>
      <c r="O361">
        <v>200</v>
      </c>
      <c r="P361" t="s">
        <v>206</v>
      </c>
      <c r="Q361" t="s">
        <v>150</v>
      </c>
      <c r="R361">
        <v>115</v>
      </c>
      <c r="S361">
        <v>1</v>
      </c>
      <c r="T361" t="s">
        <v>81</v>
      </c>
      <c r="U361" t="s">
        <v>63</v>
      </c>
      <c r="V361">
        <v>1.03</v>
      </c>
      <c r="W361">
        <v>1.88</v>
      </c>
      <c r="X361">
        <v>1.3</v>
      </c>
      <c r="Y361">
        <v>7.9</v>
      </c>
      <c r="Z361">
        <v>8.8</v>
      </c>
    </row>
    <row r="362" spans="1:26">
      <c r="A362" t="s">
        <v>812</v>
      </c>
      <c r="B362">
        <v>46</v>
      </c>
      <c r="C362" t="s">
        <v>70</v>
      </c>
      <c r="D362" t="s">
        <v>42</v>
      </c>
      <c r="E362" t="s">
        <v>311</v>
      </c>
      <c r="F362" t="s">
        <v>273</v>
      </c>
      <c r="G362" t="s">
        <v>297</v>
      </c>
      <c r="H362" t="s">
        <v>29</v>
      </c>
      <c r="I362" t="s">
        <v>16</v>
      </c>
      <c r="J362" s="7">
        <v>44098</v>
      </c>
      <c r="K362" s="7">
        <v>44401</v>
      </c>
      <c r="L362" s="5">
        <v>200</v>
      </c>
      <c r="M362" t="s">
        <v>25</v>
      </c>
      <c r="N362" t="s">
        <v>662</v>
      </c>
      <c r="O362">
        <v>200</v>
      </c>
      <c r="P362" t="s">
        <v>205</v>
      </c>
      <c r="Q362" t="s">
        <v>25</v>
      </c>
      <c r="R362">
        <v>102</v>
      </c>
      <c r="S362">
        <v>0</v>
      </c>
      <c r="T362" t="s">
        <v>80</v>
      </c>
      <c r="U362" t="s">
        <v>61</v>
      </c>
      <c r="V362">
        <v>4.21</v>
      </c>
      <c r="W362">
        <v>3.29</v>
      </c>
      <c r="X362">
        <v>5.6</v>
      </c>
      <c r="Y362">
        <v>11.3</v>
      </c>
      <c r="Z362">
        <v>18.8</v>
      </c>
    </row>
    <row r="363" spans="1:26">
      <c r="A363" t="s">
        <v>813</v>
      </c>
      <c r="B363">
        <v>30</v>
      </c>
      <c r="C363" t="s">
        <v>71</v>
      </c>
      <c r="D363" t="s">
        <v>41</v>
      </c>
      <c r="E363" t="s">
        <v>150</v>
      </c>
      <c r="F363" t="s">
        <v>150</v>
      </c>
      <c r="G363" t="s">
        <v>297</v>
      </c>
      <c r="H363" t="s">
        <v>30</v>
      </c>
      <c r="I363" t="s">
        <v>19</v>
      </c>
      <c r="J363" s="7">
        <v>45189</v>
      </c>
      <c r="K363" s="7">
        <v>45555</v>
      </c>
      <c r="L363" s="5">
        <v>200</v>
      </c>
      <c r="M363" t="s">
        <v>26</v>
      </c>
      <c r="N363" t="s">
        <v>457</v>
      </c>
      <c r="O363">
        <v>200</v>
      </c>
      <c r="P363" t="s">
        <v>205</v>
      </c>
      <c r="Q363" t="s">
        <v>26</v>
      </c>
      <c r="R363">
        <v>62</v>
      </c>
      <c r="S363">
        <v>0</v>
      </c>
      <c r="T363" t="s">
        <v>78</v>
      </c>
      <c r="U363" t="s">
        <v>61</v>
      </c>
      <c r="V363">
        <v>2.59</v>
      </c>
      <c r="W363">
        <v>1.35</v>
      </c>
      <c r="X363">
        <v>6.6</v>
      </c>
      <c r="Y363">
        <v>8</v>
      </c>
      <c r="Z363">
        <v>8.9</v>
      </c>
    </row>
    <row r="364" spans="1:26">
      <c r="A364" t="s">
        <v>814</v>
      </c>
      <c r="B364">
        <v>52</v>
      </c>
      <c r="C364" t="s">
        <v>71</v>
      </c>
      <c r="D364" t="s">
        <v>39</v>
      </c>
      <c r="E364" t="s">
        <v>259</v>
      </c>
      <c r="F364" t="s">
        <v>150</v>
      </c>
      <c r="G364" t="s">
        <v>261</v>
      </c>
      <c r="H364" t="s">
        <v>34</v>
      </c>
      <c r="I364" t="s">
        <v>18</v>
      </c>
      <c r="J364" s="7">
        <v>44738</v>
      </c>
      <c r="K364" s="7">
        <v>45133</v>
      </c>
      <c r="L364" s="5">
        <v>150</v>
      </c>
      <c r="M364" t="s">
        <v>27</v>
      </c>
      <c r="N364" t="s">
        <v>815</v>
      </c>
      <c r="O364">
        <v>150</v>
      </c>
      <c r="P364" t="s">
        <v>205</v>
      </c>
      <c r="Q364" t="s">
        <v>28</v>
      </c>
      <c r="R364">
        <v>108</v>
      </c>
      <c r="S364">
        <v>0</v>
      </c>
      <c r="T364" t="s">
        <v>82</v>
      </c>
      <c r="U364" t="s">
        <v>61</v>
      </c>
      <c r="V364">
        <v>3.03</v>
      </c>
      <c r="W364">
        <v>4.5</v>
      </c>
      <c r="X364">
        <v>5.4</v>
      </c>
      <c r="Y364">
        <v>18.6</v>
      </c>
      <c r="Z364">
        <v>19.9</v>
      </c>
    </row>
    <row r="365" spans="1:26">
      <c r="A365" t="s">
        <v>816</v>
      </c>
      <c r="B365">
        <v>29</v>
      </c>
      <c r="C365" t="s">
        <v>44</v>
      </c>
      <c r="D365" t="s">
        <v>42</v>
      </c>
      <c r="E365" t="s">
        <v>311</v>
      </c>
      <c r="F365" t="s">
        <v>150</v>
      </c>
      <c r="G365" t="s">
        <v>294</v>
      </c>
      <c r="H365" t="s">
        <v>30</v>
      </c>
      <c r="I365" t="s">
        <v>16</v>
      </c>
      <c r="J365" s="7">
        <v>43809</v>
      </c>
      <c r="K365" s="7">
        <v>44237</v>
      </c>
      <c r="L365" s="5">
        <v>200</v>
      </c>
      <c r="M365" t="s">
        <v>27</v>
      </c>
      <c r="N365" t="s">
        <v>382</v>
      </c>
      <c r="O365">
        <v>200</v>
      </c>
      <c r="P365" t="s">
        <v>205</v>
      </c>
      <c r="Q365" t="s">
        <v>26</v>
      </c>
      <c r="R365">
        <v>152</v>
      </c>
      <c r="S365">
        <v>0</v>
      </c>
      <c r="T365" t="s">
        <v>82</v>
      </c>
      <c r="U365" t="s">
        <v>63</v>
      </c>
      <c r="V365">
        <v>1.53</v>
      </c>
      <c r="W365">
        <v>2.1</v>
      </c>
      <c r="X365">
        <v>4.6</v>
      </c>
      <c r="Y365">
        <v>13.6</v>
      </c>
      <c r="Z365">
        <v>10</v>
      </c>
    </row>
    <row r="366" spans="1:26">
      <c r="A366" t="s">
        <v>817</v>
      </c>
      <c r="B366">
        <v>69</v>
      </c>
      <c r="C366" t="s">
        <v>71</v>
      </c>
      <c r="D366" t="s">
        <v>44</v>
      </c>
      <c r="E366" t="s">
        <v>259</v>
      </c>
      <c r="F366" t="s">
        <v>150</v>
      </c>
      <c r="G366" t="s">
        <v>312</v>
      </c>
      <c r="H366" t="s">
        <v>34</v>
      </c>
      <c r="I366" t="s">
        <v>19</v>
      </c>
      <c r="J366" s="7">
        <v>44187</v>
      </c>
      <c r="K366" s="7">
        <v>44614</v>
      </c>
      <c r="L366" s="5">
        <v>50</v>
      </c>
      <c r="M366" t="s">
        <v>27</v>
      </c>
      <c r="N366" t="s">
        <v>651</v>
      </c>
      <c r="O366">
        <v>50</v>
      </c>
      <c r="P366" t="s">
        <v>205</v>
      </c>
      <c r="Q366" t="s">
        <v>26</v>
      </c>
      <c r="R366">
        <v>74</v>
      </c>
      <c r="S366">
        <v>0</v>
      </c>
      <c r="T366" t="s">
        <v>83</v>
      </c>
      <c r="U366" t="s">
        <v>61</v>
      </c>
      <c r="V366">
        <v>4.63</v>
      </c>
      <c r="W366">
        <v>3.86</v>
      </c>
      <c r="X366">
        <v>6.5</v>
      </c>
      <c r="Y366">
        <v>11.6</v>
      </c>
      <c r="Z366">
        <v>17</v>
      </c>
    </row>
    <row r="367" spans="1:26">
      <c r="A367" t="s">
        <v>818</v>
      </c>
      <c r="B367">
        <v>35</v>
      </c>
      <c r="C367" t="s">
        <v>44</v>
      </c>
      <c r="D367" t="s">
        <v>39</v>
      </c>
      <c r="E367" t="s">
        <v>311</v>
      </c>
      <c r="F367" t="s">
        <v>260</v>
      </c>
      <c r="G367" t="s">
        <v>288</v>
      </c>
      <c r="H367" t="s">
        <v>32</v>
      </c>
      <c r="I367" t="s">
        <v>16</v>
      </c>
      <c r="J367" s="7">
        <v>44508</v>
      </c>
      <c r="K367" s="7">
        <v>44934</v>
      </c>
      <c r="L367" s="5">
        <v>50</v>
      </c>
      <c r="M367" t="s">
        <v>150</v>
      </c>
      <c r="N367" t="s">
        <v>453</v>
      </c>
      <c r="O367">
        <v>50</v>
      </c>
      <c r="P367" t="s">
        <v>211</v>
      </c>
      <c r="Q367" t="s">
        <v>26</v>
      </c>
      <c r="R367">
        <v>30</v>
      </c>
      <c r="S367">
        <v>0</v>
      </c>
      <c r="T367" t="s">
        <v>80</v>
      </c>
      <c r="U367" t="s">
        <v>61</v>
      </c>
      <c r="V367">
        <v>4.82</v>
      </c>
      <c r="W367">
        <v>4.28</v>
      </c>
      <c r="X367">
        <v>1</v>
      </c>
      <c r="Y367">
        <v>17.5</v>
      </c>
      <c r="Z367">
        <v>3.9</v>
      </c>
    </row>
    <row r="368" spans="1:26">
      <c r="A368" t="s">
        <v>819</v>
      </c>
      <c r="B368">
        <v>45</v>
      </c>
      <c r="C368" t="s">
        <v>70</v>
      </c>
      <c r="D368" t="s">
        <v>44</v>
      </c>
      <c r="E368" t="s">
        <v>311</v>
      </c>
      <c r="F368" t="s">
        <v>150</v>
      </c>
      <c r="G368" t="s">
        <v>306</v>
      </c>
      <c r="H368" t="s">
        <v>34</v>
      </c>
      <c r="I368" t="s">
        <v>16</v>
      </c>
      <c r="J368" s="7">
        <v>44216</v>
      </c>
      <c r="K368" s="7">
        <v>44612</v>
      </c>
      <c r="L368" s="5">
        <v>150</v>
      </c>
      <c r="M368" t="s">
        <v>150</v>
      </c>
      <c r="N368" t="s">
        <v>262</v>
      </c>
      <c r="O368">
        <v>150</v>
      </c>
      <c r="P368" t="s">
        <v>211</v>
      </c>
      <c r="Q368" t="s">
        <v>26</v>
      </c>
      <c r="R368">
        <v>132</v>
      </c>
      <c r="S368">
        <v>0</v>
      </c>
      <c r="T368" t="s">
        <v>81</v>
      </c>
      <c r="U368" t="s">
        <v>63</v>
      </c>
      <c r="V368">
        <v>2.03</v>
      </c>
      <c r="W368">
        <v>1.24</v>
      </c>
      <c r="X368">
        <v>6.4</v>
      </c>
      <c r="Y368">
        <v>18.4</v>
      </c>
      <c r="Z368">
        <v>4.9</v>
      </c>
    </row>
    <row r="369" spans="1:26">
      <c r="A369" t="s">
        <v>820</v>
      </c>
      <c r="B369">
        <v>30</v>
      </c>
      <c r="C369" t="s">
        <v>70</v>
      </c>
      <c r="D369" t="s">
        <v>43</v>
      </c>
      <c r="E369" t="s">
        <v>259</v>
      </c>
      <c r="F369" t="s">
        <v>268</v>
      </c>
      <c r="G369" t="s">
        <v>281</v>
      </c>
      <c r="H369" t="s">
        <v>34</v>
      </c>
      <c r="I369" t="s">
        <v>16</v>
      </c>
      <c r="J369" s="7">
        <v>44566</v>
      </c>
      <c r="K369" s="7">
        <v>45112</v>
      </c>
      <c r="L369" s="5">
        <v>150</v>
      </c>
      <c r="M369" t="s">
        <v>27</v>
      </c>
      <c r="N369" t="s">
        <v>469</v>
      </c>
      <c r="O369">
        <v>150</v>
      </c>
      <c r="P369" t="s">
        <v>211</v>
      </c>
      <c r="Q369" t="s">
        <v>150</v>
      </c>
      <c r="R369">
        <v>123</v>
      </c>
      <c r="S369">
        <v>0</v>
      </c>
      <c r="T369" t="s">
        <v>82</v>
      </c>
      <c r="U369" t="s">
        <v>63</v>
      </c>
      <c r="V369">
        <v>2.54</v>
      </c>
      <c r="W369">
        <v>2.82</v>
      </c>
      <c r="X369">
        <v>4.3</v>
      </c>
      <c r="Y369">
        <v>8.2</v>
      </c>
      <c r="Z369">
        <v>10.1</v>
      </c>
    </row>
    <row r="370" spans="1:26">
      <c r="A370" t="s">
        <v>821</v>
      </c>
      <c r="B370">
        <v>52</v>
      </c>
      <c r="C370" t="s">
        <v>71</v>
      </c>
      <c r="D370" t="s">
        <v>43</v>
      </c>
      <c r="E370" t="s">
        <v>272</v>
      </c>
      <c r="F370" t="s">
        <v>264</v>
      </c>
      <c r="G370" t="s">
        <v>261</v>
      </c>
      <c r="H370" t="s">
        <v>29</v>
      </c>
      <c r="I370" t="s">
        <v>19</v>
      </c>
      <c r="J370" s="7">
        <v>43868</v>
      </c>
      <c r="K370" s="7">
        <v>44172</v>
      </c>
      <c r="L370" s="5">
        <v>50</v>
      </c>
      <c r="M370" t="s">
        <v>27</v>
      </c>
      <c r="N370" t="s">
        <v>714</v>
      </c>
      <c r="O370">
        <v>50</v>
      </c>
      <c r="P370" t="s">
        <v>205</v>
      </c>
      <c r="Q370" t="s">
        <v>150</v>
      </c>
      <c r="R370">
        <v>38</v>
      </c>
      <c r="S370">
        <v>0</v>
      </c>
      <c r="T370" t="s">
        <v>78</v>
      </c>
      <c r="U370" t="s">
        <v>63</v>
      </c>
      <c r="V370">
        <v>4</v>
      </c>
      <c r="W370">
        <v>1.28</v>
      </c>
      <c r="X370">
        <v>1.7</v>
      </c>
      <c r="Y370">
        <v>12.4</v>
      </c>
      <c r="Z370">
        <v>19</v>
      </c>
    </row>
    <row r="371" spans="1:26">
      <c r="A371" t="s">
        <v>822</v>
      </c>
      <c r="B371">
        <v>79</v>
      </c>
      <c r="C371" t="s">
        <v>44</v>
      </c>
      <c r="D371" t="s">
        <v>39</v>
      </c>
      <c r="E371" t="s">
        <v>311</v>
      </c>
      <c r="F371" t="s">
        <v>268</v>
      </c>
      <c r="G371" t="s">
        <v>269</v>
      </c>
      <c r="H371" t="s">
        <v>30</v>
      </c>
      <c r="I371" t="s">
        <v>19</v>
      </c>
      <c r="J371" s="7">
        <v>44828</v>
      </c>
      <c r="K371" s="7">
        <v>45346</v>
      </c>
      <c r="L371" s="5">
        <v>200</v>
      </c>
      <c r="M371" t="s">
        <v>28</v>
      </c>
      <c r="N371" t="s">
        <v>317</v>
      </c>
      <c r="O371">
        <v>200</v>
      </c>
      <c r="P371" t="s">
        <v>206</v>
      </c>
      <c r="Q371" t="s">
        <v>26</v>
      </c>
      <c r="R371">
        <v>69</v>
      </c>
      <c r="S371">
        <v>1</v>
      </c>
      <c r="T371" t="s">
        <v>81</v>
      </c>
      <c r="U371" t="s">
        <v>63</v>
      </c>
      <c r="V371">
        <v>3.67</v>
      </c>
      <c r="W371">
        <v>3.71</v>
      </c>
      <c r="X371">
        <v>4.3</v>
      </c>
      <c r="Y371">
        <v>16.7</v>
      </c>
      <c r="Z371">
        <v>3.2</v>
      </c>
    </row>
    <row r="372" spans="1:26">
      <c r="A372" t="s">
        <v>823</v>
      </c>
      <c r="B372">
        <v>48</v>
      </c>
      <c r="C372" t="s">
        <v>71</v>
      </c>
      <c r="D372" t="s">
        <v>39</v>
      </c>
      <c r="E372" t="s">
        <v>272</v>
      </c>
      <c r="F372" t="s">
        <v>150</v>
      </c>
      <c r="G372" t="s">
        <v>312</v>
      </c>
      <c r="H372" t="s">
        <v>34</v>
      </c>
      <c r="I372" t="s">
        <v>20</v>
      </c>
      <c r="J372" s="7">
        <v>44332</v>
      </c>
      <c r="K372" s="7">
        <v>44546</v>
      </c>
      <c r="L372" s="5">
        <v>200</v>
      </c>
      <c r="M372" t="s">
        <v>25</v>
      </c>
      <c r="N372" t="s">
        <v>545</v>
      </c>
      <c r="O372">
        <v>200</v>
      </c>
      <c r="P372" t="s">
        <v>205</v>
      </c>
      <c r="Q372" t="s">
        <v>25</v>
      </c>
      <c r="R372">
        <v>77</v>
      </c>
      <c r="S372">
        <v>0</v>
      </c>
      <c r="T372" t="s">
        <v>78</v>
      </c>
      <c r="U372" t="s">
        <v>61</v>
      </c>
      <c r="V372">
        <v>3.54</v>
      </c>
      <c r="W372">
        <v>4.65</v>
      </c>
      <c r="X372">
        <v>6.5</v>
      </c>
      <c r="Y372">
        <v>21.7</v>
      </c>
      <c r="Z372">
        <v>15.3</v>
      </c>
    </row>
    <row r="373" spans="1:26">
      <c r="A373" t="s">
        <v>824</v>
      </c>
      <c r="B373">
        <v>32</v>
      </c>
      <c r="C373" t="s">
        <v>70</v>
      </c>
      <c r="D373" t="s">
        <v>41</v>
      </c>
      <c r="E373" t="s">
        <v>272</v>
      </c>
      <c r="F373" t="s">
        <v>277</v>
      </c>
      <c r="G373" t="s">
        <v>349</v>
      </c>
      <c r="H373" t="s">
        <v>30</v>
      </c>
      <c r="I373" t="s">
        <v>18</v>
      </c>
      <c r="J373" s="7">
        <v>45251</v>
      </c>
      <c r="K373" s="7">
        <v>45494</v>
      </c>
      <c r="L373" s="5">
        <v>100</v>
      </c>
      <c r="M373" t="s">
        <v>26</v>
      </c>
      <c r="N373" t="s">
        <v>586</v>
      </c>
      <c r="O373">
        <v>100</v>
      </c>
      <c r="P373" t="s">
        <v>206</v>
      </c>
      <c r="Q373" t="s">
        <v>150</v>
      </c>
      <c r="R373">
        <v>79</v>
      </c>
      <c r="S373">
        <v>1</v>
      </c>
      <c r="T373" t="s">
        <v>78</v>
      </c>
      <c r="U373" t="s">
        <v>61</v>
      </c>
      <c r="V373">
        <v>1.48</v>
      </c>
      <c r="W373">
        <v>4.61</v>
      </c>
      <c r="X373">
        <v>1.6</v>
      </c>
      <c r="Y373">
        <v>15.6</v>
      </c>
      <c r="Z373">
        <v>5.4</v>
      </c>
    </row>
    <row r="374" spans="1:26">
      <c r="A374" t="s">
        <v>825</v>
      </c>
      <c r="B374">
        <v>20</v>
      </c>
      <c r="C374" t="s">
        <v>44</v>
      </c>
      <c r="D374" t="s">
        <v>41</v>
      </c>
      <c r="E374" t="s">
        <v>311</v>
      </c>
      <c r="F374" t="s">
        <v>150</v>
      </c>
      <c r="G374" t="s">
        <v>297</v>
      </c>
      <c r="H374" t="s">
        <v>34</v>
      </c>
      <c r="I374" t="s">
        <v>19</v>
      </c>
      <c r="J374" s="7">
        <v>43932</v>
      </c>
      <c r="K374" s="7">
        <v>44297</v>
      </c>
      <c r="L374" s="5">
        <v>200</v>
      </c>
      <c r="M374" t="s">
        <v>25</v>
      </c>
      <c r="N374" t="s">
        <v>569</v>
      </c>
      <c r="O374">
        <v>200</v>
      </c>
      <c r="P374" t="s">
        <v>205</v>
      </c>
      <c r="Q374" t="s">
        <v>28</v>
      </c>
      <c r="R374">
        <v>107</v>
      </c>
      <c r="S374">
        <v>0</v>
      </c>
      <c r="T374" t="s">
        <v>83</v>
      </c>
      <c r="U374" t="s">
        <v>61</v>
      </c>
      <c r="V374">
        <v>1.05</v>
      </c>
      <c r="W374">
        <v>2.69</v>
      </c>
      <c r="X374">
        <v>3.7</v>
      </c>
      <c r="Y374">
        <v>14.7</v>
      </c>
      <c r="Z374">
        <v>12.8</v>
      </c>
    </row>
    <row r="375" spans="1:26">
      <c r="A375" t="s">
        <v>826</v>
      </c>
      <c r="B375">
        <v>64</v>
      </c>
      <c r="C375" t="s">
        <v>70</v>
      </c>
      <c r="D375" t="s">
        <v>39</v>
      </c>
      <c r="E375" t="s">
        <v>272</v>
      </c>
      <c r="F375" t="s">
        <v>277</v>
      </c>
      <c r="G375" t="s">
        <v>288</v>
      </c>
      <c r="H375" t="s">
        <v>29</v>
      </c>
      <c r="I375" t="s">
        <v>16</v>
      </c>
      <c r="J375" s="7">
        <v>43793</v>
      </c>
      <c r="K375" s="7">
        <v>44128</v>
      </c>
      <c r="L375" s="5">
        <v>100</v>
      </c>
      <c r="M375" t="s">
        <v>27</v>
      </c>
      <c r="N375" t="s">
        <v>488</v>
      </c>
      <c r="O375">
        <v>100</v>
      </c>
      <c r="P375" t="s">
        <v>206</v>
      </c>
      <c r="Q375" t="s">
        <v>27</v>
      </c>
      <c r="R375">
        <v>77</v>
      </c>
      <c r="S375">
        <v>1</v>
      </c>
      <c r="T375" t="s">
        <v>81</v>
      </c>
      <c r="U375" t="s">
        <v>61</v>
      </c>
      <c r="V375">
        <v>1.17</v>
      </c>
      <c r="W375">
        <v>1.49</v>
      </c>
      <c r="X375">
        <v>6</v>
      </c>
      <c r="Y375">
        <v>12.2</v>
      </c>
      <c r="Z375">
        <v>15.4</v>
      </c>
    </row>
    <row r="376" spans="1:26">
      <c r="A376" t="s">
        <v>827</v>
      </c>
      <c r="B376">
        <v>64</v>
      </c>
      <c r="C376" t="s">
        <v>70</v>
      </c>
      <c r="D376" t="s">
        <v>39</v>
      </c>
      <c r="E376" t="s">
        <v>311</v>
      </c>
      <c r="F376" t="s">
        <v>277</v>
      </c>
      <c r="G376" t="s">
        <v>319</v>
      </c>
      <c r="H376" t="s">
        <v>30</v>
      </c>
      <c r="I376" t="s">
        <v>19</v>
      </c>
      <c r="J376" s="7">
        <v>44556</v>
      </c>
      <c r="K376" s="7">
        <v>44891</v>
      </c>
      <c r="L376" s="5">
        <v>150</v>
      </c>
      <c r="M376" t="s">
        <v>150</v>
      </c>
      <c r="N376" t="s">
        <v>677</v>
      </c>
      <c r="O376">
        <v>150</v>
      </c>
      <c r="P376" t="s">
        <v>205</v>
      </c>
      <c r="Q376" t="s">
        <v>27</v>
      </c>
      <c r="R376">
        <v>52</v>
      </c>
      <c r="S376">
        <v>0</v>
      </c>
      <c r="T376" t="s">
        <v>83</v>
      </c>
      <c r="U376" t="s">
        <v>63</v>
      </c>
      <c r="V376">
        <v>3.61</v>
      </c>
      <c r="W376">
        <v>4.38</v>
      </c>
      <c r="X376">
        <v>7.2</v>
      </c>
      <c r="Y376">
        <v>13.7</v>
      </c>
      <c r="Z376">
        <v>14.4</v>
      </c>
    </row>
    <row r="377" spans="1:26">
      <c r="A377" t="s">
        <v>828</v>
      </c>
      <c r="B377">
        <v>33</v>
      </c>
      <c r="C377" t="s">
        <v>71</v>
      </c>
      <c r="D377" t="s">
        <v>44</v>
      </c>
      <c r="E377" t="s">
        <v>259</v>
      </c>
      <c r="F377" t="s">
        <v>260</v>
      </c>
      <c r="G377" t="s">
        <v>284</v>
      </c>
      <c r="H377" t="s">
        <v>29</v>
      </c>
      <c r="I377" t="s">
        <v>19</v>
      </c>
      <c r="J377" s="7">
        <v>44546</v>
      </c>
      <c r="K377" s="7">
        <v>45093</v>
      </c>
      <c r="L377" s="5">
        <v>100</v>
      </c>
      <c r="M377" t="s">
        <v>26</v>
      </c>
      <c r="N377" t="s">
        <v>475</v>
      </c>
      <c r="O377">
        <v>100</v>
      </c>
      <c r="P377" t="s">
        <v>211</v>
      </c>
      <c r="Q377" t="s">
        <v>25</v>
      </c>
      <c r="R377">
        <v>94</v>
      </c>
      <c r="S377">
        <v>0</v>
      </c>
      <c r="T377" t="s">
        <v>80</v>
      </c>
      <c r="U377" t="s">
        <v>61</v>
      </c>
      <c r="V377">
        <v>2.1</v>
      </c>
      <c r="W377">
        <v>2.23</v>
      </c>
      <c r="X377">
        <v>8.1</v>
      </c>
      <c r="Y377">
        <v>14</v>
      </c>
      <c r="Z377">
        <v>16.6</v>
      </c>
    </row>
    <row r="378" spans="1:26">
      <c r="A378" t="s">
        <v>829</v>
      </c>
      <c r="B378">
        <v>64</v>
      </c>
      <c r="C378" t="s">
        <v>70</v>
      </c>
      <c r="D378" t="s">
        <v>42</v>
      </c>
      <c r="E378" t="s">
        <v>272</v>
      </c>
      <c r="F378" t="s">
        <v>260</v>
      </c>
      <c r="G378" t="s">
        <v>349</v>
      </c>
      <c r="H378" t="s">
        <v>29</v>
      </c>
      <c r="I378" t="s">
        <v>18</v>
      </c>
      <c r="J378" s="7">
        <v>45069</v>
      </c>
      <c r="K378" s="7">
        <v>45314</v>
      </c>
      <c r="L378" s="5">
        <v>150</v>
      </c>
      <c r="M378" t="s">
        <v>25</v>
      </c>
      <c r="N378" t="s">
        <v>347</v>
      </c>
      <c r="O378">
        <v>150</v>
      </c>
      <c r="P378" t="s">
        <v>205</v>
      </c>
      <c r="Q378" t="s">
        <v>26</v>
      </c>
      <c r="R378">
        <v>131</v>
      </c>
      <c r="S378">
        <v>0</v>
      </c>
      <c r="T378" t="s">
        <v>82</v>
      </c>
      <c r="U378" t="s">
        <v>63</v>
      </c>
      <c r="V378">
        <v>4.29</v>
      </c>
      <c r="W378">
        <v>4.43</v>
      </c>
      <c r="X378">
        <v>9.2</v>
      </c>
      <c r="Y378">
        <v>13.8</v>
      </c>
      <c r="Z378">
        <v>8.4</v>
      </c>
    </row>
    <row r="379" spans="1:26">
      <c r="A379" t="s">
        <v>830</v>
      </c>
      <c r="B379">
        <v>39</v>
      </c>
      <c r="C379" t="s">
        <v>70</v>
      </c>
      <c r="D379" t="s">
        <v>44</v>
      </c>
      <c r="E379" t="s">
        <v>272</v>
      </c>
      <c r="F379" t="s">
        <v>150</v>
      </c>
      <c r="G379" t="s">
        <v>297</v>
      </c>
      <c r="H379" t="s">
        <v>34</v>
      </c>
      <c r="I379" t="s">
        <v>19</v>
      </c>
      <c r="J379" s="7">
        <v>43891</v>
      </c>
      <c r="K379" s="7">
        <v>44136</v>
      </c>
      <c r="L379" s="5">
        <v>100</v>
      </c>
      <c r="M379" t="s">
        <v>28</v>
      </c>
      <c r="N379" t="s">
        <v>831</v>
      </c>
      <c r="O379">
        <v>100</v>
      </c>
      <c r="P379" t="s">
        <v>205</v>
      </c>
      <c r="Q379" t="s">
        <v>25</v>
      </c>
      <c r="R379">
        <v>96</v>
      </c>
      <c r="S379">
        <v>0</v>
      </c>
      <c r="T379" t="s">
        <v>81</v>
      </c>
      <c r="U379" t="s">
        <v>63</v>
      </c>
      <c r="V379">
        <v>3.33</v>
      </c>
      <c r="W379">
        <v>2.48</v>
      </c>
      <c r="X379">
        <v>6.4</v>
      </c>
      <c r="Y379">
        <v>18.7</v>
      </c>
      <c r="Z379">
        <v>14.7</v>
      </c>
    </row>
    <row r="380" spans="1:26">
      <c r="A380" t="s">
        <v>832</v>
      </c>
      <c r="B380">
        <v>55</v>
      </c>
      <c r="C380" t="s">
        <v>44</v>
      </c>
      <c r="D380" t="s">
        <v>39</v>
      </c>
      <c r="E380" t="s">
        <v>255</v>
      </c>
      <c r="F380" t="s">
        <v>273</v>
      </c>
      <c r="G380" t="s">
        <v>291</v>
      </c>
      <c r="H380" t="s">
        <v>30</v>
      </c>
      <c r="I380" t="s">
        <v>19</v>
      </c>
      <c r="J380" s="7">
        <v>43774</v>
      </c>
      <c r="K380" s="7">
        <v>44079</v>
      </c>
      <c r="L380" s="5">
        <v>100</v>
      </c>
      <c r="M380" t="s">
        <v>28</v>
      </c>
      <c r="N380" t="s">
        <v>677</v>
      </c>
      <c r="O380">
        <v>100</v>
      </c>
      <c r="P380" t="s">
        <v>205</v>
      </c>
      <c r="Q380" t="s">
        <v>28</v>
      </c>
      <c r="R380">
        <v>30</v>
      </c>
      <c r="S380">
        <v>0</v>
      </c>
      <c r="T380" t="s">
        <v>81</v>
      </c>
      <c r="U380" t="s">
        <v>61</v>
      </c>
      <c r="V380">
        <v>2.5</v>
      </c>
      <c r="W380">
        <v>1.67</v>
      </c>
      <c r="X380">
        <v>4.9</v>
      </c>
      <c r="Y380">
        <v>8.6</v>
      </c>
      <c r="Z380">
        <v>18.1</v>
      </c>
    </row>
    <row r="381" spans="1:26">
      <c r="A381" t="s">
        <v>833</v>
      </c>
      <c r="B381">
        <v>59</v>
      </c>
      <c r="C381" t="s">
        <v>71</v>
      </c>
      <c r="D381" t="s">
        <v>44</v>
      </c>
      <c r="E381" t="s">
        <v>150</v>
      </c>
      <c r="F381" t="s">
        <v>150</v>
      </c>
      <c r="G381" t="s">
        <v>261</v>
      </c>
      <c r="H381" t="s">
        <v>32</v>
      </c>
      <c r="I381" t="s">
        <v>19</v>
      </c>
      <c r="J381" s="7">
        <v>43796</v>
      </c>
      <c r="K381" s="7">
        <v>43978</v>
      </c>
      <c r="L381" s="5">
        <v>150</v>
      </c>
      <c r="M381" t="s">
        <v>150</v>
      </c>
      <c r="N381" t="s">
        <v>503</v>
      </c>
      <c r="O381">
        <v>150</v>
      </c>
      <c r="P381" t="s">
        <v>211</v>
      </c>
      <c r="Q381" t="s">
        <v>28</v>
      </c>
      <c r="R381">
        <v>167</v>
      </c>
      <c r="S381">
        <v>0</v>
      </c>
      <c r="T381" t="s">
        <v>80</v>
      </c>
      <c r="U381" t="s">
        <v>63</v>
      </c>
      <c r="V381">
        <v>2.38</v>
      </c>
      <c r="W381">
        <v>1.62</v>
      </c>
      <c r="X381">
        <v>1.2</v>
      </c>
      <c r="Y381">
        <v>17.6</v>
      </c>
      <c r="Z381">
        <v>13.8</v>
      </c>
    </row>
    <row r="382" spans="1:26">
      <c r="A382" t="s">
        <v>834</v>
      </c>
      <c r="B382">
        <v>66</v>
      </c>
      <c r="C382" t="s">
        <v>44</v>
      </c>
      <c r="D382" t="s">
        <v>39</v>
      </c>
      <c r="E382" t="s">
        <v>255</v>
      </c>
      <c r="F382" t="s">
        <v>150</v>
      </c>
      <c r="G382" t="s">
        <v>431</v>
      </c>
      <c r="H382" t="s">
        <v>30</v>
      </c>
      <c r="I382" t="s">
        <v>19</v>
      </c>
      <c r="J382" s="7">
        <v>44305</v>
      </c>
      <c r="K382" s="7">
        <v>44792</v>
      </c>
      <c r="L382" s="5">
        <v>200</v>
      </c>
      <c r="M382" t="s">
        <v>27</v>
      </c>
      <c r="N382" t="s">
        <v>531</v>
      </c>
      <c r="O382">
        <v>200</v>
      </c>
      <c r="P382" t="s">
        <v>205</v>
      </c>
      <c r="Q382" t="s">
        <v>27</v>
      </c>
      <c r="R382">
        <v>124</v>
      </c>
      <c r="S382">
        <v>0</v>
      </c>
      <c r="T382" t="s">
        <v>78</v>
      </c>
      <c r="U382" t="s">
        <v>61</v>
      </c>
      <c r="V382">
        <v>2.36</v>
      </c>
      <c r="W382">
        <v>1.29</v>
      </c>
      <c r="X382">
        <v>4.7</v>
      </c>
      <c r="Y382">
        <v>11.6</v>
      </c>
      <c r="Z382">
        <v>14.5</v>
      </c>
    </row>
    <row r="383" spans="1:26">
      <c r="A383" t="s">
        <v>835</v>
      </c>
      <c r="B383">
        <v>29</v>
      </c>
      <c r="C383" t="s">
        <v>70</v>
      </c>
      <c r="D383" t="s">
        <v>41</v>
      </c>
      <c r="E383" t="s">
        <v>272</v>
      </c>
      <c r="F383" t="s">
        <v>273</v>
      </c>
      <c r="G383" t="s">
        <v>278</v>
      </c>
      <c r="H383" t="s">
        <v>34</v>
      </c>
      <c r="I383" t="s">
        <v>18</v>
      </c>
      <c r="J383" s="7">
        <v>44206</v>
      </c>
      <c r="K383" s="7">
        <v>44449</v>
      </c>
      <c r="L383" s="5">
        <v>100</v>
      </c>
      <c r="M383" t="s">
        <v>25</v>
      </c>
      <c r="N383" t="s">
        <v>567</v>
      </c>
      <c r="O383">
        <v>100</v>
      </c>
      <c r="P383" t="s">
        <v>206</v>
      </c>
      <c r="Q383" t="s">
        <v>28</v>
      </c>
      <c r="R383">
        <v>139</v>
      </c>
      <c r="S383">
        <v>1</v>
      </c>
      <c r="T383" t="s">
        <v>78</v>
      </c>
      <c r="U383" t="s">
        <v>61</v>
      </c>
      <c r="V383">
        <v>3.42</v>
      </c>
      <c r="W383">
        <v>2.46</v>
      </c>
      <c r="X383">
        <v>3</v>
      </c>
      <c r="Y383">
        <v>23.8</v>
      </c>
      <c r="Z383">
        <v>10.7</v>
      </c>
    </row>
    <row r="384" spans="1:26">
      <c r="A384" t="s">
        <v>836</v>
      </c>
      <c r="B384">
        <v>69</v>
      </c>
      <c r="C384" t="s">
        <v>71</v>
      </c>
      <c r="D384" t="s">
        <v>44</v>
      </c>
      <c r="E384" t="s">
        <v>259</v>
      </c>
      <c r="F384" t="s">
        <v>150</v>
      </c>
      <c r="G384" t="s">
        <v>312</v>
      </c>
      <c r="H384" t="s">
        <v>29</v>
      </c>
      <c r="I384" t="s">
        <v>20</v>
      </c>
      <c r="J384" s="7">
        <v>44565</v>
      </c>
      <c r="K384" s="7">
        <v>44746</v>
      </c>
      <c r="L384" s="5">
        <v>50</v>
      </c>
      <c r="M384" t="s">
        <v>26</v>
      </c>
      <c r="N384" t="s">
        <v>380</v>
      </c>
      <c r="O384">
        <v>50</v>
      </c>
      <c r="P384" t="s">
        <v>206</v>
      </c>
      <c r="Q384" t="s">
        <v>150</v>
      </c>
      <c r="R384">
        <v>66</v>
      </c>
      <c r="S384">
        <v>1</v>
      </c>
      <c r="T384" t="s">
        <v>80</v>
      </c>
      <c r="U384" t="s">
        <v>63</v>
      </c>
      <c r="V384">
        <v>3.75</v>
      </c>
      <c r="W384">
        <v>1.56</v>
      </c>
      <c r="X384">
        <v>5.4</v>
      </c>
      <c r="Y384">
        <v>6.5</v>
      </c>
      <c r="Z384">
        <v>11.6</v>
      </c>
    </row>
    <row r="385" spans="1:26">
      <c r="A385" t="s">
        <v>837</v>
      </c>
      <c r="B385">
        <v>19</v>
      </c>
      <c r="C385" t="s">
        <v>71</v>
      </c>
      <c r="D385" t="s">
        <v>44</v>
      </c>
      <c r="E385" t="s">
        <v>150</v>
      </c>
      <c r="F385" t="s">
        <v>150</v>
      </c>
      <c r="G385" t="s">
        <v>294</v>
      </c>
      <c r="H385" t="s">
        <v>30</v>
      </c>
      <c r="I385" t="s">
        <v>18</v>
      </c>
      <c r="J385" s="7">
        <v>44849</v>
      </c>
      <c r="K385" s="7">
        <v>45092</v>
      </c>
      <c r="L385" s="5">
        <v>150</v>
      </c>
      <c r="M385" t="s">
        <v>27</v>
      </c>
      <c r="N385" t="s">
        <v>616</v>
      </c>
      <c r="O385">
        <v>150</v>
      </c>
      <c r="P385" t="s">
        <v>206</v>
      </c>
      <c r="Q385" t="s">
        <v>25</v>
      </c>
      <c r="R385">
        <v>98</v>
      </c>
      <c r="S385">
        <v>1</v>
      </c>
      <c r="T385" t="s">
        <v>80</v>
      </c>
      <c r="U385" t="s">
        <v>63</v>
      </c>
      <c r="V385">
        <v>4.86</v>
      </c>
      <c r="W385">
        <v>2.54</v>
      </c>
      <c r="X385">
        <v>1.4</v>
      </c>
      <c r="Y385">
        <v>6.6</v>
      </c>
      <c r="Z385">
        <v>9.6</v>
      </c>
    </row>
    <row r="386" spans="1:26">
      <c r="A386" t="s">
        <v>838</v>
      </c>
      <c r="B386">
        <v>20</v>
      </c>
      <c r="C386" t="s">
        <v>71</v>
      </c>
      <c r="D386" t="s">
        <v>42</v>
      </c>
      <c r="E386" t="s">
        <v>255</v>
      </c>
      <c r="F386" t="s">
        <v>268</v>
      </c>
      <c r="G386" t="s">
        <v>261</v>
      </c>
      <c r="H386" t="s">
        <v>30</v>
      </c>
      <c r="I386" t="s">
        <v>16</v>
      </c>
      <c r="J386" s="7">
        <v>43838</v>
      </c>
      <c r="K386" s="7">
        <v>44204</v>
      </c>
      <c r="L386" s="5">
        <v>200</v>
      </c>
      <c r="M386" t="s">
        <v>150</v>
      </c>
      <c r="N386" t="s">
        <v>300</v>
      </c>
      <c r="O386">
        <v>200</v>
      </c>
      <c r="P386" t="s">
        <v>211</v>
      </c>
      <c r="Q386" t="s">
        <v>26</v>
      </c>
      <c r="R386">
        <v>128</v>
      </c>
      <c r="S386">
        <v>0</v>
      </c>
      <c r="T386" t="s">
        <v>83</v>
      </c>
      <c r="U386" t="s">
        <v>61</v>
      </c>
      <c r="V386">
        <v>1.64</v>
      </c>
      <c r="W386">
        <v>1.09</v>
      </c>
      <c r="X386">
        <v>7.8</v>
      </c>
      <c r="Y386">
        <v>14.3</v>
      </c>
      <c r="Z386">
        <v>7.9</v>
      </c>
    </row>
    <row r="387" spans="1:26">
      <c r="A387" t="s">
        <v>839</v>
      </c>
      <c r="B387">
        <v>39</v>
      </c>
      <c r="C387" t="s">
        <v>71</v>
      </c>
      <c r="D387" t="s">
        <v>41</v>
      </c>
      <c r="E387" t="s">
        <v>311</v>
      </c>
      <c r="F387" t="s">
        <v>150</v>
      </c>
      <c r="G387" t="s">
        <v>362</v>
      </c>
      <c r="H387" t="s">
        <v>32</v>
      </c>
      <c r="I387" t="s">
        <v>16</v>
      </c>
      <c r="J387" s="7">
        <v>45081</v>
      </c>
      <c r="K387" s="7">
        <v>45416</v>
      </c>
      <c r="L387" s="5">
        <v>50</v>
      </c>
      <c r="M387" t="s">
        <v>25</v>
      </c>
      <c r="N387" t="s">
        <v>289</v>
      </c>
      <c r="O387">
        <v>50</v>
      </c>
      <c r="P387" t="s">
        <v>206</v>
      </c>
      <c r="Q387" t="s">
        <v>27</v>
      </c>
      <c r="R387">
        <v>165</v>
      </c>
      <c r="S387">
        <v>1</v>
      </c>
      <c r="T387" t="s">
        <v>81</v>
      </c>
      <c r="U387" t="s">
        <v>63</v>
      </c>
      <c r="V387">
        <v>4.6</v>
      </c>
      <c r="W387">
        <v>1.46</v>
      </c>
      <c r="X387">
        <v>9.6</v>
      </c>
      <c r="Y387">
        <v>11.7</v>
      </c>
      <c r="Z387">
        <v>18.1</v>
      </c>
    </row>
    <row r="388" spans="1:26">
      <c r="A388" t="s">
        <v>840</v>
      </c>
      <c r="B388">
        <v>72</v>
      </c>
      <c r="C388" t="s">
        <v>71</v>
      </c>
      <c r="D388" t="s">
        <v>39</v>
      </c>
      <c r="E388" t="s">
        <v>255</v>
      </c>
      <c r="F388" t="s">
        <v>150</v>
      </c>
      <c r="G388" t="s">
        <v>327</v>
      </c>
      <c r="H388" t="s">
        <v>29</v>
      </c>
      <c r="I388" t="s">
        <v>19</v>
      </c>
      <c r="J388" s="7">
        <v>44877</v>
      </c>
      <c r="K388" s="7">
        <v>45181</v>
      </c>
      <c r="L388" s="5">
        <v>50</v>
      </c>
      <c r="M388" t="s">
        <v>26</v>
      </c>
      <c r="N388" t="s">
        <v>419</v>
      </c>
      <c r="O388">
        <v>50</v>
      </c>
      <c r="P388" t="s">
        <v>205</v>
      </c>
      <c r="Q388" t="s">
        <v>26</v>
      </c>
      <c r="R388">
        <v>111</v>
      </c>
      <c r="S388">
        <v>0</v>
      </c>
      <c r="T388" t="s">
        <v>78</v>
      </c>
      <c r="U388" t="s">
        <v>61</v>
      </c>
      <c r="V388">
        <v>3.41</v>
      </c>
      <c r="W388">
        <v>4.31</v>
      </c>
      <c r="X388">
        <v>9.9</v>
      </c>
      <c r="Y388">
        <v>11.2</v>
      </c>
      <c r="Z388">
        <v>19.3</v>
      </c>
    </row>
    <row r="389" spans="1:26">
      <c r="A389" t="s">
        <v>841</v>
      </c>
      <c r="B389">
        <v>75</v>
      </c>
      <c r="C389" t="s">
        <v>44</v>
      </c>
      <c r="D389" t="s">
        <v>43</v>
      </c>
      <c r="E389" t="s">
        <v>311</v>
      </c>
      <c r="F389" t="s">
        <v>260</v>
      </c>
      <c r="G389" t="s">
        <v>322</v>
      </c>
      <c r="H389" t="s">
        <v>30</v>
      </c>
      <c r="I389" t="s">
        <v>16</v>
      </c>
      <c r="J389" s="7">
        <v>44261</v>
      </c>
      <c r="K389" s="7">
        <v>44810</v>
      </c>
      <c r="L389" s="5">
        <v>200</v>
      </c>
      <c r="M389" t="s">
        <v>150</v>
      </c>
      <c r="N389" t="s">
        <v>410</v>
      </c>
      <c r="O389">
        <v>200</v>
      </c>
      <c r="P389" t="s">
        <v>211</v>
      </c>
      <c r="Q389" t="s">
        <v>27</v>
      </c>
      <c r="R389">
        <v>115</v>
      </c>
      <c r="S389">
        <v>0</v>
      </c>
      <c r="T389" t="s">
        <v>78</v>
      </c>
      <c r="U389" t="s">
        <v>63</v>
      </c>
      <c r="V389">
        <v>2.56</v>
      </c>
      <c r="W389">
        <v>2.54</v>
      </c>
      <c r="X389">
        <v>4.1</v>
      </c>
      <c r="Y389">
        <v>15.7</v>
      </c>
      <c r="Z389">
        <v>5.6</v>
      </c>
    </row>
    <row r="390" spans="1:26">
      <c r="A390" t="s">
        <v>842</v>
      </c>
      <c r="B390">
        <v>67</v>
      </c>
      <c r="C390" t="s">
        <v>70</v>
      </c>
      <c r="D390" t="s">
        <v>44</v>
      </c>
      <c r="E390" t="s">
        <v>272</v>
      </c>
      <c r="F390" t="s">
        <v>150</v>
      </c>
      <c r="G390" t="s">
        <v>269</v>
      </c>
      <c r="H390" t="s">
        <v>30</v>
      </c>
      <c r="I390" t="s">
        <v>20</v>
      </c>
      <c r="J390" s="7">
        <v>43761</v>
      </c>
      <c r="K390" s="7">
        <v>44127</v>
      </c>
      <c r="L390" s="5">
        <v>100</v>
      </c>
      <c r="M390" t="s">
        <v>28</v>
      </c>
      <c r="N390" t="s">
        <v>843</v>
      </c>
      <c r="O390">
        <v>100</v>
      </c>
      <c r="P390" t="s">
        <v>206</v>
      </c>
      <c r="Q390" t="s">
        <v>28</v>
      </c>
      <c r="R390">
        <v>122</v>
      </c>
      <c r="S390">
        <v>1</v>
      </c>
      <c r="T390" t="s">
        <v>80</v>
      </c>
      <c r="U390" t="s">
        <v>61</v>
      </c>
      <c r="V390">
        <v>3.21</v>
      </c>
      <c r="W390">
        <v>3.17</v>
      </c>
      <c r="X390">
        <v>7.9</v>
      </c>
      <c r="Y390">
        <v>21</v>
      </c>
      <c r="Z390">
        <v>10.5</v>
      </c>
    </row>
    <row r="391" spans="1:26">
      <c r="A391" t="s">
        <v>844</v>
      </c>
      <c r="B391">
        <v>35</v>
      </c>
      <c r="C391" t="s">
        <v>71</v>
      </c>
      <c r="D391" t="s">
        <v>42</v>
      </c>
      <c r="E391" t="s">
        <v>150</v>
      </c>
      <c r="F391" t="s">
        <v>273</v>
      </c>
      <c r="G391" t="s">
        <v>362</v>
      </c>
      <c r="H391" t="s">
        <v>34</v>
      </c>
      <c r="I391" t="s">
        <v>18</v>
      </c>
      <c r="J391" s="7">
        <v>45115</v>
      </c>
      <c r="K391" s="7">
        <v>45390</v>
      </c>
      <c r="L391" s="5">
        <v>100</v>
      </c>
      <c r="M391" t="s">
        <v>26</v>
      </c>
      <c r="N391" t="s">
        <v>505</v>
      </c>
      <c r="O391">
        <v>100</v>
      </c>
      <c r="P391" t="s">
        <v>205</v>
      </c>
      <c r="Q391" t="s">
        <v>26</v>
      </c>
      <c r="R391">
        <v>126</v>
      </c>
      <c r="S391">
        <v>0</v>
      </c>
      <c r="T391" t="s">
        <v>83</v>
      </c>
      <c r="U391" t="s">
        <v>61</v>
      </c>
      <c r="V391">
        <v>2.21</v>
      </c>
      <c r="W391">
        <v>2.04</v>
      </c>
      <c r="X391">
        <v>2.8</v>
      </c>
      <c r="Y391">
        <v>7</v>
      </c>
      <c r="Z391">
        <v>8.8</v>
      </c>
    </row>
    <row r="392" spans="1:26">
      <c r="A392" t="s">
        <v>845</v>
      </c>
      <c r="B392">
        <v>65</v>
      </c>
      <c r="C392" t="s">
        <v>71</v>
      </c>
      <c r="D392" t="s">
        <v>42</v>
      </c>
      <c r="E392" t="s">
        <v>255</v>
      </c>
      <c r="F392" t="s">
        <v>268</v>
      </c>
      <c r="G392" t="s">
        <v>288</v>
      </c>
      <c r="H392" t="s">
        <v>29</v>
      </c>
      <c r="I392" t="s">
        <v>18</v>
      </c>
      <c r="J392" s="7">
        <v>44258</v>
      </c>
      <c r="K392" s="7">
        <v>44533</v>
      </c>
      <c r="L392" s="5">
        <v>50</v>
      </c>
      <c r="M392" t="s">
        <v>25</v>
      </c>
      <c r="N392" t="s">
        <v>275</v>
      </c>
      <c r="O392">
        <v>50</v>
      </c>
      <c r="P392" t="s">
        <v>206</v>
      </c>
      <c r="Q392" t="s">
        <v>26</v>
      </c>
      <c r="R392">
        <v>150</v>
      </c>
      <c r="S392">
        <v>1</v>
      </c>
      <c r="T392" t="s">
        <v>78</v>
      </c>
      <c r="U392" t="s">
        <v>61</v>
      </c>
      <c r="V392">
        <v>2.08</v>
      </c>
      <c r="W392">
        <v>4.87</v>
      </c>
      <c r="X392">
        <v>6</v>
      </c>
      <c r="Y392">
        <v>12.3</v>
      </c>
      <c r="Z392">
        <v>12.9</v>
      </c>
    </row>
    <row r="393" spans="1:26">
      <c r="A393" t="s">
        <v>846</v>
      </c>
      <c r="B393">
        <v>78</v>
      </c>
      <c r="C393" t="s">
        <v>70</v>
      </c>
      <c r="D393" t="s">
        <v>39</v>
      </c>
      <c r="E393" t="s">
        <v>272</v>
      </c>
      <c r="F393" t="s">
        <v>150</v>
      </c>
      <c r="G393" t="s">
        <v>312</v>
      </c>
      <c r="H393" t="s">
        <v>32</v>
      </c>
      <c r="I393" t="s">
        <v>16</v>
      </c>
      <c r="J393" s="7">
        <v>43851</v>
      </c>
      <c r="K393" s="7">
        <v>44033</v>
      </c>
      <c r="L393" s="5">
        <v>100</v>
      </c>
      <c r="M393" t="s">
        <v>26</v>
      </c>
      <c r="N393" t="s">
        <v>410</v>
      </c>
      <c r="O393">
        <v>100</v>
      </c>
      <c r="P393" t="s">
        <v>205</v>
      </c>
      <c r="Q393" t="s">
        <v>27</v>
      </c>
      <c r="R393">
        <v>171</v>
      </c>
      <c r="S393">
        <v>0</v>
      </c>
      <c r="T393" t="s">
        <v>81</v>
      </c>
      <c r="U393" t="s">
        <v>61</v>
      </c>
      <c r="V393">
        <v>1.56</v>
      </c>
      <c r="W393">
        <v>2.78</v>
      </c>
      <c r="X393">
        <v>6.6</v>
      </c>
      <c r="Y393">
        <v>14.8</v>
      </c>
      <c r="Z393">
        <v>9.8</v>
      </c>
    </row>
    <row r="394" spans="1:26">
      <c r="A394" t="s">
        <v>847</v>
      </c>
      <c r="B394">
        <v>47</v>
      </c>
      <c r="C394" t="s">
        <v>70</v>
      </c>
      <c r="D394" t="s">
        <v>41</v>
      </c>
      <c r="E394" t="s">
        <v>150</v>
      </c>
      <c r="F394" t="s">
        <v>150</v>
      </c>
      <c r="G394" t="s">
        <v>349</v>
      </c>
      <c r="H394" t="s">
        <v>34</v>
      </c>
      <c r="I394" t="s">
        <v>18</v>
      </c>
      <c r="J394" s="7">
        <v>44032</v>
      </c>
      <c r="K394" s="7">
        <v>44216</v>
      </c>
      <c r="L394" s="5">
        <v>100</v>
      </c>
      <c r="M394" t="s">
        <v>26</v>
      </c>
      <c r="N394" t="s">
        <v>309</v>
      </c>
      <c r="O394">
        <v>100</v>
      </c>
      <c r="P394" t="s">
        <v>211</v>
      </c>
      <c r="Q394" t="s">
        <v>27</v>
      </c>
      <c r="R394">
        <v>110</v>
      </c>
      <c r="S394">
        <v>0</v>
      </c>
      <c r="T394" t="s">
        <v>82</v>
      </c>
      <c r="U394" t="s">
        <v>61</v>
      </c>
      <c r="V394">
        <v>4.98</v>
      </c>
      <c r="W394">
        <v>4.52</v>
      </c>
      <c r="X394">
        <v>6.6</v>
      </c>
      <c r="Y394">
        <v>16.2</v>
      </c>
      <c r="Z394">
        <v>13.6</v>
      </c>
    </row>
    <row r="395" spans="1:26">
      <c r="A395" t="s">
        <v>848</v>
      </c>
      <c r="B395">
        <v>39</v>
      </c>
      <c r="C395" t="s">
        <v>71</v>
      </c>
      <c r="D395" t="s">
        <v>39</v>
      </c>
      <c r="E395" t="s">
        <v>272</v>
      </c>
      <c r="F395" t="s">
        <v>277</v>
      </c>
      <c r="G395" t="s">
        <v>284</v>
      </c>
      <c r="H395" t="s">
        <v>29</v>
      </c>
      <c r="I395" t="s">
        <v>19</v>
      </c>
      <c r="J395" s="7">
        <v>45078</v>
      </c>
      <c r="K395" s="7">
        <v>45352</v>
      </c>
      <c r="L395" s="5">
        <v>150</v>
      </c>
      <c r="M395" t="s">
        <v>25</v>
      </c>
      <c r="N395" t="s">
        <v>317</v>
      </c>
      <c r="O395">
        <v>150</v>
      </c>
      <c r="P395" t="s">
        <v>206</v>
      </c>
      <c r="Q395" t="s">
        <v>26</v>
      </c>
      <c r="R395">
        <v>32</v>
      </c>
      <c r="S395">
        <v>1</v>
      </c>
      <c r="T395" t="s">
        <v>81</v>
      </c>
      <c r="U395" t="s">
        <v>63</v>
      </c>
      <c r="V395">
        <v>1.81</v>
      </c>
      <c r="W395">
        <v>2.58</v>
      </c>
      <c r="X395">
        <v>1.4</v>
      </c>
      <c r="Y395">
        <v>14.6</v>
      </c>
      <c r="Z395">
        <v>12.2</v>
      </c>
    </row>
    <row r="396" spans="1:26">
      <c r="A396" t="s">
        <v>849</v>
      </c>
      <c r="B396">
        <v>43</v>
      </c>
      <c r="C396" t="s">
        <v>44</v>
      </c>
      <c r="D396" t="s">
        <v>42</v>
      </c>
      <c r="E396" t="s">
        <v>259</v>
      </c>
      <c r="F396" t="s">
        <v>268</v>
      </c>
      <c r="G396" t="s">
        <v>274</v>
      </c>
      <c r="H396" t="s">
        <v>29</v>
      </c>
      <c r="I396" t="s">
        <v>20</v>
      </c>
      <c r="J396" s="7">
        <v>43476</v>
      </c>
      <c r="K396" s="7">
        <v>43688</v>
      </c>
      <c r="L396" s="5">
        <v>150</v>
      </c>
      <c r="M396" t="s">
        <v>150</v>
      </c>
      <c r="N396" t="s">
        <v>791</v>
      </c>
      <c r="O396">
        <v>150</v>
      </c>
      <c r="P396" t="s">
        <v>211</v>
      </c>
      <c r="Q396" t="s">
        <v>27</v>
      </c>
      <c r="R396">
        <v>158</v>
      </c>
      <c r="S396">
        <v>0</v>
      </c>
      <c r="T396" t="s">
        <v>78</v>
      </c>
      <c r="U396" t="s">
        <v>61</v>
      </c>
      <c r="V396">
        <v>1.91</v>
      </c>
      <c r="W396">
        <v>4.86</v>
      </c>
      <c r="X396">
        <v>9.2</v>
      </c>
      <c r="Y396">
        <v>19</v>
      </c>
      <c r="Z396">
        <v>12.1</v>
      </c>
    </row>
    <row r="397" spans="1:26">
      <c r="A397" t="s">
        <v>850</v>
      </c>
      <c r="B397">
        <v>68</v>
      </c>
      <c r="C397" t="s">
        <v>44</v>
      </c>
      <c r="D397" t="s">
        <v>39</v>
      </c>
      <c r="E397" t="s">
        <v>259</v>
      </c>
      <c r="F397" t="s">
        <v>150</v>
      </c>
      <c r="G397" t="s">
        <v>284</v>
      </c>
      <c r="H397" t="s">
        <v>32</v>
      </c>
      <c r="I397" t="s">
        <v>20</v>
      </c>
      <c r="J397" s="7">
        <v>44974</v>
      </c>
      <c r="K397" s="7">
        <v>45521</v>
      </c>
      <c r="L397" s="5">
        <v>100</v>
      </c>
      <c r="M397" t="s">
        <v>25</v>
      </c>
      <c r="N397" t="s">
        <v>442</v>
      </c>
      <c r="O397">
        <v>100</v>
      </c>
      <c r="P397" t="s">
        <v>211</v>
      </c>
      <c r="Q397" t="s">
        <v>25</v>
      </c>
      <c r="R397">
        <v>39</v>
      </c>
      <c r="S397">
        <v>0</v>
      </c>
      <c r="T397" t="s">
        <v>81</v>
      </c>
      <c r="U397" t="s">
        <v>63</v>
      </c>
      <c r="V397">
        <v>4.48</v>
      </c>
      <c r="W397">
        <v>1.52</v>
      </c>
      <c r="X397">
        <v>8.1</v>
      </c>
      <c r="Y397">
        <v>8.2</v>
      </c>
      <c r="Z397">
        <v>16.5</v>
      </c>
    </row>
    <row r="398" spans="1:26">
      <c r="A398" t="s">
        <v>851</v>
      </c>
      <c r="B398">
        <v>37</v>
      </c>
      <c r="C398" t="s">
        <v>44</v>
      </c>
      <c r="D398" t="s">
        <v>43</v>
      </c>
      <c r="E398" t="s">
        <v>311</v>
      </c>
      <c r="F398" t="s">
        <v>150</v>
      </c>
      <c r="G398" t="s">
        <v>294</v>
      </c>
      <c r="H398" t="s">
        <v>30</v>
      </c>
      <c r="I398" t="s">
        <v>18</v>
      </c>
      <c r="J398" s="7">
        <v>44171</v>
      </c>
      <c r="K398" s="7">
        <v>44598</v>
      </c>
      <c r="L398" s="5">
        <v>150</v>
      </c>
      <c r="M398" t="s">
        <v>26</v>
      </c>
      <c r="N398" t="s">
        <v>328</v>
      </c>
      <c r="O398">
        <v>150</v>
      </c>
      <c r="P398" t="s">
        <v>211</v>
      </c>
      <c r="Q398" t="s">
        <v>25</v>
      </c>
      <c r="R398">
        <v>140</v>
      </c>
      <c r="S398">
        <v>0</v>
      </c>
      <c r="T398" t="s">
        <v>83</v>
      </c>
      <c r="U398" t="s">
        <v>61</v>
      </c>
      <c r="V398">
        <v>2.1</v>
      </c>
      <c r="W398">
        <v>4.51</v>
      </c>
      <c r="X398">
        <v>9.5</v>
      </c>
      <c r="Y398">
        <v>8.7</v>
      </c>
      <c r="Z398">
        <v>10.9</v>
      </c>
    </row>
    <row r="399" spans="1:26">
      <c r="A399" t="s">
        <v>852</v>
      </c>
      <c r="B399">
        <v>48</v>
      </c>
      <c r="C399" t="s">
        <v>71</v>
      </c>
      <c r="D399" t="s">
        <v>44</v>
      </c>
      <c r="E399" t="s">
        <v>255</v>
      </c>
      <c r="F399" t="s">
        <v>273</v>
      </c>
      <c r="G399" t="s">
        <v>274</v>
      </c>
      <c r="H399" t="s">
        <v>34</v>
      </c>
      <c r="I399" t="s">
        <v>16</v>
      </c>
      <c r="J399" s="7">
        <v>43549</v>
      </c>
      <c r="K399" s="7">
        <v>43855</v>
      </c>
      <c r="L399" s="5">
        <v>50</v>
      </c>
      <c r="M399" t="s">
        <v>28</v>
      </c>
      <c r="N399" t="s">
        <v>467</v>
      </c>
      <c r="O399">
        <v>50</v>
      </c>
      <c r="P399" t="s">
        <v>206</v>
      </c>
      <c r="Q399" t="s">
        <v>150</v>
      </c>
      <c r="R399">
        <v>71</v>
      </c>
      <c r="S399">
        <v>1</v>
      </c>
      <c r="T399" t="s">
        <v>83</v>
      </c>
      <c r="U399" t="s">
        <v>61</v>
      </c>
      <c r="V399">
        <v>4.92</v>
      </c>
      <c r="W399">
        <v>2.93</v>
      </c>
      <c r="X399">
        <v>8.8</v>
      </c>
      <c r="Y399">
        <v>16.6</v>
      </c>
      <c r="Z399">
        <v>9.4</v>
      </c>
    </row>
    <row r="400" spans="1:26">
      <c r="A400" t="s">
        <v>853</v>
      </c>
      <c r="B400">
        <v>64</v>
      </c>
      <c r="C400" t="s">
        <v>70</v>
      </c>
      <c r="D400" t="s">
        <v>42</v>
      </c>
      <c r="E400" t="s">
        <v>311</v>
      </c>
      <c r="F400" t="s">
        <v>260</v>
      </c>
      <c r="G400" t="s">
        <v>322</v>
      </c>
      <c r="H400" t="s">
        <v>34</v>
      </c>
      <c r="I400" t="s">
        <v>19</v>
      </c>
      <c r="J400" s="7">
        <v>44870</v>
      </c>
      <c r="K400" s="7">
        <v>45082</v>
      </c>
      <c r="L400" s="5">
        <v>200</v>
      </c>
      <c r="M400" t="s">
        <v>150</v>
      </c>
      <c r="N400" t="s">
        <v>684</v>
      </c>
      <c r="O400">
        <v>200</v>
      </c>
      <c r="P400" t="s">
        <v>211</v>
      </c>
      <c r="Q400" t="s">
        <v>27</v>
      </c>
      <c r="R400">
        <v>63</v>
      </c>
      <c r="S400">
        <v>0</v>
      </c>
      <c r="T400" t="s">
        <v>82</v>
      </c>
      <c r="U400" t="s">
        <v>61</v>
      </c>
      <c r="V400">
        <v>2.14</v>
      </c>
      <c r="W400">
        <v>1.81</v>
      </c>
      <c r="X400">
        <v>7.9</v>
      </c>
      <c r="Y400">
        <v>13</v>
      </c>
      <c r="Z400">
        <v>11.7</v>
      </c>
    </row>
    <row r="401" spans="1:26">
      <c r="A401" t="s">
        <v>854</v>
      </c>
      <c r="B401">
        <v>83</v>
      </c>
      <c r="C401" t="s">
        <v>44</v>
      </c>
      <c r="D401" t="s">
        <v>39</v>
      </c>
      <c r="E401" t="s">
        <v>150</v>
      </c>
      <c r="F401" t="s">
        <v>260</v>
      </c>
      <c r="G401" t="s">
        <v>349</v>
      </c>
      <c r="H401" t="s">
        <v>34</v>
      </c>
      <c r="I401" t="s">
        <v>19</v>
      </c>
      <c r="J401" s="7">
        <v>43759</v>
      </c>
      <c r="K401" s="7">
        <v>43942</v>
      </c>
      <c r="L401" s="5">
        <v>100</v>
      </c>
      <c r="M401" t="s">
        <v>25</v>
      </c>
      <c r="N401" t="s">
        <v>773</v>
      </c>
      <c r="O401">
        <v>100</v>
      </c>
      <c r="P401" t="s">
        <v>211</v>
      </c>
      <c r="Q401" t="s">
        <v>27</v>
      </c>
      <c r="R401">
        <v>70</v>
      </c>
      <c r="S401">
        <v>0</v>
      </c>
      <c r="T401" t="s">
        <v>80</v>
      </c>
      <c r="U401" t="s">
        <v>61</v>
      </c>
      <c r="V401">
        <v>2.97</v>
      </c>
      <c r="W401">
        <v>3.31</v>
      </c>
      <c r="X401">
        <v>8.8</v>
      </c>
      <c r="Y401">
        <v>23.7</v>
      </c>
      <c r="Z401">
        <v>9.9</v>
      </c>
    </row>
    <row r="402" spans="1:26">
      <c r="A402" t="s">
        <v>855</v>
      </c>
      <c r="B402">
        <v>27</v>
      </c>
      <c r="C402" t="s">
        <v>71</v>
      </c>
      <c r="D402" t="s">
        <v>43</v>
      </c>
      <c r="E402" t="s">
        <v>272</v>
      </c>
      <c r="F402" t="s">
        <v>150</v>
      </c>
      <c r="G402" t="s">
        <v>327</v>
      </c>
      <c r="H402" t="s">
        <v>34</v>
      </c>
      <c r="I402" t="s">
        <v>20</v>
      </c>
      <c r="J402" s="7">
        <v>45142</v>
      </c>
      <c r="K402" s="7">
        <v>45355</v>
      </c>
      <c r="L402" s="5">
        <v>100</v>
      </c>
      <c r="M402" t="s">
        <v>28</v>
      </c>
      <c r="N402" t="s">
        <v>404</v>
      </c>
      <c r="O402">
        <v>100</v>
      </c>
      <c r="P402" t="s">
        <v>211</v>
      </c>
      <c r="Q402" t="s">
        <v>150</v>
      </c>
      <c r="R402">
        <v>46</v>
      </c>
      <c r="S402">
        <v>0</v>
      </c>
      <c r="T402" t="s">
        <v>81</v>
      </c>
      <c r="U402" t="s">
        <v>61</v>
      </c>
      <c r="V402">
        <v>4.31</v>
      </c>
      <c r="W402">
        <v>4.06</v>
      </c>
      <c r="X402">
        <v>6.2</v>
      </c>
      <c r="Y402">
        <v>23.2</v>
      </c>
      <c r="Z402">
        <v>6.4</v>
      </c>
    </row>
    <row r="403" spans="1:26">
      <c r="A403" t="s">
        <v>856</v>
      </c>
      <c r="B403">
        <v>80</v>
      </c>
      <c r="C403" t="s">
        <v>71</v>
      </c>
      <c r="D403" t="s">
        <v>43</v>
      </c>
      <c r="E403" t="s">
        <v>311</v>
      </c>
      <c r="F403" t="s">
        <v>277</v>
      </c>
      <c r="G403" t="s">
        <v>319</v>
      </c>
      <c r="H403" t="s">
        <v>30</v>
      </c>
      <c r="I403" t="s">
        <v>20</v>
      </c>
      <c r="J403" s="7">
        <v>44142</v>
      </c>
      <c r="K403" s="7">
        <v>44476</v>
      </c>
      <c r="L403" s="5">
        <v>50</v>
      </c>
      <c r="M403" t="s">
        <v>27</v>
      </c>
      <c r="N403" t="s">
        <v>658</v>
      </c>
      <c r="O403">
        <v>50</v>
      </c>
      <c r="P403" t="s">
        <v>211</v>
      </c>
      <c r="Q403" t="s">
        <v>26</v>
      </c>
      <c r="R403">
        <v>43</v>
      </c>
      <c r="S403">
        <v>0</v>
      </c>
      <c r="T403" t="s">
        <v>78</v>
      </c>
      <c r="U403" t="s">
        <v>63</v>
      </c>
      <c r="V403">
        <v>1.44</v>
      </c>
      <c r="W403">
        <v>4.42</v>
      </c>
      <c r="X403">
        <v>5</v>
      </c>
      <c r="Y403">
        <v>21.2</v>
      </c>
      <c r="Z403">
        <v>18.2</v>
      </c>
    </row>
    <row r="404" spans="1:26">
      <c r="A404" t="s">
        <v>857</v>
      </c>
      <c r="B404">
        <v>72</v>
      </c>
      <c r="C404" t="s">
        <v>70</v>
      </c>
      <c r="D404" t="s">
        <v>39</v>
      </c>
      <c r="E404" t="s">
        <v>259</v>
      </c>
      <c r="F404" t="s">
        <v>277</v>
      </c>
      <c r="G404" t="s">
        <v>322</v>
      </c>
      <c r="H404" t="s">
        <v>34</v>
      </c>
      <c r="I404" t="s">
        <v>16</v>
      </c>
      <c r="J404" s="7">
        <v>44545</v>
      </c>
      <c r="K404" s="7">
        <v>44910</v>
      </c>
      <c r="L404" s="5">
        <v>100</v>
      </c>
      <c r="M404" t="s">
        <v>150</v>
      </c>
      <c r="N404" t="s">
        <v>376</v>
      </c>
      <c r="O404">
        <v>100</v>
      </c>
      <c r="P404" t="s">
        <v>211</v>
      </c>
      <c r="Q404" t="s">
        <v>150</v>
      </c>
      <c r="R404">
        <v>106</v>
      </c>
      <c r="S404">
        <v>0</v>
      </c>
      <c r="T404" t="s">
        <v>78</v>
      </c>
      <c r="U404" t="s">
        <v>63</v>
      </c>
      <c r="V404">
        <v>1.25</v>
      </c>
      <c r="W404">
        <v>4.53</v>
      </c>
      <c r="X404">
        <v>5</v>
      </c>
      <c r="Y404">
        <v>15.2</v>
      </c>
      <c r="Z404">
        <v>13.7</v>
      </c>
    </row>
    <row r="405" spans="1:26">
      <c r="A405" t="s">
        <v>858</v>
      </c>
      <c r="B405">
        <v>62</v>
      </c>
      <c r="C405" t="s">
        <v>70</v>
      </c>
      <c r="D405" t="s">
        <v>43</v>
      </c>
      <c r="E405" t="s">
        <v>272</v>
      </c>
      <c r="F405" t="s">
        <v>150</v>
      </c>
      <c r="G405" t="s">
        <v>288</v>
      </c>
      <c r="H405" t="s">
        <v>34</v>
      </c>
      <c r="I405" t="s">
        <v>19</v>
      </c>
      <c r="J405" s="7">
        <v>45134</v>
      </c>
      <c r="K405" s="7">
        <v>45318</v>
      </c>
      <c r="L405" s="5">
        <v>100</v>
      </c>
      <c r="M405" t="s">
        <v>25</v>
      </c>
      <c r="N405" t="s">
        <v>266</v>
      </c>
      <c r="O405">
        <v>100</v>
      </c>
      <c r="P405" t="s">
        <v>206</v>
      </c>
      <c r="Q405" t="s">
        <v>150</v>
      </c>
      <c r="R405">
        <v>111</v>
      </c>
      <c r="S405">
        <v>1</v>
      </c>
      <c r="T405" t="s">
        <v>83</v>
      </c>
      <c r="U405" t="s">
        <v>63</v>
      </c>
      <c r="V405">
        <v>4.71</v>
      </c>
      <c r="W405">
        <v>1.08</v>
      </c>
      <c r="X405">
        <v>5.3</v>
      </c>
      <c r="Y405">
        <v>18.4</v>
      </c>
      <c r="Z405">
        <v>15.3</v>
      </c>
    </row>
    <row r="406" spans="1:26">
      <c r="A406" t="s">
        <v>859</v>
      </c>
      <c r="B406">
        <v>76</v>
      </c>
      <c r="C406" t="s">
        <v>71</v>
      </c>
      <c r="D406" t="s">
        <v>43</v>
      </c>
      <c r="E406" t="s">
        <v>150</v>
      </c>
      <c r="F406" t="s">
        <v>260</v>
      </c>
      <c r="G406" t="s">
        <v>322</v>
      </c>
      <c r="H406" t="s">
        <v>29</v>
      </c>
      <c r="I406" t="s">
        <v>20</v>
      </c>
      <c r="J406" s="7">
        <v>44150</v>
      </c>
      <c r="K406" s="7">
        <v>44635</v>
      </c>
      <c r="L406" s="5">
        <v>50</v>
      </c>
      <c r="M406" t="s">
        <v>26</v>
      </c>
      <c r="N406" t="s">
        <v>573</v>
      </c>
      <c r="O406">
        <v>50</v>
      </c>
      <c r="P406" t="s">
        <v>206</v>
      </c>
      <c r="Q406" t="s">
        <v>27</v>
      </c>
      <c r="R406">
        <v>169</v>
      </c>
      <c r="S406">
        <v>1</v>
      </c>
      <c r="T406" t="s">
        <v>78</v>
      </c>
      <c r="U406" t="s">
        <v>61</v>
      </c>
      <c r="V406">
        <v>3.77</v>
      </c>
      <c r="W406">
        <v>1.54</v>
      </c>
      <c r="X406">
        <v>3.7</v>
      </c>
      <c r="Y406">
        <v>12.5</v>
      </c>
      <c r="Z406">
        <v>16.7</v>
      </c>
    </row>
    <row r="407" spans="1:26">
      <c r="A407" t="s">
        <v>860</v>
      </c>
      <c r="B407">
        <v>45</v>
      </c>
      <c r="C407" t="s">
        <v>70</v>
      </c>
      <c r="D407" t="s">
        <v>41</v>
      </c>
      <c r="E407" t="s">
        <v>259</v>
      </c>
      <c r="F407" t="s">
        <v>150</v>
      </c>
      <c r="G407" t="s">
        <v>274</v>
      </c>
      <c r="H407" t="s">
        <v>29</v>
      </c>
      <c r="I407" t="s">
        <v>19</v>
      </c>
      <c r="J407" s="7">
        <v>44206</v>
      </c>
      <c r="K407" s="7">
        <v>44510</v>
      </c>
      <c r="L407" s="5">
        <v>50</v>
      </c>
      <c r="M407" t="s">
        <v>27</v>
      </c>
      <c r="N407" t="s">
        <v>486</v>
      </c>
      <c r="O407">
        <v>50</v>
      </c>
      <c r="P407" t="s">
        <v>211</v>
      </c>
      <c r="Q407" t="s">
        <v>150</v>
      </c>
      <c r="R407">
        <v>168</v>
      </c>
      <c r="S407">
        <v>0</v>
      </c>
      <c r="T407" t="s">
        <v>82</v>
      </c>
      <c r="U407" t="s">
        <v>61</v>
      </c>
      <c r="V407">
        <v>2.12</v>
      </c>
      <c r="W407">
        <v>1.84</v>
      </c>
      <c r="X407">
        <v>9.6</v>
      </c>
      <c r="Y407">
        <v>6.2</v>
      </c>
      <c r="Z407">
        <v>20</v>
      </c>
    </row>
    <row r="408" spans="1:26">
      <c r="A408" t="s">
        <v>861</v>
      </c>
      <c r="B408">
        <v>32</v>
      </c>
      <c r="C408" t="s">
        <v>71</v>
      </c>
      <c r="D408" t="s">
        <v>43</v>
      </c>
      <c r="E408" t="s">
        <v>272</v>
      </c>
      <c r="F408" t="s">
        <v>268</v>
      </c>
      <c r="G408" t="s">
        <v>306</v>
      </c>
      <c r="H408" t="s">
        <v>30</v>
      </c>
      <c r="I408" t="s">
        <v>20</v>
      </c>
      <c r="J408" s="7">
        <v>44709</v>
      </c>
      <c r="K408" s="7">
        <v>45197</v>
      </c>
      <c r="L408" s="5">
        <v>200</v>
      </c>
      <c r="M408" t="s">
        <v>150</v>
      </c>
      <c r="N408" t="s">
        <v>773</v>
      </c>
      <c r="O408">
        <v>200</v>
      </c>
      <c r="P408" t="s">
        <v>206</v>
      </c>
      <c r="Q408" t="s">
        <v>28</v>
      </c>
      <c r="R408">
        <v>135</v>
      </c>
      <c r="S408">
        <v>1</v>
      </c>
      <c r="T408" t="s">
        <v>83</v>
      </c>
      <c r="U408" t="s">
        <v>61</v>
      </c>
      <c r="V408">
        <v>3.71</v>
      </c>
      <c r="W408">
        <v>4.31</v>
      </c>
      <c r="X408">
        <v>3.7</v>
      </c>
      <c r="Y408">
        <v>6.3</v>
      </c>
      <c r="Z408">
        <v>15.5</v>
      </c>
    </row>
    <row r="409" spans="1:26">
      <c r="A409" t="s">
        <v>862</v>
      </c>
      <c r="B409">
        <v>30</v>
      </c>
      <c r="C409" t="s">
        <v>44</v>
      </c>
      <c r="D409" t="s">
        <v>43</v>
      </c>
      <c r="E409" t="s">
        <v>255</v>
      </c>
      <c r="F409" t="s">
        <v>150</v>
      </c>
      <c r="G409" t="s">
        <v>291</v>
      </c>
      <c r="H409" t="s">
        <v>32</v>
      </c>
      <c r="I409" t="s">
        <v>20</v>
      </c>
      <c r="J409" s="7">
        <v>43946</v>
      </c>
      <c r="K409" s="7">
        <v>44341</v>
      </c>
      <c r="L409" s="5">
        <v>200</v>
      </c>
      <c r="M409" t="s">
        <v>26</v>
      </c>
      <c r="N409" t="s">
        <v>526</v>
      </c>
      <c r="O409">
        <v>200</v>
      </c>
      <c r="P409" t="s">
        <v>206</v>
      </c>
      <c r="Q409" t="s">
        <v>150</v>
      </c>
      <c r="R409">
        <v>148</v>
      </c>
      <c r="S409">
        <v>1</v>
      </c>
      <c r="T409" t="s">
        <v>82</v>
      </c>
      <c r="U409" t="s">
        <v>61</v>
      </c>
      <c r="V409">
        <v>4.34</v>
      </c>
      <c r="W409">
        <v>3.96</v>
      </c>
      <c r="X409">
        <v>2.3</v>
      </c>
      <c r="Y409">
        <v>19.6</v>
      </c>
      <c r="Z409">
        <v>16.1</v>
      </c>
    </row>
    <row r="410" spans="1:26">
      <c r="A410" t="s">
        <v>863</v>
      </c>
      <c r="B410">
        <v>18</v>
      </c>
      <c r="C410" t="s">
        <v>70</v>
      </c>
      <c r="D410" t="s">
        <v>41</v>
      </c>
      <c r="E410" t="s">
        <v>255</v>
      </c>
      <c r="F410" t="s">
        <v>264</v>
      </c>
      <c r="G410" t="s">
        <v>362</v>
      </c>
      <c r="H410" t="s">
        <v>34</v>
      </c>
      <c r="I410" t="s">
        <v>18</v>
      </c>
      <c r="J410" s="7">
        <v>43648</v>
      </c>
      <c r="K410" s="7">
        <v>43832</v>
      </c>
      <c r="L410" s="5">
        <v>50</v>
      </c>
      <c r="M410" t="s">
        <v>150</v>
      </c>
      <c r="N410" t="s">
        <v>541</v>
      </c>
      <c r="O410">
        <v>50</v>
      </c>
      <c r="P410" t="s">
        <v>205</v>
      </c>
      <c r="Q410" t="s">
        <v>25</v>
      </c>
      <c r="R410">
        <v>111</v>
      </c>
      <c r="S410">
        <v>0</v>
      </c>
      <c r="T410" t="s">
        <v>81</v>
      </c>
      <c r="U410" t="s">
        <v>63</v>
      </c>
      <c r="V410">
        <v>3.63</v>
      </c>
      <c r="W410">
        <v>4.06</v>
      </c>
      <c r="X410">
        <v>8.6</v>
      </c>
      <c r="Y410">
        <v>17</v>
      </c>
      <c r="Z410">
        <v>4.5</v>
      </c>
    </row>
    <row r="411" spans="1:26">
      <c r="A411" t="s">
        <v>864</v>
      </c>
      <c r="B411">
        <v>73</v>
      </c>
      <c r="C411" t="s">
        <v>71</v>
      </c>
      <c r="D411" t="s">
        <v>44</v>
      </c>
      <c r="E411" t="s">
        <v>272</v>
      </c>
      <c r="F411" t="s">
        <v>260</v>
      </c>
      <c r="G411" t="s">
        <v>291</v>
      </c>
      <c r="H411" t="s">
        <v>34</v>
      </c>
      <c r="I411" t="s">
        <v>18</v>
      </c>
      <c r="J411" s="7">
        <v>44901</v>
      </c>
      <c r="K411" s="7">
        <v>45266</v>
      </c>
      <c r="L411" s="5">
        <v>150</v>
      </c>
      <c r="M411" t="s">
        <v>26</v>
      </c>
      <c r="N411" t="s">
        <v>402</v>
      </c>
      <c r="O411">
        <v>150</v>
      </c>
      <c r="P411" t="s">
        <v>205</v>
      </c>
      <c r="Q411" t="s">
        <v>26</v>
      </c>
      <c r="R411">
        <v>159</v>
      </c>
      <c r="S411">
        <v>0</v>
      </c>
      <c r="T411" t="s">
        <v>83</v>
      </c>
      <c r="U411" t="s">
        <v>61</v>
      </c>
      <c r="V411">
        <v>2.95</v>
      </c>
      <c r="W411">
        <v>1.31</v>
      </c>
      <c r="X411">
        <v>4.7</v>
      </c>
      <c r="Y411">
        <v>13.3</v>
      </c>
      <c r="Z411">
        <v>4.1</v>
      </c>
    </row>
    <row r="412" spans="1:26">
      <c r="A412" t="s">
        <v>865</v>
      </c>
      <c r="B412">
        <v>51</v>
      </c>
      <c r="C412" t="s">
        <v>44</v>
      </c>
      <c r="D412" t="s">
        <v>41</v>
      </c>
      <c r="E412" t="s">
        <v>150</v>
      </c>
      <c r="F412" t="s">
        <v>277</v>
      </c>
      <c r="G412" t="s">
        <v>312</v>
      </c>
      <c r="H412" t="s">
        <v>34</v>
      </c>
      <c r="I412" t="s">
        <v>16</v>
      </c>
      <c r="J412" s="7">
        <v>44986</v>
      </c>
      <c r="K412" s="7">
        <v>45444</v>
      </c>
      <c r="L412" s="5">
        <v>50</v>
      </c>
      <c r="M412" t="s">
        <v>27</v>
      </c>
      <c r="N412" t="s">
        <v>810</v>
      </c>
      <c r="O412">
        <v>50</v>
      </c>
      <c r="P412" t="s">
        <v>206</v>
      </c>
      <c r="Q412" t="s">
        <v>27</v>
      </c>
      <c r="R412">
        <v>121</v>
      </c>
      <c r="S412">
        <v>1</v>
      </c>
      <c r="T412" t="s">
        <v>78</v>
      </c>
      <c r="U412" t="s">
        <v>63</v>
      </c>
      <c r="V412">
        <v>2.4</v>
      </c>
      <c r="W412">
        <v>1.44</v>
      </c>
      <c r="X412">
        <v>8.3</v>
      </c>
      <c r="Y412">
        <v>23.1</v>
      </c>
      <c r="Z412">
        <v>4.2</v>
      </c>
    </row>
    <row r="413" spans="1:26">
      <c r="A413" t="s">
        <v>866</v>
      </c>
      <c r="B413">
        <v>46</v>
      </c>
      <c r="C413" t="s">
        <v>70</v>
      </c>
      <c r="D413" t="s">
        <v>41</v>
      </c>
      <c r="E413" t="s">
        <v>255</v>
      </c>
      <c r="F413" t="s">
        <v>150</v>
      </c>
      <c r="G413" t="s">
        <v>297</v>
      </c>
      <c r="H413" t="s">
        <v>32</v>
      </c>
      <c r="I413" t="s">
        <v>16</v>
      </c>
      <c r="J413" s="7">
        <v>44232</v>
      </c>
      <c r="K413" s="7">
        <v>44717</v>
      </c>
      <c r="L413" s="5">
        <v>50</v>
      </c>
      <c r="M413" t="s">
        <v>25</v>
      </c>
      <c r="N413" t="s">
        <v>691</v>
      </c>
      <c r="O413">
        <v>50</v>
      </c>
      <c r="P413" t="s">
        <v>205</v>
      </c>
      <c r="Q413" t="s">
        <v>28</v>
      </c>
      <c r="R413">
        <v>57</v>
      </c>
      <c r="S413">
        <v>0</v>
      </c>
      <c r="T413" t="s">
        <v>78</v>
      </c>
      <c r="U413" t="s">
        <v>61</v>
      </c>
      <c r="V413">
        <v>4.82</v>
      </c>
      <c r="W413">
        <v>3.09</v>
      </c>
      <c r="X413">
        <v>3.7</v>
      </c>
      <c r="Y413">
        <v>7.4</v>
      </c>
      <c r="Z413">
        <v>11.5</v>
      </c>
    </row>
    <row r="414" spans="1:26">
      <c r="A414" t="s">
        <v>867</v>
      </c>
      <c r="B414">
        <v>51</v>
      </c>
      <c r="C414" t="s">
        <v>71</v>
      </c>
      <c r="D414" t="s">
        <v>42</v>
      </c>
      <c r="E414" t="s">
        <v>311</v>
      </c>
      <c r="F414" t="s">
        <v>264</v>
      </c>
      <c r="G414" t="s">
        <v>278</v>
      </c>
      <c r="H414" t="s">
        <v>34</v>
      </c>
      <c r="I414" t="s">
        <v>16</v>
      </c>
      <c r="J414" s="7">
        <v>44575</v>
      </c>
      <c r="K414" s="7">
        <v>44787</v>
      </c>
      <c r="L414" s="5">
        <v>200</v>
      </c>
      <c r="M414" t="s">
        <v>28</v>
      </c>
      <c r="N414" t="s">
        <v>714</v>
      </c>
      <c r="O414">
        <v>200</v>
      </c>
      <c r="P414" t="s">
        <v>211</v>
      </c>
      <c r="Q414" t="s">
        <v>150</v>
      </c>
      <c r="R414">
        <v>145</v>
      </c>
      <c r="S414">
        <v>0</v>
      </c>
      <c r="T414" t="s">
        <v>78</v>
      </c>
      <c r="U414" t="s">
        <v>63</v>
      </c>
      <c r="V414">
        <v>4.18</v>
      </c>
      <c r="W414">
        <v>3.83</v>
      </c>
      <c r="X414">
        <v>1.5</v>
      </c>
      <c r="Y414">
        <v>7.3</v>
      </c>
      <c r="Z414">
        <v>9.8</v>
      </c>
    </row>
    <row r="415" spans="1:26">
      <c r="A415" t="s">
        <v>868</v>
      </c>
      <c r="B415">
        <v>56</v>
      </c>
      <c r="C415" t="s">
        <v>71</v>
      </c>
      <c r="D415" t="s">
        <v>41</v>
      </c>
      <c r="E415" t="s">
        <v>255</v>
      </c>
      <c r="F415" t="s">
        <v>150</v>
      </c>
      <c r="G415" t="s">
        <v>291</v>
      </c>
      <c r="H415" t="s">
        <v>29</v>
      </c>
      <c r="I415" t="s">
        <v>19</v>
      </c>
      <c r="J415" s="7">
        <v>44428</v>
      </c>
      <c r="K415" s="7">
        <v>44885</v>
      </c>
      <c r="L415" s="5">
        <v>50</v>
      </c>
      <c r="M415" t="s">
        <v>25</v>
      </c>
      <c r="N415" t="s">
        <v>601</v>
      </c>
      <c r="O415">
        <v>50</v>
      </c>
      <c r="P415" t="s">
        <v>211</v>
      </c>
      <c r="Q415" t="s">
        <v>28</v>
      </c>
      <c r="R415">
        <v>79</v>
      </c>
      <c r="S415">
        <v>0</v>
      </c>
      <c r="T415" t="s">
        <v>80</v>
      </c>
      <c r="U415" t="s">
        <v>63</v>
      </c>
      <c r="V415">
        <v>2.18</v>
      </c>
      <c r="W415">
        <v>1.93</v>
      </c>
      <c r="X415">
        <v>3.5</v>
      </c>
      <c r="Y415">
        <v>20.5</v>
      </c>
      <c r="Z415">
        <v>18.8</v>
      </c>
    </row>
    <row r="416" spans="1:26">
      <c r="A416" t="s">
        <v>869</v>
      </c>
      <c r="B416">
        <v>20</v>
      </c>
      <c r="C416" t="s">
        <v>44</v>
      </c>
      <c r="D416" t="s">
        <v>44</v>
      </c>
      <c r="E416" t="s">
        <v>259</v>
      </c>
      <c r="F416" t="s">
        <v>264</v>
      </c>
      <c r="G416" t="s">
        <v>284</v>
      </c>
      <c r="H416" t="s">
        <v>30</v>
      </c>
      <c r="I416" t="s">
        <v>16</v>
      </c>
      <c r="J416" s="7">
        <v>44263</v>
      </c>
      <c r="K416" s="7">
        <v>44477</v>
      </c>
      <c r="L416" s="5">
        <v>100</v>
      </c>
      <c r="M416" t="s">
        <v>150</v>
      </c>
      <c r="N416" t="s">
        <v>404</v>
      </c>
      <c r="O416">
        <v>100</v>
      </c>
      <c r="P416" t="s">
        <v>206</v>
      </c>
      <c r="Q416" t="s">
        <v>150</v>
      </c>
      <c r="R416">
        <v>171</v>
      </c>
      <c r="S416">
        <v>1</v>
      </c>
      <c r="T416" t="s">
        <v>81</v>
      </c>
      <c r="U416" t="s">
        <v>61</v>
      </c>
      <c r="V416">
        <v>2.62</v>
      </c>
      <c r="W416">
        <v>4.62</v>
      </c>
      <c r="X416">
        <v>3.9</v>
      </c>
      <c r="Y416">
        <v>14.6</v>
      </c>
      <c r="Z416">
        <v>6.8</v>
      </c>
    </row>
    <row r="417" spans="1:26">
      <c r="A417" t="s">
        <v>870</v>
      </c>
      <c r="B417">
        <v>81</v>
      </c>
      <c r="C417" t="s">
        <v>70</v>
      </c>
      <c r="D417" t="s">
        <v>44</v>
      </c>
      <c r="E417" t="s">
        <v>272</v>
      </c>
      <c r="F417" t="s">
        <v>150</v>
      </c>
      <c r="G417" t="s">
        <v>322</v>
      </c>
      <c r="H417" t="s">
        <v>30</v>
      </c>
      <c r="I417" t="s">
        <v>18</v>
      </c>
      <c r="J417" s="7">
        <v>44381</v>
      </c>
      <c r="K417" s="7">
        <v>44838</v>
      </c>
      <c r="L417" s="5">
        <v>150</v>
      </c>
      <c r="M417" t="s">
        <v>26</v>
      </c>
      <c r="N417" t="s">
        <v>304</v>
      </c>
      <c r="O417">
        <v>150</v>
      </c>
      <c r="P417" t="s">
        <v>211</v>
      </c>
      <c r="Q417" t="s">
        <v>27</v>
      </c>
      <c r="R417">
        <v>144</v>
      </c>
      <c r="S417">
        <v>0</v>
      </c>
      <c r="T417" t="s">
        <v>82</v>
      </c>
      <c r="U417" t="s">
        <v>61</v>
      </c>
      <c r="V417">
        <v>3.56</v>
      </c>
      <c r="W417">
        <v>4.92</v>
      </c>
      <c r="X417">
        <v>6.4</v>
      </c>
      <c r="Y417">
        <v>12.4</v>
      </c>
      <c r="Z417">
        <v>14</v>
      </c>
    </row>
    <row r="418" spans="1:26">
      <c r="A418" t="s">
        <v>871</v>
      </c>
      <c r="B418">
        <v>58</v>
      </c>
      <c r="C418" t="s">
        <v>44</v>
      </c>
      <c r="D418" t="s">
        <v>42</v>
      </c>
      <c r="E418" t="s">
        <v>255</v>
      </c>
      <c r="F418" t="s">
        <v>273</v>
      </c>
      <c r="G418" t="s">
        <v>274</v>
      </c>
      <c r="H418" t="s">
        <v>32</v>
      </c>
      <c r="I418" t="s">
        <v>19</v>
      </c>
      <c r="J418" s="7">
        <v>43683</v>
      </c>
      <c r="K418" s="7">
        <v>43867</v>
      </c>
      <c r="L418" s="5">
        <v>150</v>
      </c>
      <c r="M418" t="s">
        <v>27</v>
      </c>
      <c r="N418" t="s">
        <v>292</v>
      </c>
      <c r="O418">
        <v>150</v>
      </c>
      <c r="P418" t="s">
        <v>205</v>
      </c>
      <c r="Q418" t="s">
        <v>150</v>
      </c>
      <c r="R418">
        <v>131</v>
      </c>
      <c r="S418">
        <v>0</v>
      </c>
      <c r="T418" t="s">
        <v>83</v>
      </c>
      <c r="U418" t="s">
        <v>63</v>
      </c>
      <c r="V418">
        <v>1.49</v>
      </c>
      <c r="W418">
        <v>4.55</v>
      </c>
      <c r="X418">
        <v>5.5</v>
      </c>
      <c r="Y418">
        <v>14.1</v>
      </c>
      <c r="Z418">
        <v>13</v>
      </c>
    </row>
    <row r="419" spans="1:26">
      <c r="A419" t="s">
        <v>872</v>
      </c>
      <c r="B419">
        <v>41</v>
      </c>
      <c r="C419" t="s">
        <v>70</v>
      </c>
      <c r="D419" t="s">
        <v>43</v>
      </c>
      <c r="E419" t="s">
        <v>259</v>
      </c>
      <c r="F419" t="s">
        <v>277</v>
      </c>
      <c r="G419" t="s">
        <v>278</v>
      </c>
      <c r="H419" t="s">
        <v>32</v>
      </c>
      <c r="I419" t="s">
        <v>19</v>
      </c>
      <c r="J419" s="7">
        <v>43986</v>
      </c>
      <c r="K419" s="7">
        <v>44169</v>
      </c>
      <c r="L419" s="5">
        <v>150</v>
      </c>
      <c r="M419" t="s">
        <v>28</v>
      </c>
      <c r="N419" t="s">
        <v>373</v>
      </c>
      <c r="O419">
        <v>150</v>
      </c>
      <c r="P419" t="s">
        <v>205</v>
      </c>
      <c r="Q419" t="s">
        <v>150</v>
      </c>
      <c r="R419">
        <v>89</v>
      </c>
      <c r="S419">
        <v>0</v>
      </c>
      <c r="T419" t="s">
        <v>80</v>
      </c>
      <c r="U419" t="s">
        <v>63</v>
      </c>
      <c r="V419">
        <v>3.5</v>
      </c>
      <c r="W419">
        <v>1.29</v>
      </c>
      <c r="X419">
        <v>7.1</v>
      </c>
      <c r="Y419">
        <v>10.4</v>
      </c>
      <c r="Z419">
        <v>15.1</v>
      </c>
    </row>
    <row r="420" spans="1:26">
      <c r="A420" t="s">
        <v>873</v>
      </c>
      <c r="B420">
        <v>67</v>
      </c>
      <c r="C420" t="s">
        <v>70</v>
      </c>
      <c r="D420" t="s">
        <v>44</v>
      </c>
      <c r="E420" t="s">
        <v>259</v>
      </c>
      <c r="F420" t="s">
        <v>150</v>
      </c>
      <c r="G420" t="s">
        <v>284</v>
      </c>
      <c r="H420" t="s">
        <v>32</v>
      </c>
      <c r="I420" t="s">
        <v>16</v>
      </c>
      <c r="J420" s="7">
        <v>45244</v>
      </c>
      <c r="K420" s="7">
        <v>45730</v>
      </c>
      <c r="L420" s="5">
        <v>200</v>
      </c>
      <c r="M420" t="s">
        <v>150</v>
      </c>
      <c r="N420" t="s">
        <v>682</v>
      </c>
      <c r="O420">
        <v>200</v>
      </c>
      <c r="P420" t="s">
        <v>206</v>
      </c>
      <c r="Q420" t="s">
        <v>27</v>
      </c>
      <c r="R420">
        <v>157</v>
      </c>
      <c r="S420">
        <v>1</v>
      </c>
      <c r="T420" t="s">
        <v>83</v>
      </c>
      <c r="U420" t="s">
        <v>61</v>
      </c>
      <c r="V420">
        <v>4.29</v>
      </c>
      <c r="W420">
        <v>4.22</v>
      </c>
      <c r="X420">
        <v>6</v>
      </c>
      <c r="Y420">
        <v>15.4</v>
      </c>
      <c r="Z420">
        <v>5.4</v>
      </c>
    </row>
    <row r="421" spans="1:26">
      <c r="A421" t="s">
        <v>874</v>
      </c>
      <c r="B421">
        <v>71</v>
      </c>
      <c r="C421" t="s">
        <v>71</v>
      </c>
      <c r="D421" t="s">
        <v>42</v>
      </c>
      <c r="E421" t="s">
        <v>272</v>
      </c>
      <c r="F421" t="s">
        <v>264</v>
      </c>
      <c r="G421" t="s">
        <v>274</v>
      </c>
      <c r="H421" t="s">
        <v>34</v>
      </c>
      <c r="I421" t="s">
        <v>18</v>
      </c>
      <c r="J421" s="7">
        <v>44936</v>
      </c>
      <c r="K421" s="7">
        <v>45117</v>
      </c>
      <c r="L421" s="5">
        <v>50</v>
      </c>
      <c r="M421" t="s">
        <v>150</v>
      </c>
      <c r="N421" t="s">
        <v>336</v>
      </c>
      <c r="O421">
        <v>50</v>
      </c>
      <c r="P421" t="s">
        <v>206</v>
      </c>
      <c r="Q421" t="s">
        <v>25</v>
      </c>
      <c r="R421">
        <v>165</v>
      </c>
      <c r="S421">
        <v>1</v>
      </c>
      <c r="T421" t="s">
        <v>83</v>
      </c>
      <c r="U421" t="s">
        <v>61</v>
      </c>
      <c r="V421">
        <v>4.1</v>
      </c>
      <c r="W421">
        <v>2.09</v>
      </c>
      <c r="X421">
        <v>5.5</v>
      </c>
      <c r="Y421">
        <v>11.1</v>
      </c>
      <c r="Z421">
        <v>5.3</v>
      </c>
    </row>
    <row r="422" spans="1:26">
      <c r="A422" t="s">
        <v>875</v>
      </c>
      <c r="B422">
        <v>20</v>
      </c>
      <c r="C422" t="s">
        <v>71</v>
      </c>
      <c r="D422" t="s">
        <v>43</v>
      </c>
      <c r="E422" t="s">
        <v>311</v>
      </c>
      <c r="F422" t="s">
        <v>150</v>
      </c>
      <c r="G422" t="s">
        <v>261</v>
      </c>
      <c r="H422" t="s">
        <v>32</v>
      </c>
      <c r="I422" t="s">
        <v>19</v>
      </c>
      <c r="J422" s="7">
        <v>44360</v>
      </c>
      <c r="K422" s="7">
        <v>44574</v>
      </c>
      <c r="L422" s="5">
        <v>150</v>
      </c>
      <c r="M422" t="s">
        <v>25</v>
      </c>
      <c r="N422" t="s">
        <v>876</v>
      </c>
      <c r="O422">
        <v>150</v>
      </c>
      <c r="P422" t="s">
        <v>211</v>
      </c>
      <c r="Q422" t="s">
        <v>27</v>
      </c>
      <c r="R422">
        <v>156</v>
      </c>
      <c r="S422">
        <v>0</v>
      </c>
      <c r="T422" t="s">
        <v>83</v>
      </c>
      <c r="U422" t="s">
        <v>61</v>
      </c>
      <c r="V422">
        <v>3.52</v>
      </c>
      <c r="W422">
        <v>1.22</v>
      </c>
      <c r="X422">
        <v>7.7</v>
      </c>
      <c r="Y422">
        <v>11.7</v>
      </c>
      <c r="Z422">
        <v>3</v>
      </c>
    </row>
    <row r="423" spans="1:26">
      <c r="A423" t="s">
        <v>877</v>
      </c>
      <c r="B423">
        <v>31</v>
      </c>
      <c r="C423" t="s">
        <v>71</v>
      </c>
      <c r="D423" t="s">
        <v>41</v>
      </c>
      <c r="E423" t="s">
        <v>311</v>
      </c>
      <c r="F423" t="s">
        <v>150</v>
      </c>
      <c r="G423" t="s">
        <v>281</v>
      </c>
      <c r="H423" t="s">
        <v>29</v>
      </c>
      <c r="I423" t="s">
        <v>19</v>
      </c>
      <c r="J423" s="7">
        <v>44657</v>
      </c>
      <c r="K423" s="7">
        <v>44871</v>
      </c>
      <c r="L423" s="5">
        <v>100</v>
      </c>
      <c r="M423" t="s">
        <v>150</v>
      </c>
      <c r="N423" t="s">
        <v>598</v>
      </c>
      <c r="O423">
        <v>100</v>
      </c>
      <c r="P423" t="s">
        <v>211</v>
      </c>
      <c r="Q423" t="s">
        <v>28</v>
      </c>
      <c r="R423">
        <v>58</v>
      </c>
      <c r="S423">
        <v>0</v>
      </c>
      <c r="T423" t="s">
        <v>83</v>
      </c>
      <c r="U423" t="s">
        <v>61</v>
      </c>
      <c r="V423">
        <v>3.04</v>
      </c>
      <c r="W423">
        <v>1.19</v>
      </c>
      <c r="X423">
        <v>3.5</v>
      </c>
      <c r="Y423">
        <v>18.7</v>
      </c>
      <c r="Z423">
        <v>4.1</v>
      </c>
    </row>
    <row r="424" spans="1:26">
      <c r="A424" t="s">
        <v>878</v>
      </c>
      <c r="B424">
        <v>27</v>
      </c>
      <c r="C424" t="s">
        <v>70</v>
      </c>
      <c r="D424" t="s">
        <v>39</v>
      </c>
      <c r="E424" t="s">
        <v>255</v>
      </c>
      <c r="F424" t="s">
        <v>150</v>
      </c>
      <c r="G424" t="s">
        <v>297</v>
      </c>
      <c r="H424" t="s">
        <v>32</v>
      </c>
      <c r="I424" t="s">
        <v>18</v>
      </c>
      <c r="J424" s="7">
        <v>44119</v>
      </c>
      <c r="K424" s="7">
        <v>44331</v>
      </c>
      <c r="L424" s="5">
        <v>100</v>
      </c>
      <c r="M424" t="s">
        <v>26</v>
      </c>
      <c r="N424" t="s">
        <v>497</v>
      </c>
      <c r="O424">
        <v>100</v>
      </c>
      <c r="P424" t="s">
        <v>211</v>
      </c>
      <c r="Q424" t="s">
        <v>28</v>
      </c>
      <c r="R424">
        <v>163</v>
      </c>
      <c r="S424">
        <v>0</v>
      </c>
      <c r="T424" t="s">
        <v>80</v>
      </c>
      <c r="U424" t="s">
        <v>63</v>
      </c>
      <c r="V424">
        <v>4.36</v>
      </c>
      <c r="W424">
        <v>1.02</v>
      </c>
      <c r="X424">
        <v>3.2</v>
      </c>
      <c r="Y424">
        <v>19.3</v>
      </c>
      <c r="Z424">
        <v>8.4</v>
      </c>
    </row>
    <row r="425" spans="1:26">
      <c r="A425" t="s">
        <v>879</v>
      </c>
      <c r="B425">
        <v>79</v>
      </c>
      <c r="C425" t="s">
        <v>44</v>
      </c>
      <c r="D425" t="s">
        <v>43</v>
      </c>
      <c r="E425" t="s">
        <v>150</v>
      </c>
      <c r="F425" t="s">
        <v>260</v>
      </c>
      <c r="G425" t="s">
        <v>265</v>
      </c>
      <c r="H425" t="s">
        <v>29</v>
      </c>
      <c r="I425" t="s">
        <v>19</v>
      </c>
      <c r="J425" s="7">
        <v>44533</v>
      </c>
      <c r="K425" s="7">
        <v>44868</v>
      </c>
      <c r="L425" s="5">
        <v>100</v>
      </c>
      <c r="M425" t="s">
        <v>26</v>
      </c>
      <c r="N425" t="s">
        <v>880</v>
      </c>
      <c r="O425">
        <v>100</v>
      </c>
      <c r="P425" t="s">
        <v>206</v>
      </c>
      <c r="Q425" t="s">
        <v>26</v>
      </c>
      <c r="R425">
        <v>33</v>
      </c>
      <c r="S425">
        <v>1</v>
      </c>
      <c r="T425" t="s">
        <v>78</v>
      </c>
      <c r="U425" t="s">
        <v>61</v>
      </c>
      <c r="V425">
        <v>1.41</v>
      </c>
      <c r="W425">
        <v>2.44</v>
      </c>
      <c r="X425">
        <v>3.4</v>
      </c>
      <c r="Y425">
        <v>21.2</v>
      </c>
      <c r="Z425">
        <v>8.3</v>
      </c>
    </row>
    <row r="426" spans="1:26">
      <c r="A426" t="s">
        <v>881</v>
      </c>
      <c r="B426">
        <v>67</v>
      </c>
      <c r="C426" t="s">
        <v>71</v>
      </c>
      <c r="D426" t="s">
        <v>43</v>
      </c>
      <c r="E426" t="s">
        <v>311</v>
      </c>
      <c r="F426" t="s">
        <v>268</v>
      </c>
      <c r="G426" t="s">
        <v>349</v>
      </c>
      <c r="H426" t="s">
        <v>32</v>
      </c>
      <c r="I426" t="s">
        <v>19</v>
      </c>
      <c r="J426" s="7">
        <v>44870</v>
      </c>
      <c r="K426" s="7">
        <v>45296</v>
      </c>
      <c r="L426" s="5">
        <v>50</v>
      </c>
      <c r="M426" t="s">
        <v>26</v>
      </c>
      <c r="N426" t="s">
        <v>534</v>
      </c>
      <c r="O426">
        <v>50</v>
      </c>
      <c r="P426" t="s">
        <v>211</v>
      </c>
      <c r="Q426" t="s">
        <v>27</v>
      </c>
      <c r="R426">
        <v>161</v>
      </c>
      <c r="S426">
        <v>0</v>
      </c>
      <c r="T426" t="s">
        <v>78</v>
      </c>
      <c r="U426" t="s">
        <v>61</v>
      </c>
      <c r="V426">
        <v>4.16</v>
      </c>
      <c r="W426">
        <v>4.57</v>
      </c>
      <c r="X426">
        <v>4.9</v>
      </c>
      <c r="Y426">
        <v>22.4</v>
      </c>
      <c r="Z426">
        <v>9.4</v>
      </c>
    </row>
    <row r="427" spans="1:26">
      <c r="A427" t="s">
        <v>882</v>
      </c>
      <c r="B427">
        <v>42</v>
      </c>
      <c r="C427" t="s">
        <v>71</v>
      </c>
      <c r="D427" t="s">
        <v>39</v>
      </c>
      <c r="E427" t="s">
        <v>272</v>
      </c>
      <c r="F427" t="s">
        <v>264</v>
      </c>
      <c r="G427" t="s">
        <v>274</v>
      </c>
      <c r="H427" t="s">
        <v>29</v>
      </c>
      <c r="I427" t="s">
        <v>18</v>
      </c>
      <c r="J427" s="7">
        <v>44616</v>
      </c>
      <c r="K427" s="7">
        <v>44828</v>
      </c>
      <c r="L427" s="5">
        <v>100</v>
      </c>
      <c r="M427" t="s">
        <v>27</v>
      </c>
      <c r="N427" t="s">
        <v>406</v>
      </c>
      <c r="O427">
        <v>100</v>
      </c>
      <c r="P427" t="s">
        <v>211</v>
      </c>
      <c r="Q427" t="s">
        <v>28</v>
      </c>
      <c r="R427">
        <v>151</v>
      </c>
      <c r="S427">
        <v>0</v>
      </c>
      <c r="T427" t="s">
        <v>80</v>
      </c>
      <c r="U427" t="s">
        <v>61</v>
      </c>
      <c r="V427">
        <v>4.86</v>
      </c>
      <c r="W427">
        <v>1.36</v>
      </c>
      <c r="X427">
        <v>7.2</v>
      </c>
      <c r="Y427">
        <v>14.9</v>
      </c>
      <c r="Z427">
        <v>9.6</v>
      </c>
    </row>
    <row r="428" spans="1:26">
      <c r="A428" t="s">
        <v>883</v>
      </c>
      <c r="B428">
        <v>63</v>
      </c>
      <c r="C428" t="s">
        <v>70</v>
      </c>
      <c r="D428" t="s">
        <v>42</v>
      </c>
      <c r="E428" t="s">
        <v>255</v>
      </c>
      <c r="F428" t="s">
        <v>260</v>
      </c>
      <c r="G428" t="s">
        <v>278</v>
      </c>
      <c r="H428" t="s">
        <v>30</v>
      </c>
      <c r="I428" t="s">
        <v>20</v>
      </c>
      <c r="J428" s="7">
        <v>45124</v>
      </c>
      <c r="K428" s="7">
        <v>45460</v>
      </c>
      <c r="L428" s="5">
        <v>50</v>
      </c>
      <c r="M428" t="s">
        <v>150</v>
      </c>
      <c r="N428" t="s">
        <v>402</v>
      </c>
      <c r="O428">
        <v>50</v>
      </c>
      <c r="P428" t="s">
        <v>206</v>
      </c>
      <c r="Q428" t="s">
        <v>27</v>
      </c>
      <c r="R428">
        <v>138</v>
      </c>
      <c r="S428">
        <v>1</v>
      </c>
      <c r="T428" t="s">
        <v>78</v>
      </c>
      <c r="U428" t="s">
        <v>61</v>
      </c>
      <c r="V428">
        <v>3.53</v>
      </c>
      <c r="W428">
        <v>3.82</v>
      </c>
      <c r="X428">
        <v>1</v>
      </c>
      <c r="Y428">
        <v>9</v>
      </c>
      <c r="Z428">
        <v>15.1</v>
      </c>
    </row>
    <row r="429" spans="1:26">
      <c r="A429" t="s">
        <v>884</v>
      </c>
      <c r="B429">
        <v>42</v>
      </c>
      <c r="C429" t="s">
        <v>70</v>
      </c>
      <c r="D429" t="s">
        <v>41</v>
      </c>
      <c r="E429" t="s">
        <v>255</v>
      </c>
      <c r="F429" t="s">
        <v>268</v>
      </c>
      <c r="G429" t="s">
        <v>269</v>
      </c>
      <c r="H429" t="s">
        <v>34</v>
      </c>
      <c r="I429" t="s">
        <v>16</v>
      </c>
      <c r="J429" s="7">
        <v>43777</v>
      </c>
      <c r="K429" s="7">
        <v>43990</v>
      </c>
      <c r="L429" s="5">
        <v>100</v>
      </c>
      <c r="M429" t="s">
        <v>28</v>
      </c>
      <c r="N429" t="s">
        <v>371</v>
      </c>
      <c r="O429">
        <v>100</v>
      </c>
      <c r="P429" t="s">
        <v>205</v>
      </c>
      <c r="Q429" t="s">
        <v>150</v>
      </c>
      <c r="R429">
        <v>91</v>
      </c>
      <c r="S429">
        <v>0</v>
      </c>
      <c r="T429" t="s">
        <v>83</v>
      </c>
      <c r="U429" t="s">
        <v>63</v>
      </c>
      <c r="V429">
        <v>3.67</v>
      </c>
      <c r="W429">
        <v>4.86</v>
      </c>
      <c r="X429">
        <v>7.8</v>
      </c>
      <c r="Y429">
        <v>23.1</v>
      </c>
      <c r="Z429">
        <v>14.9</v>
      </c>
    </row>
    <row r="430" spans="1:26">
      <c r="A430" t="s">
        <v>885</v>
      </c>
      <c r="B430">
        <v>53</v>
      </c>
      <c r="C430" t="s">
        <v>71</v>
      </c>
      <c r="D430" t="s">
        <v>44</v>
      </c>
      <c r="E430" t="s">
        <v>272</v>
      </c>
      <c r="F430" t="s">
        <v>277</v>
      </c>
      <c r="G430" t="s">
        <v>265</v>
      </c>
      <c r="H430" t="s">
        <v>32</v>
      </c>
      <c r="I430" t="s">
        <v>20</v>
      </c>
      <c r="J430" s="7">
        <v>43916</v>
      </c>
      <c r="K430" s="7">
        <v>44191</v>
      </c>
      <c r="L430" s="5">
        <v>150</v>
      </c>
      <c r="M430" t="s">
        <v>150</v>
      </c>
      <c r="N430" t="s">
        <v>843</v>
      </c>
      <c r="O430">
        <v>150</v>
      </c>
      <c r="P430" t="s">
        <v>206</v>
      </c>
      <c r="Q430" t="s">
        <v>26</v>
      </c>
      <c r="R430">
        <v>158</v>
      </c>
      <c r="S430">
        <v>1</v>
      </c>
      <c r="T430" t="s">
        <v>80</v>
      </c>
      <c r="U430" t="s">
        <v>61</v>
      </c>
      <c r="V430">
        <v>2.19</v>
      </c>
      <c r="W430">
        <v>1.42</v>
      </c>
      <c r="X430">
        <v>8</v>
      </c>
      <c r="Y430">
        <v>17.6</v>
      </c>
      <c r="Z430">
        <v>3.8</v>
      </c>
    </row>
    <row r="431" spans="1:26">
      <c r="A431" t="s">
        <v>886</v>
      </c>
      <c r="B431">
        <v>57</v>
      </c>
      <c r="C431" t="s">
        <v>44</v>
      </c>
      <c r="D431" t="s">
        <v>41</v>
      </c>
      <c r="E431" t="s">
        <v>259</v>
      </c>
      <c r="F431" t="s">
        <v>277</v>
      </c>
      <c r="G431" t="s">
        <v>288</v>
      </c>
      <c r="H431" t="s">
        <v>30</v>
      </c>
      <c r="I431" t="s">
        <v>19</v>
      </c>
      <c r="J431" s="7">
        <v>44621</v>
      </c>
      <c r="K431" s="7">
        <v>45108</v>
      </c>
      <c r="L431" s="5">
        <v>200</v>
      </c>
      <c r="M431" t="s">
        <v>150</v>
      </c>
      <c r="N431" t="s">
        <v>503</v>
      </c>
      <c r="O431">
        <v>200</v>
      </c>
      <c r="P431" t="s">
        <v>211</v>
      </c>
      <c r="Q431" t="s">
        <v>28</v>
      </c>
      <c r="R431">
        <v>73</v>
      </c>
      <c r="S431">
        <v>0</v>
      </c>
      <c r="T431" t="s">
        <v>83</v>
      </c>
      <c r="U431" t="s">
        <v>61</v>
      </c>
      <c r="V431">
        <v>2.44</v>
      </c>
      <c r="W431">
        <v>4.83</v>
      </c>
      <c r="X431">
        <v>5.5</v>
      </c>
      <c r="Y431">
        <v>13.8</v>
      </c>
      <c r="Z431">
        <v>10.8</v>
      </c>
    </row>
    <row r="432" spans="1:26">
      <c r="A432" t="s">
        <v>887</v>
      </c>
      <c r="B432">
        <v>78</v>
      </c>
      <c r="C432" t="s">
        <v>44</v>
      </c>
      <c r="D432" t="s">
        <v>42</v>
      </c>
      <c r="E432" t="s">
        <v>272</v>
      </c>
      <c r="F432" t="s">
        <v>150</v>
      </c>
      <c r="G432" t="s">
        <v>269</v>
      </c>
      <c r="H432" t="s">
        <v>29</v>
      </c>
      <c r="I432" t="s">
        <v>16</v>
      </c>
      <c r="J432" s="7">
        <v>43760</v>
      </c>
      <c r="K432" s="7">
        <v>44065</v>
      </c>
      <c r="L432" s="5">
        <v>100</v>
      </c>
      <c r="M432" t="s">
        <v>25</v>
      </c>
      <c r="N432" t="s">
        <v>888</v>
      </c>
      <c r="O432">
        <v>100</v>
      </c>
      <c r="P432" t="s">
        <v>206</v>
      </c>
      <c r="Q432" t="s">
        <v>28</v>
      </c>
      <c r="R432">
        <v>107</v>
      </c>
      <c r="S432">
        <v>1</v>
      </c>
      <c r="T432" t="s">
        <v>81</v>
      </c>
      <c r="U432" t="s">
        <v>61</v>
      </c>
      <c r="V432">
        <v>1.84</v>
      </c>
      <c r="W432">
        <v>2.47</v>
      </c>
      <c r="X432">
        <v>4.3</v>
      </c>
      <c r="Y432">
        <v>6.9</v>
      </c>
      <c r="Z432">
        <v>16</v>
      </c>
    </row>
    <row r="433" spans="1:26">
      <c r="A433" t="s">
        <v>889</v>
      </c>
      <c r="B433">
        <v>80</v>
      </c>
      <c r="C433" t="s">
        <v>44</v>
      </c>
      <c r="D433" t="s">
        <v>39</v>
      </c>
      <c r="E433" t="s">
        <v>255</v>
      </c>
      <c r="F433" t="s">
        <v>260</v>
      </c>
      <c r="G433" t="s">
        <v>322</v>
      </c>
      <c r="H433" t="s">
        <v>32</v>
      </c>
      <c r="I433" t="s">
        <v>20</v>
      </c>
      <c r="J433" s="7">
        <v>43626</v>
      </c>
      <c r="K433" s="7">
        <v>44145</v>
      </c>
      <c r="L433" s="5">
        <v>150</v>
      </c>
      <c r="M433" t="s">
        <v>25</v>
      </c>
      <c r="N433" t="s">
        <v>890</v>
      </c>
      <c r="O433">
        <v>150</v>
      </c>
      <c r="P433" t="s">
        <v>205</v>
      </c>
      <c r="Q433" t="s">
        <v>25</v>
      </c>
      <c r="R433">
        <v>35</v>
      </c>
      <c r="S433">
        <v>0</v>
      </c>
      <c r="T433" t="s">
        <v>78</v>
      </c>
      <c r="U433" t="s">
        <v>61</v>
      </c>
      <c r="V433">
        <v>2.67</v>
      </c>
      <c r="W433">
        <v>4.29</v>
      </c>
      <c r="X433">
        <v>8.7</v>
      </c>
      <c r="Y433">
        <v>9.8</v>
      </c>
      <c r="Z433">
        <v>14.2</v>
      </c>
    </row>
    <row r="434" spans="1:26">
      <c r="A434" t="s">
        <v>891</v>
      </c>
      <c r="B434">
        <v>46</v>
      </c>
      <c r="C434" t="s">
        <v>44</v>
      </c>
      <c r="D434" t="s">
        <v>41</v>
      </c>
      <c r="E434" t="s">
        <v>150</v>
      </c>
      <c r="F434" t="s">
        <v>273</v>
      </c>
      <c r="G434" t="s">
        <v>274</v>
      </c>
      <c r="H434" t="s">
        <v>34</v>
      </c>
      <c r="I434" t="s">
        <v>19</v>
      </c>
      <c r="J434" s="7">
        <v>44168</v>
      </c>
      <c r="K434" s="7">
        <v>44442</v>
      </c>
      <c r="L434" s="5">
        <v>200</v>
      </c>
      <c r="M434" t="s">
        <v>28</v>
      </c>
      <c r="N434" t="s">
        <v>382</v>
      </c>
      <c r="O434">
        <v>200</v>
      </c>
      <c r="P434" t="s">
        <v>205</v>
      </c>
      <c r="Q434" t="s">
        <v>27</v>
      </c>
      <c r="R434">
        <v>164</v>
      </c>
      <c r="S434">
        <v>0</v>
      </c>
      <c r="T434" t="s">
        <v>78</v>
      </c>
      <c r="U434" t="s">
        <v>61</v>
      </c>
      <c r="V434">
        <v>2.89</v>
      </c>
      <c r="W434">
        <v>4.52</v>
      </c>
      <c r="X434">
        <v>2.9</v>
      </c>
      <c r="Y434">
        <v>18.2</v>
      </c>
      <c r="Z434">
        <v>13.3</v>
      </c>
    </row>
    <row r="435" spans="1:26">
      <c r="A435" t="s">
        <v>892</v>
      </c>
      <c r="B435">
        <v>62</v>
      </c>
      <c r="C435" t="s">
        <v>70</v>
      </c>
      <c r="D435" t="s">
        <v>43</v>
      </c>
      <c r="E435" t="s">
        <v>255</v>
      </c>
      <c r="F435" t="s">
        <v>264</v>
      </c>
      <c r="G435" t="s">
        <v>362</v>
      </c>
      <c r="H435" t="s">
        <v>30</v>
      </c>
      <c r="I435" t="s">
        <v>16</v>
      </c>
      <c r="J435" s="7">
        <v>45192</v>
      </c>
      <c r="K435" s="7">
        <v>45527</v>
      </c>
      <c r="L435" s="5">
        <v>50</v>
      </c>
      <c r="M435" t="s">
        <v>27</v>
      </c>
      <c r="N435" t="s">
        <v>684</v>
      </c>
      <c r="O435">
        <v>50</v>
      </c>
      <c r="P435" t="s">
        <v>206</v>
      </c>
      <c r="Q435" t="s">
        <v>28</v>
      </c>
      <c r="R435">
        <v>157</v>
      </c>
      <c r="S435">
        <v>1</v>
      </c>
      <c r="T435" t="s">
        <v>78</v>
      </c>
      <c r="U435" t="s">
        <v>61</v>
      </c>
      <c r="V435">
        <v>2.18</v>
      </c>
      <c r="W435">
        <v>1.55</v>
      </c>
      <c r="X435">
        <v>6.9</v>
      </c>
      <c r="Y435">
        <v>19.3</v>
      </c>
      <c r="Z435">
        <v>8.4</v>
      </c>
    </row>
    <row r="436" spans="1:26">
      <c r="A436" t="s">
        <v>893</v>
      </c>
      <c r="B436">
        <v>37</v>
      </c>
      <c r="C436" t="s">
        <v>44</v>
      </c>
      <c r="D436" t="s">
        <v>39</v>
      </c>
      <c r="E436" t="s">
        <v>255</v>
      </c>
      <c r="F436" t="s">
        <v>150</v>
      </c>
      <c r="G436" t="s">
        <v>288</v>
      </c>
      <c r="H436" t="s">
        <v>32</v>
      </c>
      <c r="I436" t="s">
        <v>20</v>
      </c>
      <c r="J436" s="7">
        <v>44253</v>
      </c>
      <c r="K436" s="7">
        <v>44556</v>
      </c>
      <c r="L436" s="5">
        <v>50</v>
      </c>
      <c r="M436" t="s">
        <v>28</v>
      </c>
      <c r="N436" t="s">
        <v>435</v>
      </c>
      <c r="O436">
        <v>50</v>
      </c>
      <c r="P436" t="s">
        <v>205</v>
      </c>
      <c r="Q436" t="s">
        <v>28</v>
      </c>
      <c r="R436">
        <v>43</v>
      </c>
      <c r="S436">
        <v>0</v>
      </c>
      <c r="T436" t="s">
        <v>82</v>
      </c>
      <c r="U436" t="s">
        <v>61</v>
      </c>
      <c r="V436">
        <v>3.58</v>
      </c>
      <c r="W436">
        <v>2.58</v>
      </c>
      <c r="X436">
        <v>7.4</v>
      </c>
      <c r="Y436">
        <v>9.6</v>
      </c>
      <c r="Z436">
        <v>18.1</v>
      </c>
    </row>
    <row r="437" spans="1:26">
      <c r="A437" t="s">
        <v>894</v>
      </c>
      <c r="B437">
        <v>18</v>
      </c>
      <c r="C437" t="s">
        <v>70</v>
      </c>
      <c r="D437" t="s">
        <v>39</v>
      </c>
      <c r="E437" t="s">
        <v>311</v>
      </c>
      <c r="F437" t="s">
        <v>273</v>
      </c>
      <c r="G437" t="s">
        <v>327</v>
      </c>
      <c r="H437" t="s">
        <v>32</v>
      </c>
      <c r="I437" t="s">
        <v>18</v>
      </c>
      <c r="J437" s="7">
        <v>43808</v>
      </c>
      <c r="K437" s="7">
        <v>44052</v>
      </c>
      <c r="L437" s="5">
        <v>100</v>
      </c>
      <c r="M437" t="s">
        <v>25</v>
      </c>
      <c r="N437" t="s">
        <v>328</v>
      </c>
      <c r="O437">
        <v>100</v>
      </c>
      <c r="P437" t="s">
        <v>206</v>
      </c>
      <c r="Q437" t="s">
        <v>28</v>
      </c>
      <c r="R437">
        <v>151</v>
      </c>
      <c r="S437">
        <v>1</v>
      </c>
      <c r="T437" t="s">
        <v>81</v>
      </c>
      <c r="U437" t="s">
        <v>63</v>
      </c>
      <c r="V437">
        <v>2.15</v>
      </c>
      <c r="W437">
        <v>2.47</v>
      </c>
      <c r="X437">
        <v>1.5</v>
      </c>
      <c r="Y437">
        <v>8</v>
      </c>
      <c r="Z437">
        <v>11.8</v>
      </c>
    </row>
    <row r="438" spans="1:26">
      <c r="A438" t="s">
        <v>895</v>
      </c>
      <c r="B438">
        <v>67</v>
      </c>
      <c r="C438" t="s">
        <v>70</v>
      </c>
      <c r="D438" t="s">
        <v>43</v>
      </c>
      <c r="E438" t="s">
        <v>311</v>
      </c>
      <c r="F438" t="s">
        <v>150</v>
      </c>
      <c r="G438" t="s">
        <v>362</v>
      </c>
      <c r="H438" t="s">
        <v>32</v>
      </c>
      <c r="I438" t="s">
        <v>18</v>
      </c>
      <c r="J438" s="7">
        <v>45129</v>
      </c>
      <c r="K438" s="7">
        <v>45465</v>
      </c>
      <c r="L438" s="5">
        <v>100</v>
      </c>
      <c r="M438" t="s">
        <v>26</v>
      </c>
      <c r="N438" t="s">
        <v>275</v>
      </c>
      <c r="O438">
        <v>100</v>
      </c>
      <c r="P438" t="s">
        <v>205</v>
      </c>
      <c r="Q438" t="s">
        <v>26</v>
      </c>
      <c r="R438">
        <v>107</v>
      </c>
      <c r="S438">
        <v>0</v>
      </c>
      <c r="T438" t="s">
        <v>81</v>
      </c>
      <c r="U438" t="s">
        <v>63</v>
      </c>
      <c r="V438">
        <v>2.07</v>
      </c>
      <c r="W438">
        <v>4.34</v>
      </c>
      <c r="X438">
        <v>1.1</v>
      </c>
      <c r="Y438">
        <v>12.8</v>
      </c>
      <c r="Z438">
        <v>8.7</v>
      </c>
    </row>
    <row r="439" spans="1:26">
      <c r="A439" t="s">
        <v>896</v>
      </c>
      <c r="B439">
        <v>56</v>
      </c>
      <c r="C439" t="s">
        <v>44</v>
      </c>
      <c r="D439" t="s">
        <v>43</v>
      </c>
      <c r="E439" t="s">
        <v>255</v>
      </c>
      <c r="F439" t="s">
        <v>260</v>
      </c>
      <c r="G439" t="s">
        <v>284</v>
      </c>
      <c r="H439" t="s">
        <v>30</v>
      </c>
      <c r="I439" t="s">
        <v>20</v>
      </c>
      <c r="J439" s="7">
        <v>44461</v>
      </c>
      <c r="K439" s="7">
        <v>44979</v>
      </c>
      <c r="L439" s="5">
        <v>150</v>
      </c>
      <c r="M439" t="s">
        <v>150</v>
      </c>
      <c r="N439" t="s">
        <v>373</v>
      </c>
      <c r="O439">
        <v>150</v>
      </c>
      <c r="P439" t="s">
        <v>211</v>
      </c>
      <c r="Q439" t="s">
        <v>27</v>
      </c>
      <c r="R439">
        <v>148</v>
      </c>
      <c r="S439">
        <v>0</v>
      </c>
      <c r="T439" t="s">
        <v>83</v>
      </c>
      <c r="U439" t="s">
        <v>63</v>
      </c>
      <c r="V439">
        <v>1.08</v>
      </c>
      <c r="W439">
        <v>1.5</v>
      </c>
      <c r="X439">
        <v>4.7</v>
      </c>
      <c r="Y439">
        <v>14.9</v>
      </c>
      <c r="Z439">
        <v>9.9</v>
      </c>
    </row>
    <row r="440" spans="1:26">
      <c r="A440" t="s">
        <v>897</v>
      </c>
      <c r="B440">
        <v>71</v>
      </c>
      <c r="C440" t="s">
        <v>71</v>
      </c>
      <c r="D440" t="s">
        <v>41</v>
      </c>
      <c r="E440" t="s">
        <v>255</v>
      </c>
      <c r="F440" t="s">
        <v>150</v>
      </c>
      <c r="G440" t="s">
        <v>265</v>
      </c>
      <c r="H440" t="s">
        <v>32</v>
      </c>
      <c r="I440" t="s">
        <v>18</v>
      </c>
      <c r="J440" s="7">
        <v>45188</v>
      </c>
      <c r="K440" s="7">
        <v>45492</v>
      </c>
      <c r="L440" s="5">
        <v>50</v>
      </c>
      <c r="M440" t="s">
        <v>26</v>
      </c>
      <c r="N440" t="s">
        <v>473</v>
      </c>
      <c r="O440">
        <v>50</v>
      </c>
      <c r="P440" t="s">
        <v>206</v>
      </c>
      <c r="Q440" t="s">
        <v>27</v>
      </c>
      <c r="R440">
        <v>162</v>
      </c>
      <c r="S440">
        <v>1</v>
      </c>
      <c r="T440" t="s">
        <v>82</v>
      </c>
      <c r="U440" t="s">
        <v>63</v>
      </c>
      <c r="V440">
        <v>3.12</v>
      </c>
      <c r="W440">
        <v>3.38</v>
      </c>
      <c r="X440">
        <v>1.1</v>
      </c>
      <c r="Y440">
        <v>14.4</v>
      </c>
      <c r="Z440">
        <v>19.4</v>
      </c>
    </row>
    <row r="441" spans="1:26">
      <c r="A441" t="s">
        <v>898</v>
      </c>
      <c r="B441">
        <v>28</v>
      </c>
      <c r="C441" t="s">
        <v>71</v>
      </c>
      <c r="D441" t="s">
        <v>39</v>
      </c>
      <c r="E441" t="s">
        <v>311</v>
      </c>
      <c r="F441" t="s">
        <v>277</v>
      </c>
      <c r="G441" t="s">
        <v>362</v>
      </c>
      <c r="H441" t="s">
        <v>34</v>
      </c>
      <c r="I441" t="s">
        <v>19</v>
      </c>
      <c r="J441" s="7">
        <v>43520</v>
      </c>
      <c r="K441" s="7">
        <v>43975</v>
      </c>
      <c r="L441" s="5">
        <v>50</v>
      </c>
      <c r="M441" t="s">
        <v>26</v>
      </c>
      <c r="N441" t="s">
        <v>601</v>
      </c>
      <c r="O441">
        <v>50</v>
      </c>
      <c r="P441" t="s">
        <v>211</v>
      </c>
      <c r="Q441" t="s">
        <v>26</v>
      </c>
      <c r="R441">
        <v>87</v>
      </c>
      <c r="S441">
        <v>0</v>
      </c>
      <c r="T441" t="s">
        <v>78</v>
      </c>
      <c r="U441" t="s">
        <v>61</v>
      </c>
      <c r="V441">
        <v>3.08</v>
      </c>
      <c r="W441">
        <v>3.71</v>
      </c>
      <c r="X441">
        <v>3.8</v>
      </c>
      <c r="Y441">
        <v>19.9</v>
      </c>
      <c r="Z441">
        <v>16.1</v>
      </c>
    </row>
    <row r="442" spans="1:26">
      <c r="A442" t="s">
        <v>899</v>
      </c>
      <c r="B442">
        <v>57</v>
      </c>
      <c r="C442" t="s">
        <v>44</v>
      </c>
      <c r="D442" t="s">
        <v>42</v>
      </c>
      <c r="E442" t="s">
        <v>272</v>
      </c>
      <c r="F442" t="s">
        <v>150</v>
      </c>
      <c r="G442" t="s">
        <v>278</v>
      </c>
      <c r="H442" t="s">
        <v>29</v>
      </c>
      <c r="I442" t="s">
        <v>16</v>
      </c>
      <c r="J442" s="7">
        <v>43544</v>
      </c>
      <c r="K442" s="7">
        <v>43758</v>
      </c>
      <c r="L442" s="5">
        <v>50</v>
      </c>
      <c r="M442" t="s">
        <v>26</v>
      </c>
      <c r="N442" t="s">
        <v>773</v>
      </c>
      <c r="O442">
        <v>50</v>
      </c>
      <c r="P442" t="s">
        <v>211</v>
      </c>
      <c r="Q442" t="s">
        <v>28</v>
      </c>
      <c r="R442">
        <v>159</v>
      </c>
      <c r="S442">
        <v>0</v>
      </c>
      <c r="T442" t="s">
        <v>82</v>
      </c>
      <c r="U442" t="s">
        <v>61</v>
      </c>
      <c r="V442">
        <v>3.09</v>
      </c>
      <c r="W442">
        <v>4.9</v>
      </c>
      <c r="X442">
        <v>2.1</v>
      </c>
      <c r="Y442">
        <v>6.3</v>
      </c>
      <c r="Z442">
        <v>16.1</v>
      </c>
    </row>
    <row r="443" spans="1:26">
      <c r="A443" t="s">
        <v>900</v>
      </c>
      <c r="B443">
        <v>25</v>
      </c>
      <c r="C443" t="s">
        <v>71</v>
      </c>
      <c r="D443" t="s">
        <v>39</v>
      </c>
      <c r="E443" t="s">
        <v>272</v>
      </c>
      <c r="F443" t="s">
        <v>273</v>
      </c>
      <c r="G443" t="s">
        <v>265</v>
      </c>
      <c r="H443" t="s">
        <v>32</v>
      </c>
      <c r="I443" t="s">
        <v>20</v>
      </c>
      <c r="J443" s="7">
        <v>44971</v>
      </c>
      <c r="K443" s="7">
        <v>45213</v>
      </c>
      <c r="L443" s="5">
        <v>50</v>
      </c>
      <c r="M443" t="s">
        <v>26</v>
      </c>
      <c r="N443" t="s">
        <v>573</v>
      </c>
      <c r="O443">
        <v>50</v>
      </c>
      <c r="P443" t="s">
        <v>205</v>
      </c>
      <c r="Q443" t="s">
        <v>26</v>
      </c>
      <c r="R443">
        <v>73</v>
      </c>
      <c r="S443">
        <v>0</v>
      </c>
      <c r="T443" t="s">
        <v>80</v>
      </c>
      <c r="U443" t="s">
        <v>63</v>
      </c>
      <c r="V443">
        <v>4.23</v>
      </c>
      <c r="W443">
        <v>1.48</v>
      </c>
      <c r="X443">
        <v>3.4</v>
      </c>
      <c r="Y443">
        <v>6.3</v>
      </c>
      <c r="Z443">
        <v>8</v>
      </c>
    </row>
    <row r="444" spans="1:26">
      <c r="A444" t="s">
        <v>901</v>
      </c>
      <c r="B444">
        <v>78</v>
      </c>
      <c r="C444" t="s">
        <v>70</v>
      </c>
      <c r="D444" t="s">
        <v>39</v>
      </c>
      <c r="E444" t="s">
        <v>150</v>
      </c>
      <c r="F444" t="s">
        <v>150</v>
      </c>
      <c r="G444" t="s">
        <v>274</v>
      </c>
      <c r="H444" t="s">
        <v>34</v>
      </c>
      <c r="I444" t="s">
        <v>19</v>
      </c>
      <c r="J444" s="7">
        <v>44390</v>
      </c>
      <c r="K444" s="7">
        <v>44908</v>
      </c>
      <c r="L444" s="5">
        <v>50</v>
      </c>
      <c r="M444" t="s">
        <v>27</v>
      </c>
      <c r="N444" t="s">
        <v>556</v>
      </c>
      <c r="O444">
        <v>50</v>
      </c>
      <c r="P444" t="s">
        <v>206</v>
      </c>
      <c r="Q444" t="s">
        <v>150</v>
      </c>
      <c r="R444">
        <v>147</v>
      </c>
      <c r="S444">
        <v>1</v>
      </c>
      <c r="T444" t="s">
        <v>83</v>
      </c>
      <c r="U444" t="s">
        <v>61</v>
      </c>
      <c r="V444">
        <v>4.09</v>
      </c>
      <c r="W444">
        <v>3.07</v>
      </c>
      <c r="X444">
        <v>4.1</v>
      </c>
      <c r="Y444">
        <v>12.7</v>
      </c>
      <c r="Z444">
        <v>3</v>
      </c>
    </row>
    <row r="445" spans="1:26">
      <c r="A445" t="s">
        <v>902</v>
      </c>
      <c r="B445">
        <v>19</v>
      </c>
      <c r="C445" t="s">
        <v>44</v>
      </c>
      <c r="D445" t="s">
        <v>39</v>
      </c>
      <c r="E445" t="s">
        <v>311</v>
      </c>
      <c r="F445" t="s">
        <v>150</v>
      </c>
      <c r="G445" t="s">
        <v>306</v>
      </c>
      <c r="H445" t="s">
        <v>34</v>
      </c>
      <c r="I445" t="s">
        <v>16</v>
      </c>
      <c r="J445" s="7">
        <v>44270</v>
      </c>
      <c r="K445" s="7">
        <v>44788</v>
      </c>
      <c r="L445" s="5">
        <v>200</v>
      </c>
      <c r="M445" t="s">
        <v>28</v>
      </c>
      <c r="N445" t="s">
        <v>750</v>
      </c>
      <c r="O445">
        <v>200</v>
      </c>
      <c r="P445" t="s">
        <v>205</v>
      </c>
      <c r="Q445" t="s">
        <v>25</v>
      </c>
      <c r="R445">
        <v>83</v>
      </c>
      <c r="S445">
        <v>0</v>
      </c>
      <c r="T445" t="s">
        <v>81</v>
      </c>
      <c r="U445" t="s">
        <v>61</v>
      </c>
      <c r="V445">
        <v>2.2</v>
      </c>
      <c r="W445">
        <v>3.59</v>
      </c>
      <c r="X445">
        <v>9.8</v>
      </c>
      <c r="Y445">
        <v>21.2</v>
      </c>
      <c r="Z445">
        <v>3.4</v>
      </c>
    </row>
    <row r="446" spans="1:26">
      <c r="A446" t="s">
        <v>903</v>
      </c>
      <c r="B446">
        <v>83</v>
      </c>
      <c r="C446" t="s">
        <v>71</v>
      </c>
      <c r="D446" t="s">
        <v>41</v>
      </c>
      <c r="E446" t="s">
        <v>259</v>
      </c>
      <c r="F446" t="s">
        <v>268</v>
      </c>
      <c r="G446" t="s">
        <v>256</v>
      </c>
      <c r="H446" t="s">
        <v>34</v>
      </c>
      <c r="I446" t="s">
        <v>18</v>
      </c>
      <c r="J446" s="7">
        <v>44510</v>
      </c>
      <c r="K446" s="7">
        <v>44875</v>
      </c>
      <c r="L446" s="5">
        <v>50</v>
      </c>
      <c r="M446" t="s">
        <v>27</v>
      </c>
      <c r="N446" t="s">
        <v>488</v>
      </c>
      <c r="O446">
        <v>50</v>
      </c>
      <c r="P446" t="s">
        <v>205</v>
      </c>
      <c r="Q446" t="s">
        <v>26</v>
      </c>
      <c r="R446">
        <v>177</v>
      </c>
      <c r="S446">
        <v>0</v>
      </c>
      <c r="T446" t="s">
        <v>80</v>
      </c>
      <c r="U446" t="s">
        <v>61</v>
      </c>
      <c r="V446">
        <v>4.59</v>
      </c>
      <c r="W446">
        <v>4.13</v>
      </c>
      <c r="X446">
        <v>8</v>
      </c>
      <c r="Y446">
        <v>14.2</v>
      </c>
      <c r="Z446">
        <v>9.8</v>
      </c>
    </row>
    <row r="447" spans="1:26">
      <c r="A447" t="s">
        <v>904</v>
      </c>
      <c r="B447">
        <v>34</v>
      </c>
      <c r="C447" t="s">
        <v>44</v>
      </c>
      <c r="D447" t="s">
        <v>39</v>
      </c>
      <c r="E447" t="s">
        <v>255</v>
      </c>
      <c r="F447" t="s">
        <v>150</v>
      </c>
      <c r="G447" t="s">
        <v>327</v>
      </c>
      <c r="H447" t="s">
        <v>34</v>
      </c>
      <c r="I447" t="s">
        <v>16</v>
      </c>
      <c r="J447" s="7">
        <v>43493</v>
      </c>
      <c r="K447" s="7">
        <v>44010</v>
      </c>
      <c r="L447" s="5">
        <v>100</v>
      </c>
      <c r="M447" t="s">
        <v>28</v>
      </c>
      <c r="N447" t="s">
        <v>352</v>
      </c>
      <c r="O447">
        <v>100</v>
      </c>
      <c r="P447" t="s">
        <v>206</v>
      </c>
      <c r="Q447" t="s">
        <v>27</v>
      </c>
      <c r="R447">
        <v>151</v>
      </c>
      <c r="S447">
        <v>1</v>
      </c>
      <c r="T447" t="s">
        <v>81</v>
      </c>
      <c r="U447" t="s">
        <v>63</v>
      </c>
      <c r="V447">
        <v>2.21</v>
      </c>
      <c r="W447">
        <v>1.26</v>
      </c>
      <c r="X447">
        <v>3.1</v>
      </c>
      <c r="Y447">
        <v>10.4</v>
      </c>
      <c r="Z447">
        <v>11.2</v>
      </c>
    </row>
    <row r="448" spans="1:26">
      <c r="A448" t="s">
        <v>905</v>
      </c>
      <c r="B448">
        <v>48</v>
      </c>
      <c r="C448" t="s">
        <v>71</v>
      </c>
      <c r="D448" t="s">
        <v>41</v>
      </c>
      <c r="E448" t="s">
        <v>272</v>
      </c>
      <c r="F448" t="s">
        <v>150</v>
      </c>
      <c r="G448" t="s">
        <v>261</v>
      </c>
      <c r="H448" t="s">
        <v>29</v>
      </c>
      <c r="I448" t="s">
        <v>16</v>
      </c>
      <c r="J448" s="7">
        <v>45050</v>
      </c>
      <c r="K448" s="7">
        <v>45234</v>
      </c>
      <c r="L448" s="5">
        <v>50</v>
      </c>
      <c r="M448" t="s">
        <v>150</v>
      </c>
      <c r="N448" t="s">
        <v>779</v>
      </c>
      <c r="O448">
        <v>50</v>
      </c>
      <c r="P448" t="s">
        <v>211</v>
      </c>
      <c r="Q448" t="s">
        <v>28</v>
      </c>
      <c r="R448">
        <v>145</v>
      </c>
      <c r="S448">
        <v>0</v>
      </c>
      <c r="T448" t="s">
        <v>82</v>
      </c>
      <c r="U448" t="s">
        <v>63</v>
      </c>
      <c r="V448">
        <v>3.99</v>
      </c>
      <c r="W448">
        <v>2.9</v>
      </c>
      <c r="X448">
        <v>1.5</v>
      </c>
      <c r="Y448">
        <v>23.2</v>
      </c>
      <c r="Z448">
        <v>19</v>
      </c>
    </row>
    <row r="449" spans="1:26">
      <c r="A449" t="s">
        <v>906</v>
      </c>
      <c r="B449">
        <v>43</v>
      </c>
      <c r="C449" t="s">
        <v>71</v>
      </c>
      <c r="D449" t="s">
        <v>39</v>
      </c>
      <c r="E449" t="s">
        <v>272</v>
      </c>
      <c r="F449" t="s">
        <v>264</v>
      </c>
      <c r="G449" t="s">
        <v>265</v>
      </c>
      <c r="H449" t="s">
        <v>30</v>
      </c>
      <c r="I449" t="s">
        <v>18</v>
      </c>
      <c r="J449" s="7">
        <v>44830</v>
      </c>
      <c r="K449" s="7">
        <v>45377</v>
      </c>
      <c r="L449" s="5">
        <v>100</v>
      </c>
      <c r="M449" t="s">
        <v>25</v>
      </c>
      <c r="N449" t="s">
        <v>464</v>
      </c>
      <c r="O449">
        <v>100</v>
      </c>
      <c r="P449" t="s">
        <v>205</v>
      </c>
      <c r="Q449" t="s">
        <v>28</v>
      </c>
      <c r="R449">
        <v>82</v>
      </c>
      <c r="S449">
        <v>0</v>
      </c>
      <c r="T449" t="s">
        <v>83</v>
      </c>
      <c r="U449" t="s">
        <v>63</v>
      </c>
      <c r="V449">
        <v>4.14</v>
      </c>
      <c r="W449">
        <v>4.97</v>
      </c>
      <c r="X449">
        <v>5.9</v>
      </c>
      <c r="Y449">
        <v>23.3</v>
      </c>
      <c r="Z449">
        <v>4.3</v>
      </c>
    </row>
    <row r="450" spans="1:26">
      <c r="A450" t="s">
        <v>907</v>
      </c>
      <c r="B450">
        <v>18</v>
      </c>
      <c r="C450" t="s">
        <v>70</v>
      </c>
      <c r="D450" t="s">
        <v>43</v>
      </c>
      <c r="E450" t="s">
        <v>255</v>
      </c>
      <c r="F450" t="s">
        <v>150</v>
      </c>
      <c r="G450" t="s">
        <v>294</v>
      </c>
      <c r="H450" t="s">
        <v>32</v>
      </c>
      <c r="I450" t="s">
        <v>18</v>
      </c>
      <c r="J450" s="7">
        <v>45145</v>
      </c>
      <c r="K450" s="7">
        <v>45419</v>
      </c>
      <c r="L450" s="5">
        <v>200</v>
      </c>
      <c r="M450" t="s">
        <v>150</v>
      </c>
      <c r="N450" t="s">
        <v>493</v>
      </c>
      <c r="O450">
        <v>200</v>
      </c>
      <c r="P450" t="s">
        <v>206</v>
      </c>
      <c r="Q450" t="s">
        <v>28</v>
      </c>
      <c r="R450">
        <v>142</v>
      </c>
      <c r="S450">
        <v>1</v>
      </c>
      <c r="T450" t="s">
        <v>82</v>
      </c>
      <c r="U450" t="s">
        <v>61</v>
      </c>
      <c r="V450">
        <v>2.46</v>
      </c>
      <c r="W450">
        <v>1.9</v>
      </c>
      <c r="X450">
        <v>2.8</v>
      </c>
      <c r="Y450">
        <v>8.5</v>
      </c>
      <c r="Z450">
        <v>13.6</v>
      </c>
    </row>
    <row r="451" spans="1:26">
      <c r="A451" t="s">
        <v>908</v>
      </c>
      <c r="B451">
        <v>27</v>
      </c>
      <c r="C451" t="s">
        <v>44</v>
      </c>
      <c r="D451" t="s">
        <v>42</v>
      </c>
      <c r="E451" t="s">
        <v>259</v>
      </c>
      <c r="F451" t="s">
        <v>150</v>
      </c>
      <c r="G451" t="s">
        <v>362</v>
      </c>
      <c r="H451" t="s">
        <v>29</v>
      </c>
      <c r="I451" t="s">
        <v>16</v>
      </c>
      <c r="J451" s="7">
        <v>44653</v>
      </c>
      <c r="K451" s="7">
        <v>45109</v>
      </c>
      <c r="L451" s="5">
        <v>150</v>
      </c>
      <c r="M451" t="s">
        <v>26</v>
      </c>
      <c r="N451" t="s">
        <v>328</v>
      </c>
      <c r="O451">
        <v>150</v>
      </c>
      <c r="P451" t="s">
        <v>211</v>
      </c>
      <c r="Q451" t="s">
        <v>27</v>
      </c>
      <c r="R451">
        <v>121</v>
      </c>
      <c r="S451">
        <v>0</v>
      </c>
      <c r="T451" t="s">
        <v>83</v>
      </c>
      <c r="U451" t="s">
        <v>63</v>
      </c>
      <c r="V451">
        <v>4.13</v>
      </c>
      <c r="W451">
        <v>3.31</v>
      </c>
      <c r="X451">
        <v>2.3</v>
      </c>
      <c r="Y451">
        <v>20.6</v>
      </c>
      <c r="Z451">
        <v>13.8</v>
      </c>
    </row>
    <row r="452" spans="1:26">
      <c r="A452" t="s">
        <v>909</v>
      </c>
      <c r="B452">
        <v>54</v>
      </c>
      <c r="C452" t="s">
        <v>71</v>
      </c>
      <c r="D452" t="s">
        <v>44</v>
      </c>
      <c r="E452" t="s">
        <v>255</v>
      </c>
      <c r="F452" t="s">
        <v>268</v>
      </c>
      <c r="G452" t="s">
        <v>306</v>
      </c>
      <c r="H452" t="s">
        <v>32</v>
      </c>
      <c r="I452" t="s">
        <v>20</v>
      </c>
      <c r="J452" s="7">
        <v>44944</v>
      </c>
      <c r="K452" s="7">
        <v>45461</v>
      </c>
      <c r="L452" s="5">
        <v>50</v>
      </c>
      <c r="M452" t="s">
        <v>27</v>
      </c>
      <c r="N452" t="s">
        <v>581</v>
      </c>
      <c r="O452">
        <v>50</v>
      </c>
      <c r="P452" t="s">
        <v>206</v>
      </c>
      <c r="Q452" t="s">
        <v>150</v>
      </c>
      <c r="R452">
        <v>137</v>
      </c>
      <c r="S452">
        <v>1</v>
      </c>
      <c r="T452" t="s">
        <v>81</v>
      </c>
      <c r="U452" t="s">
        <v>63</v>
      </c>
      <c r="V452">
        <v>2.55</v>
      </c>
      <c r="W452">
        <v>3.7</v>
      </c>
      <c r="X452">
        <v>3.3</v>
      </c>
      <c r="Y452">
        <v>12.2</v>
      </c>
      <c r="Z452">
        <v>18.6</v>
      </c>
    </row>
    <row r="453" spans="1:26">
      <c r="A453" t="s">
        <v>910</v>
      </c>
      <c r="B453">
        <v>60</v>
      </c>
      <c r="C453" t="s">
        <v>71</v>
      </c>
      <c r="D453" t="s">
        <v>41</v>
      </c>
      <c r="E453" t="s">
        <v>259</v>
      </c>
      <c r="F453" t="s">
        <v>150</v>
      </c>
      <c r="G453" t="s">
        <v>256</v>
      </c>
      <c r="H453" t="s">
        <v>29</v>
      </c>
      <c r="I453" t="s">
        <v>18</v>
      </c>
      <c r="J453" s="7">
        <v>44618</v>
      </c>
      <c r="K453" s="7">
        <v>45072</v>
      </c>
      <c r="L453" s="5">
        <v>50</v>
      </c>
      <c r="M453" t="s">
        <v>28</v>
      </c>
      <c r="N453" t="s">
        <v>735</v>
      </c>
      <c r="O453">
        <v>50</v>
      </c>
      <c r="P453" t="s">
        <v>205</v>
      </c>
      <c r="Q453" t="s">
        <v>25</v>
      </c>
      <c r="R453">
        <v>50</v>
      </c>
      <c r="S453">
        <v>0</v>
      </c>
      <c r="T453" t="s">
        <v>80</v>
      </c>
      <c r="U453" t="s">
        <v>61</v>
      </c>
      <c r="V453">
        <v>2.16</v>
      </c>
      <c r="W453">
        <v>2.88</v>
      </c>
      <c r="X453">
        <v>9</v>
      </c>
      <c r="Y453">
        <v>18.7</v>
      </c>
      <c r="Z453">
        <v>4.1</v>
      </c>
    </row>
    <row r="454" spans="1:26">
      <c r="A454" t="s">
        <v>911</v>
      </c>
      <c r="B454">
        <v>34</v>
      </c>
      <c r="C454" t="s">
        <v>70</v>
      </c>
      <c r="D454" t="s">
        <v>42</v>
      </c>
      <c r="E454" t="s">
        <v>311</v>
      </c>
      <c r="F454" t="s">
        <v>268</v>
      </c>
      <c r="G454" t="s">
        <v>265</v>
      </c>
      <c r="H454" t="s">
        <v>32</v>
      </c>
      <c r="I454" t="s">
        <v>20</v>
      </c>
      <c r="J454" s="7">
        <v>44707</v>
      </c>
      <c r="K454" s="7">
        <v>44983</v>
      </c>
      <c r="L454" s="5">
        <v>50</v>
      </c>
      <c r="M454" t="s">
        <v>28</v>
      </c>
      <c r="N454" t="s">
        <v>888</v>
      </c>
      <c r="O454">
        <v>50</v>
      </c>
      <c r="P454" t="s">
        <v>206</v>
      </c>
      <c r="Q454" t="s">
        <v>25</v>
      </c>
      <c r="R454">
        <v>127</v>
      </c>
      <c r="S454">
        <v>1</v>
      </c>
      <c r="T454" t="s">
        <v>83</v>
      </c>
      <c r="U454" t="s">
        <v>61</v>
      </c>
      <c r="V454">
        <v>1.59</v>
      </c>
      <c r="W454">
        <v>1.03</v>
      </c>
      <c r="X454">
        <v>6.7</v>
      </c>
      <c r="Y454">
        <v>14.1</v>
      </c>
      <c r="Z454">
        <v>5.3</v>
      </c>
    </row>
    <row r="455" spans="1:26">
      <c r="A455" t="s">
        <v>912</v>
      </c>
      <c r="B455">
        <v>24</v>
      </c>
      <c r="C455" t="s">
        <v>70</v>
      </c>
      <c r="D455" t="s">
        <v>43</v>
      </c>
      <c r="E455" t="s">
        <v>259</v>
      </c>
      <c r="F455" t="s">
        <v>260</v>
      </c>
      <c r="G455" t="s">
        <v>319</v>
      </c>
      <c r="H455" t="s">
        <v>30</v>
      </c>
      <c r="I455" t="s">
        <v>16</v>
      </c>
      <c r="J455" s="7">
        <v>44612</v>
      </c>
      <c r="K455" s="7">
        <v>44946</v>
      </c>
      <c r="L455" s="5">
        <v>150</v>
      </c>
      <c r="M455" t="s">
        <v>150</v>
      </c>
      <c r="N455" t="s">
        <v>913</v>
      </c>
      <c r="O455">
        <v>150</v>
      </c>
      <c r="P455" t="s">
        <v>206</v>
      </c>
      <c r="Q455" t="s">
        <v>26</v>
      </c>
      <c r="R455">
        <v>89</v>
      </c>
      <c r="S455">
        <v>1</v>
      </c>
      <c r="T455" t="s">
        <v>83</v>
      </c>
      <c r="U455" t="s">
        <v>63</v>
      </c>
      <c r="V455">
        <v>4.83</v>
      </c>
      <c r="W455">
        <v>3.12</v>
      </c>
      <c r="X455">
        <v>3.2</v>
      </c>
      <c r="Y455">
        <v>15</v>
      </c>
      <c r="Z455">
        <v>14.6</v>
      </c>
    </row>
    <row r="456" spans="1:26">
      <c r="A456" t="s">
        <v>914</v>
      </c>
      <c r="B456">
        <v>47</v>
      </c>
      <c r="C456" t="s">
        <v>70</v>
      </c>
      <c r="D456" t="s">
        <v>44</v>
      </c>
      <c r="E456" t="s">
        <v>255</v>
      </c>
      <c r="F456" t="s">
        <v>277</v>
      </c>
      <c r="G456" t="s">
        <v>265</v>
      </c>
      <c r="H456" t="s">
        <v>29</v>
      </c>
      <c r="I456" t="s">
        <v>16</v>
      </c>
      <c r="J456" s="7">
        <v>43539</v>
      </c>
      <c r="K456" s="7">
        <v>43784</v>
      </c>
      <c r="L456" s="5">
        <v>150</v>
      </c>
      <c r="M456" t="s">
        <v>150</v>
      </c>
      <c r="N456" t="s">
        <v>662</v>
      </c>
      <c r="O456">
        <v>150</v>
      </c>
      <c r="P456" t="s">
        <v>205</v>
      </c>
      <c r="Q456" t="s">
        <v>26</v>
      </c>
      <c r="R456">
        <v>104</v>
      </c>
      <c r="S456">
        <v>0</v>
      </c>
      <c r="T456" t="s">
        <v>78</v>
      </c>
      <c r="U456" t="s">
        <v>61</v>
      </c>
      <c r="V456">
        <v>1.3</v>
      </c>
      <c r="W456">
        <v>2.1</v>
      </c>
      <c r="X456">
        <v>8.3</v>
      </c>
      <c r="Y456">
        <v>14.3</v>
      </c>
      <c r="Z456">
        <v>12.3</v>
      </c>
    </row>
    <row r="457" spans="1:26">
      <c r="A457" t="s">
        <v>915</v>
      </c>
      <c r="B457">
        <v>79</v>
      </c>
      <c r="C457" t="s">
        <v>44</v>
      </c>
      <c r="D457" t="s">
        <v>42</v>
      </c>
      <c r="E457" t="s">
        <v>311</v>
      </c>
      <c r="F457" t="s">
        <v>268</v>
      </c>
      <c r="G457" t="s">
        <v>278</v>
      </c>
      <c r="H457" t="s">
        <v>34</v>
      </c>
      <c r="I457" t="s">
        <v>19</v>
      </c>
      <c r="J457" s="7">
        <v>44066</v>
      </c>
      <c r="K457" s="7">
        <v>44370</v>
      </c>
      <c r="L457" s="5">
        <v>150</v>
      </c>
      <c r="M457" t="s">
        <v>150</v>
      </c>
      <c r="N457" t="s">
        <v>696</v>
      </c>
      <c r="O457">
        <v>150</v>
      </c>
      <c r="P457" t="s">
        <v>211</v>
      </c>
      <c r="Q457" t="s">
        <v>25</v>
      </c>
      <c r="R457">
        <v>158</v>
      </c>
      <c r="S457">
        <v>0</v>
      </c>
      <c r="T457" t="s">
        <v>83</v>
      </c>
      <c r="U457" t="s">
        <v>63</v>
      </c>
      <c r="V457">
        <v>2.73</v>
      </c>
      <c r="W457">
        <v>1.18</v>
      </c>
      <c r="X457">
        <v>2.5</v>
      </c>
      <c r="Y457">
        <v>14</v>
      </c>
      <c r="Z457">
        <v>6.6</v>
      </c>
    </row>
    <row r="458" spans="1:26">
      <c r="A458" t="s">
        <v>916</v>
      </c>
      <c r="B458">
        <v>62</v>
      </c>
      <c r="C458" t="s">
        <v>70</v>
      </c>
      <c r="D458" t="s">
        <v>44</v>
      </c>
      <c r="E458" t="s">
        <v>272</v>
      </c>
      <c r="F458" t="s">
        <v>273</v>
      </c>
      <c r="G458" t="s">
        <v>281</v>
      </c>
      <c r="H458" t="s">
        <v>30</v>
      </c>
      <c r="I458" t="s">
        <v>19</v>
      </c>
      <c r="J458" s="7">
        <v>45020</v>
      </c>
      <c r="K458" s="7">
        <v>45355</v>
      </c>
      <c r="L458" s="5">
        <v>100</v>
      </c>
      <c r="M458" t="s">
        <v>26</v>
      </c>
      <c r="N458" t="s">
        <v>307</v>
      </c>
      <c r="O458">
        <v>100</v>
      </c>
      <c r="P458" t="s">
        <v>211</v>
      </c>
      <c r="Q458" t="s">
        <v>27</v>
      </c>
      <c r="R458">
        <v>59</v>
      </c>
      <c r="S458">
        <v>0</v>
      </c>
      <c r="T458" t="s">
        <v>83</v>
      </c>
      <c r="U458" t="s">
        <v>61</v>
      </c>
      <c r="V458">
        <v>1.2</v>
      </c>
      <c r="W458">
        <v>4.37</v>
      </c>
      <c r="X458">
        <v>9.8</v>
      </c>
      <c r="Y458">
        <v>20.3</v>
      </c>
      <c r="Z458">
        <v>17.5</v>
      </c>
    </row>
    <row r="459" spans="1:26">
      <c r="A459" t="s">
        <v>917</v>
      </c>
      <c r="B459">
        <v>22</v>
      </c>
      <c r="C459" t="s">
        <v>70</v>
      </c>
      <c r="D459" t="s">
        <v>39</v>
      </c>
      <c r="E459" t="s">
        <v>255</v>
      </c>
      <c r="F459" t="s">
        <v>277</v>
      </c>
      <c r="G459" t="s">
        <v>291</v>
      </c>
      <c r="H459" t="s">
        <v>32</v>
      </c>
      <c r="I459" t="s">
        <v>20</v>
      </c>
      <c r="J459" s="7">
        <v>44589</v>
      </c>
      <c r="K459" s="7">
        <v>44954</v>
      </c>
      <c r="L459" s="5">
        <v>200</v>
      </c>
      <c r="M459" t="s">
        <v>28</v>
      </c>
      <c r="N459" t="s">
        <v>776</v>
      </c>
      <c r="O459">
        <v>200</v>
      </c>
      <c r="P459" t="s">
        <v>211</v>
      </c>
      <c r="Q459" t="s">
        <v>26</v>
      </c>
      <c r="R459">
        <v>140</v>
      </c>
      <c r="S459">
        <v>0</v>
      </c>
      <c r="T459" t="s">
        <v>80</v>
      </c>
      <c r="U459" t="s">
        <v>63</v>
      </c>
      <c r="V459">
        <v>1.97</v>
      </c>
      <c r="W459">
        <v>4.84</v>
      </c>
      <c r="X459">
        <v>2.8</v>
      </c>
      <c r="Y459">
        <v>23.1</v>
      </c>
      <c r="Z459">
        <v>19.9</v>
      </c>
    </row>
    <row r="460" spans="1:26">
      <c r="A460" t="s">
        <v>918</v>
      </c>
      <c r="B460">
        <v>57</v>
      </c>
      <c r="C460" t="s">
        <v>71</v>
      </c>
      <c r="D460" t="s">
        <v>44</v>
      </c>
      <c r="E460" t="s">
        <v>150</v>
      </c>
      <c r="F460" t="s">
        <v>150</v>
      </c>
      <c r="G460" t="s">
        <v>306</v>
      </c>
      <c r="H460" t="s">
        <v>32</v>
      </c>
      <c r="I460" t="s">
        <v>19</v>
      </c>
      <c r="J460" s="7">
        <v>45041</v>
      </c>
      <c r="K460" s="7">
        <v>45224</v>
      </c>
      <c r="L460" s="5">
        <v>150</v>
      </c>
      <c r="M460" t="s">
        <v>25</v>
      </c>
      <c r="N460" t="s">
        <v>782</v>
      </c>
      <c r="O460">
        <v>150</v>
      </c>
      <c r="P460" t="s">
        <v>205</v>
      </c>
      <c r="Q460" t="s">
        <v>28</v>
      </c>
      <c r="R460">
        <v>57</v>
      </c>
      <c r="S460">
        <v>0</v>
      </c>
      <c r="T460" t="s">
        <v>80</v>
      </c>
      <c r="U460" t="s">
        <v>61</v>
      </c>
      <c r="V460">
        <v>3.85</v>
      </c>
      <c r="W460">
        <v>4.92</v>
      </c>
      <c r="X460">
        <v>6.1</v>
      </c>
      <c r="Y460">
        <v>10.7</v>
      </c>
      <c r="Z460">
        <v>10.4</v>
      </c>
    </row>
    <row r="461" spans="1:26">
      <c r="A461" t="s">
        <v>919</v>
      </c>
      <c r="B461">
        <v>54</v>
      </c>
      <c r="C461" t="s">
        <v>44</v>
      </c>
      <c r="D461" t="s">
        <v>43</v>
      </c>
      <c r="E461" t="s">
        <v>272</v>
      </c>
      <c r="F461" t="s">
        <v>150</v>
      </c>
      <c r="G461" t="s">
        <v>274</v>
      </c>
      <c r="H461" t="s">
        <v>32</v>
      </c>
      <c r="I461" t="s">
        <v>18</v>
      </c>
      <c r="J461" s="7">
        <v>44797</v>
      </c>
      <c r="K461" s="7">
        <v>45070</v>
      </c>
      <c r="L461" s="5">
        <v>100</v>
      </c>
      <c r="M461" t="s">
        <v>150</v>
      </c>
      <c r="N461" t="s">
        <v>528</v>
      </c>
      <c r="O461">
        <v>100</v>
      </c>
      <c r="P461" t="s">
        <v>211</v>
      </c>
      <c r="Q461" t="s">
        <v>28</v>
      </c>
      <c r="R461">
        <v>93</v>
      </c>
      <c r="S461">
        <v>0</v>
      </c>
      <c r="T461" t="s">
        <v>80</v>
      </c>
      <c r="U461" t="s">
        <v>61</v>
      </c>
      <c r="V461">
        <v>3.37</v>
      </c>
      <c r="W461">
        <v>1.29</v>
      </c>
      <c r="X461">
        <v>6.6</v>
      </c>
      <c r="Y461">
        <v>23.7</v>
      </c>
      <c r="Z461">
        <v>6.2</v>
      </c>
    </row>
    <row r="462" spans="1:26">
      <c r="A462" t="s">
        <v>920</v>
      </c>
      <c r="B462">
        <v>61</v>
      </c>
      <c r="C462" t="s">
        <v>44</v>
      </c>
      <c r="D462" t="s">
        <v>43</v>
      </c>
      <c r="E462" t="s">
        <v>311</v>
      </c>
      <c r="F462" t="s">
        <v>150</v>
      </c>
      <c r="G462" t="s">
        <v>327</v>
      </c>
      <c r="H462" t="s">
        <v>32</v>
      </c>
      <c r="I462" t="s">
        <v>19</v>
      </c>
      <c r="J462" s="7">
        <v>44930</v>
      </c>
      <c r="K462" s="7">
        <v>45234</v>
      </c>
      <c r="L462" s="5">
        <v>150</v>
      </c>
      <c r="M462" t="s">
        <v>26</v>
      </c>
      <c r="N462" t="s">
        <v>670</v>
      </c>
      <c r="O462">
        <v>150</v>
      </c>
      <c r="P462" t="s">
        <v>206</v>
      </c>
      <c r="Q462" t="s">
        <v>27</v>
      </c>
      <c r="R462">
        <v>32</v>
      </c>
      <c r="S462">
        <v>1</v>
      </c>
      <c r="T462" t="s">
        <v>82</v>
      </c>
      <c r="U462" t="s">
        <v>63</v>
      </c>
      <c r="V462">
        <v>4.17</v>
      </c>
      <c r="W462">
        <v>4.63</v>
      </c>
      <c r="X462">
        <v>9.5</v>
      </c>
      <c r="Y462">
        <v>23.3</v>
      </c>
      <c r="Z462">
        <v>11.9</v>
      </c>
    </row>
    <row r="463" spans="1:26">
      <c r="A463" t="s">
        <v>921</v>
      </c>
      <c r="B463">
        <v>63</v>
      </c>
      <c r="C463" t="s">
        <v>70</v>
      </c>
      <c r="D463" t="s">
        <v>44</v>
      </c>
      <c r="E463" t="s">
        <v>259</v>
      </c>
      <c r="F463" t="s">
        <v>268</v>
      </c>
      <c r="G463" t="s">
        <v>294</v>
      </c>
      <c r="H463" t="s">
        <v>32</v>
      </c>
      <c r="I463" t="s">
        <v>19</v>
      </c>
      <c r="J463" s="7">
        <v>43683</v>
      </c>
      <c r="K463" s="7">
        <v>43988</v>
      </c>
      <c r="L463" s="5">
        <v>150</v>
      </c>
      <c r="M463" t="s">
        <v>27</v>
      </c>
      <c r="N463" t="s">
        <v>358</v>
      </c>
      <c r="O463">
        <v>150</v>
      </c>
      <c r="P463" t="s">
        <v>205</v>
      </c>
      <c r="Q463" t="s">
        <v>26</v>
      </c>
      <c r="R463">
        <v>67</v>
      </c>
      <c r="S463">
        <v>0</v>
      </c>
      <c r="T463" t="s">
        <v>80</v>
      </c>
      <c r="U463" t="s">
        <v>63</v>
      </c>
      <c r="V463">
        <v>4.91</v>
      </c>
      <c r="W463">
        <v>4.03</v>
      </c>
      <c r="X463">
        <v>2.5</v>
      </c>
      <c r="Y463">
        <v>14.6</v>
      </c>
      <c r="Z463">
        <v>15.2</v>
      </c>
    </row>
    <row r="464" spans="1:26">
      <c r="A464" t="s">
        <v>922</v>
      </c>
      <c r="B464">
        <v>47</v>
      </c>
      <c r="C464" t="s">
        <v>71</v>
      </c>
      <c r="D464" t="s">
        <v>42</v>
      </c>
      <c r="E464" t="s">
        <v>259</v>
      </c>
      <c r="F464" t="s">
        <v>150</v>
      </c>
      <c r="G464" t="s">
        <v>431</v>
      </c>
      <c r="H464" t="s">
        <v>32</v>
      </c>
      <c r="I464" t="s">
        <v>16</v>
      </c>
      <c r="J464" s="7">
        <v>45268</v>
      </c>
      <c r="K464" s="7">
        <v>45451</v>
      </c>
      <c r="L464" s="5">
        <v>150</v>
      </c>
      <c r="M464" t="s">
        <v>28</v>
      </c>
      <c r="N464" t="s">
        <v>718</v>
      </c>
      <c r="O464">
        <v>150</v>
      </c>
      <c r="P464" t="s">
        <v>205</v>
      </c>
      <c r="Q464" t="s">
        <v>28</v>
      </c>
      <c r="R464">
        <v>90</v>
      </c>
      <c r="S464">
        <v>0</v>
      </c>
      <c r="T464" t="s">
        <v>81</v>
      </c>
      <c r="U464" t="s">
        <v>63</v>
      </c>
      <c r="V464">
        <v>1.99</v>
      </c>
      <c r="W464">
        <v>3.56</v>
      </c>
      <c r="X464">
        <v>7</v>
      </c>
      <c r="Y464">
        <v>8.9</v>
      </c>
      <c r="Z464">
        <v>12.6</v>
      </c>
    </row>
    <row r="465" spans="1:26">
      <c r="A465" t="s">
        <v>923</v>
      </c>
      <c r="B465">
        <v>27</v>
      </c>
      <c r="C465" t="s">
        <v>44</v>
      </c>
      <c r="D465" t="s">
        <v>43</v>
      </c>
      <c r="E465" t="s">
        <v>311</v>
      </c>
      <c r="F465" t="s">
        <v>150</v>
      </c>
      <c r="G465" t="s">
        <v>265</v>
      </c>
      <c r="H465" t="s">
        <v>30</v>
      </c>
      <c r="I465" t="s">
        <v>19</v>
      </c>
      <c r="J465" s="7">
        <v>45104</v>
      </c>
      <c r="K465" s="7">
        <v>45592</v>
      </c>
      <c r="L465" s="5">
        <v>200</v>
      </c>
      <c r="M465" t="s">
        <v>27</v>
      </c>
      <c r="N465" t="s">
        <v>435</v>
      </c>
      <c r="O465">
        <v>200</v>
      </c>
      <c r="P465" t="s">
        <v>206</v>
      </c>
      <c r="Q465" t="s">
        <v>28</v>
      </c>
      <c r="R465">
        <v>113</v>
      </c>
      <c r="S465">
        <v>1</v>
      </c>
      <c r="T465" t="s">
        <v>80</v>
      </c>
      <c r="U465" t="s">
        <v>61</v>
      </c>
      <c r="V465">
        <v>4.09</v>
      </c>
      <c r="W465">
        <v>3</v>
      </c>
      <c r="X465">
        <v>1.1</v>
      </c>
      <c r="Y465">
        <v>6.2</v>
      </c>
      <c r="Z465">
        <v>9.1</v>
      </c>
    </row>
    <row r="466" spans="1:26">
      <c r="A466" t="s">
        <v>924</v>
      </c>
      <c r="B466">
        <v>60</v>
      </c>
      <c r="C466" t="s">
        <v>70</v>
      </c>
      <c r="D466" t="s">
        <v>39</v>
      </c>
      <c r="E466" t="s">
        <v>272</v>
      </c>
      <c r="F466" t="s">
        <v>150</v>
      </c>
      <c r="G466" t="s">
        <v>362</v>
      </c>
      <c r="H466" t="s">
        <v>29</v>
      </c>
      <c r="I466" t="s">
        <v>18</v>
      </c>
      <c r="J466" s="7">
        <v>44206</v>
      </c>
      <c r="K466" s="7">
        <v>44449</v>
      </c>
      <c r="L466" s="5">
        <v>50</v>
      </c>
      <c r="M466" t="s">
        <v>25</v>
      </c>
      <c r="N466" t="s">
        <v>386</v>
      </c>
      <c r="O466">
        <v>50</v>
      </c>
      <c r="P466" t="s">
        <v>211</v>
      </c>
      <c r="Q466" t="s">
        <v>25</v>
      </c>
      <c r="R466">
        <v>160</v>
      </c>
      <c r="S466">
        <v>0</v>
      </c>
      <c r="T466" t="s">
        <v>80</v>
      </c>
      <c r="U466" t="s">
        <v>61</v>
      </c>
      <c r="V466">
        <v>4.7</v>
      </c>
      <c r="W466">
        <v>1.91</v>
      </c>
      <c r="X466">
        <v>6.7</v>
      </c>
      <c r="Y466">
        <v>10</v>
      </c>
      <c r="Z466">
        <v>8.5</v>
      </c>
    </row>
    <row r="467" spans="1:26">
      <c r="A467" t="s">
        <v>925</v>
      </c>
      <c r="B467">
        <v>45</v>
      </c>
      <c r="C467" t="s">
        <v>70</v>
      </c>
      <c r="D467" t="s">
        <v>44</v>
      </c>
      <c r="E467" t="s">
        <v>311</v>
      </c>
      <c r="F467" t="s">
        <v>150</v>
      </c>
      <c r="G467" t="s">
        <v>281</v>
      </c>
      <c r="H467" t="s">
        <v>34</v>
      </c>
      <c r="I467" t="s">
        <v>16</v>
      </c>
      <c r="J467" s="7">
        <v>43574</v>
      </c>
      <c r="K467" s="7">
        <v>44001</v>
      </c>
      <c r="L467" s="5">
        <v>200</v>
      </c>
      <c r="M467" t="s">
        <v>28</v>
      </c>
      <c r="N467" t="s">
        <v>526</v>
      </c>
      <c r="O467">
        <v>200</v>
      </c>
      <c r="P467" t="s">
        <v>205</v>
      </c>
      <c r="Q467" t="s">
        <v>25</v>
      </c>
      <c r="R467">
        <v>163</v>
      </c>
      <c r="S467">
        <v>0</v>
      </c>
      <c r="T467" t="s">
        <v>82</v>
      </c>
      <c r="U467" t="s">
        <v>61</v>
      </c>
      <c r="V467">
        <v>4.39</v>
      </c>
      <c r="W467">
        <v>3.92</v>
      </c>
      <c r="X467">
        <v>1.9</v>
      </c>
      <c r="Y467">
        <v>13.7</v>
      </c>
      <c r="Z467">
        <v>3.5</v>
      </c>
    </row>
    <row r="468" spans="1:26">
      <c r="A468" t="s">
        <v>926</v>
      </c>
      <c r="B468">
        <v>52</v>
      </c>
      <c r="C468" t="s">
        <v>71</v>
      </c>
      <c r="D468" t="s">
        <v>44</v>
      </c>
      <c r="E468" t="s">
        <v>150</v>
      </c>
      <c r="F468" t="s">
        <v>150</v>
      </c>
      <c r="G468" t="s">
        <v>256</v>
      </c>
      <c r="H468" t="s">
        <v>30</v>
      </c>
      <c r="I468" t="s">
        <v>19</v>
      </c>
      <c r="J468" s="7">
        <v>44054</v>
      </c>
      <c r="K468" s="7">
        <v>44572</v>
      </c>
      <c r="L468" s="5">
        <v>50</v>
      </c>
      <c r="M468" t="s">
        <v>26</v>
      </c>
      <c r="N468" t="s">
        <v>927</v>
      </c>
      <c r="O468">
        <v>50</v>
      </c>
      <c r="P468" t="s">
        <v>211</v>
      </c>
      <c r="Q468" t="s">
        <v>28</v>
      </c>
      <c r="R468">
        <v>120</v>
      </c>
      <c r="S468">
        <v>0</v>
      </c>
      <c r="T468" t="s">
        <v>80</v>
      </c>
      <c r="U468" t="s">
        <v>63</v>
      </c>
      <c r="V468">
        <v>2.92</v>
      </c>
      <c r="W468">
        <v>3.65</v>
      </c>
      <c r="X468">
        <v>2.1</v>
      </c>
      <c r="Y468">
        <v>11.2</v>
      </c>
      <c r="Z468">
        <v>9.8</v>
      </c>
    </row>
    <row r="469" spans="1:26">
      <c r="A469" t="s">
        <v>928</v>
      </c>
      <c r="B469">
        <v>64</v>
      </c>
      <c r="C469" t="s">
        <v>44</v>
      </c>
      <c r="D469" t="s">
        <v>43</v>
      </c>
      <c r="E469" t="s">
        <v>255</v>
      </c>
      <c r="F469" t="s">
        <v>260</v>
      </c>
      <c r="G469" t="s">
        <v>265</v>
      </c>
      <c r="H469" t="s">
        <v>30</v>
      </c>
      <c r="I469" t="s">
        <v>18</v>
      </c>
      <c r="J469" s="7">
        <v>44884</v>
      </c>
      <c r="K469" s="7">
        <v>45370</v>
      </c>
      <c r="L469" s="5">
        <v>100</v>
      </c>
      <c r="M469" t="s">
        <v>150</v>
      </c>
      <c r="N469" t="s">
        <v>467</v>
      </c>
      <c r="O469">
        <v>100</v>
      </c>
      <c r="P469" t="s">
        <v>206</v>
      </c>
      <c r="Q469" t="s">
        <v>28</v>
      </c>
      <c r="R469">
        <v>134</v>
      </c>
      <c r="S469">
        <v>1</v>
      </c>
      <c r="T469" t="s">
        <v>82</v>
      </c>
      <c r="U469" t="s">
        <v>63</v>
      </c>
      <c r="V469">
        <v>4.68</v>
      </c>
      <c r="W469">
        <v>4.97</v>
      </c>
      <c r="X469">
        <v>1.4</v>
      </c>
      <c r="Y469">
        <v>19.7</v>
      </c>
      <c r="Z469">
        <v>9.3</v>
      </c>
    </row>
    <row r="470" spans="1:26">
      <c r="A470" t="s">
        <v>929</v>
      </c>
      <c r="B470">
        <v>81</v>
      </c>
      <c r="C470" t="s">
        <v>44</v>
      </c>
      <c r="D470" t="s">
        <v>41</v>
      </c>
      <c r="E470" t="s">
        <v>259</v>
      </c>
      <c r="F470" t="s">
        <v>150</v>
      </c>
      <c r="G470" t="s">
        <v>312</v>
      </c>
      <c r="H470" t="s">
        <v>30</v>
      </c>
      <c r="I470" t="s">
        <v>16</v>
      </c>
      <c r="J470" s="7">
        <v>44706</v>
      </c>
      <c r="K470" s="7">
        <v>45132</v>
      </c>
      <c r="L470" s="5">
        <v>200</v>
      </c>
      <c r="M470" t="s">
        <v>28</v>
      </c>
      <c r="N470" t="s">
        <v>658</v>
      </c>
      <c r="O470">
        <v>200</v>
      </c>
      <c r="P470" t="s">
        <v>206</v>
      </c>
      <c r="Q470" t="s">
        <v>26</v>
      </c>
      <c r="R470">
        <v>48</v>
      </c>
      <c r="S470">
        <v>1</v>
      </c>
      <c r="T470" t="s">
        <v>78</v>
      </c>
      <c r="U470" t="s">
        <v>61</v>
      </c>
      <c r="V470">
        <v>2.57</v>
      </c>
      <c r="W470">
        <v>4.02</v>
      </c>
      <c r="X470">
        <v>9.3</v>
      </c>
      <c r="Y470">
        <v>23.1</v>
      </c>
      <c r="Z470">
        <v>12.8</v>
      </c>
    </row>
    <row r="471" spans="1:26">
      <c r="A471" t="s">
        <v>930</v>
      </c>
      <c r="B471">
        <v>72</v>
      </c>
      <c r="C471" t="s">
        <v>70</v>
      </c>
      <c r="D471" t="s">
        <v>41</v>
      </c>
      <c r="E471" t="s">
        <v>272</v>
      </c>
      <c r="F471" t="s">
        <v>150</v>
      </c>
      <c r="G471" t="s">
        <v>265</v>
      </c>
      <c r="H471" t="s">
        <v>32</v>
      </c>
      <c r="I471" t="s">
        <v>16</v>
      </c>
      <c r="J471" s="7">
        <v>44366</v>
      </c>
      <c r="K471" s="7">
        <v>44823</v>
      </c>
      <c r="L471" s="5">
        <v>50</v>
      </c>
      <c r="M471" t="s">
        <v>28</v>
      </c>
      <c r="N471" t="s">
        <v>931</v>
      </c>
      <c r="O471">
        <v>50</v>
      </c>
      <c r="P471" t="s">
        <v>211</v>
      </c>
      <c r="Q471" t="s">
        <v>27</v>
      </c>
      <c r="R471">
        <v>145</v>
      </c>
      <c r="S471">
        <v>0</v>
      </c>
      <c r="T471" t="s">
        <v>82</v>
      </c>
      <c r="U471" t="s">
        <v>61</v>
      </c>
      <c r="V471">
        <v>2.43</v>
      </c>
      <c r="W471">
        <v>4.15</v>
      </c>
      <c r="X471">
        <v>3.3</v>
      </c>
      <c r="Y471">
        <v>16.2</v>
      </c>
      <c r="Z471">
        <v>9.1</v>
      </c>
    </row>
    <row r="472" spans="1:26">
      <c r="A472" t="s">
        <v>932</v>
      </c>
      <c r="B472">
        <v>79</v>
      </c>
      <c r="C472" t="s">
        <v>44</v>
      </c>
      <c r="D472" t="s">
        <v>41</v>
      </c>
      <c r="E472" t="s">
        <v>259</v>
      </c>
      <c r="F472" t="s">
        <v>150</v>
      </c>
      <c r="G472" t="s">
        <v>274</v>
      </c>
      <c r="H472" t="s">
        <v>29</v>
      </c>
      <c r="I472" t="s">
        <v>18</v>
      </c>
      <c r="J472" s="7">
        <v>43757</v>
      </c>
      <c r="K472" s="7">
        <v>44093</v>
      </c>
      <c r="L472" s="5">
        <v>200</v>
      </c>
      <c r="M472" t="s">
        <v>150</v>
      </c>
      <c r="N472" t="s">
        <v>503</v>
      </c>
      <c r="O472">
        <v>200</v>
      </c>
      <c r="P472" t="s">
        <v>205</v>
      </c>
      <c r="Q472" t="s">
        <v>25</v>
      </c>
      <c r="R472">
        <v>101</v>
      </c>
      <c r="S472">
        <v>0</v>
      </c>
      <c r="T472" t="s">
        <v>83</v>
      </c>
      <c r="U472" t="s">
        <v>63</v>
      </c>
      <c r="V472">
        <v>3.63</v>
      </c>
      <c r="W472">
        <v>1.96</v>
      </c>
      <c r="X472">
        <v>2.7</v>
      </c>
      <c r="Y472">
        <v>22.5</v>
      </c>
      <c r="Z472">
        <v>4.7</v>
      </c>
    </row>
    <row r="473" spans="1:26">
      <c r="A473" t="s">
        <v>933</v>
      </c>
      <c r="B473">
        <v>56</v>
      </c>
      <c r="C473" t="s">
        <v>70</v>
      </c>
      <c r="D473" t="s">
        <v>39</v>
      </c>
      <c r="E473" t="s">
        <v>311</v>
      </c>
      <c r="F473" t="s">
        <v>150</v>
      </c>
      <c r="G473" t="s">
        <v>349</v>
      </c>
      <c r="H473" t="s">
        <v>34</v>
      </c>
      <c r="I473" t="s">
        <v>19</v>
      </c>
      <c r="J473" s="7">
        <v>44388</v>
      </c>
      <c r="K473" s="7">
        <v>44937</v>
      </c>
      <c r="L473" s="5">
        <v>100</v>
      </c>
      <c r="M473" t="s">
        <v>28</v>
      </c>
      <c r="N473" t="s">
        <v>459</v>
      </c>
      <c r="O473">
        <v>100</v>
      </c>
      <c r="P473" t="s">
        <v>205</v>
      </c>
      <c r="Q473" t="s">
        <v>26</v>
      </c>
      <c r="R473">
        <v>140</v>
      </c>
      <c r="S473">
        <v>0</v>
      </c>
      <c r="T473" t="s">
        <v>80</v>
      </c>
      <c r="U473" t="s">
        <v>61</v>
      </c>
      <c r="V473">
        <v>3.02</v>
      </c>
      <c r="W473">
        <v>1.88</v>
      </c>
      <c r="X473">
        <v>1.4</v>
      </c>
      <c r="Y473">
        <v>6.6</v>
      </c>
      <c r="Z473">
        <v>6</v>
      </c>
    </row>
    <row r="474" spans="1:26">
      <c r="A474" t="s">
        <v>934</v>
      </c>
      <c r="B474">
        <v>58</v>
      </c>
      <c r="C474" t="s">
        <v>71</v>
      </c>
      <c r="D474" t="s">
        <v>39</v>
      </c>
      <c r="E474" t="s">
        <v>150</v>
      </c>
      <c r="F474" t="s">
        <v>264</v>
      </c>
      <c r="G474" t="s">
        <v>322</v>
      </c>
      <c r="H474" t="s">
        <v>34</v>
      </c>
      <c r="I474" t="s">
        <v>20</v>
      </c>
      <c r="J474" s="7">
        <v>43900</v>
      </c>
      <c r="K474" s="7">
        <v>44206</v>
      </c>
      <c r="L474" s="5">
        <v>50</v>
      </c>
      <c r="M474" t="s">
        <v>150</v>
      </c>
      <c r="N474" t="s">
        <v>286</v>
      </c>
      <c r="O474">
        <v>50</v>
      </c>
      <c r="P474" t="s">
        <v>206</v>
      </c>
      <c r="Q474" t="s">
        <v>26</v>
      </c>
      <c r="R474">
        <v>171</v>
      </c>
      <c r="S474">
        <v>1</v>
      </c>
      <c r="T474" t="s">
        <v>80</v>
      </c>
      <c r="U474" t="s">
        <v>63</v>
      </c>
      <c r="V474">
        <v>4.47</v>
      </c>
      <c r="W474">
        <v>2.13</v>
      </c>
      <c r="X474">
        <v>9.6</v>
      </c>
      <c r="Y474">
        <v>16.5</v>
      </c>
      <c r="Z474">
        <v>10.4</v>
      </c>
    </row>
    <row r="475" spans="1:26">
      <c r="A475" t="s">
        <v>935</v>
      </c>
      <c r="B475">
        <v>21</v>
      </c>
      <c r="C475" t="s">
        <v>44</v>
      </c>
      <c r="D475" t="s">
        <v>42</v>
      </c>
      <c r="E475" t="s">
        <v>255</v>
      </c>
      <c r="F475" t="s">
        <v>150</v>
      </c>
      <c r="G475" t="s">
        <v>278</v>
      </c>
      <c r="H475" t="s">
        <v>29</v>
      </c>
      <c r="I475" t="s">
        <v>20</v>
      </c>
      <c r="J475" s="7">
        <v>43623</v>
      </c>
      <c r="K475" s="7">
        <v>43928</v>
      </c>
      <c r="L475" s="5">
        <v>200</v>
      </c>
      <c r="M475" t="s">
        <v>27</v>
      </c>
      <c r="N475" t="s">
        <v>453</v>
      </c>
      <c r="O475">
        <v>200</v>
      </c>
      <c r="P475" t="s">
        <v>206</v>
      </c>
      <c r="Q475" t="s">
        <v>28</v>
      </c>
      <c r="R475">
        <v>143</v>
      </c>
      <c r="S475">
        <v>1</v>
      </c>
      <c r="T475" t="s">
        <v>82</v>
      </c>
      <c r="U475" t="s">
        <v>61</v>
      </c>
      <c r="V475">
        <v>3.32</v>
      </c>
      <c r="W475">
        <v>3.07</v>
      </c>
      <c r="X475">
        <v>7.8</v>
      </c>
      <c r="Y475">
        <v>11.1</v>
      </c>
      <c r="Z475">
        <v>9</v>
      </c>
    </row>
    <row r="476" spans="1:26">
      <c r="A476" t="s">
        <v>936</v>
      </c>
      <c r="B476">
        <v>51</v>
      </c>
      <c r="C476" t="s">
        <v>71</v>
      </c>
      <c r="D476" t="s">
        <v>41</v>
      </c>
      <c r="E476" t="s">
        <v>150</v>
      </c>
      <c r="F476" t="s">
        <v>150</v>
      </c>
      <c r="G476" t="s">
        <v>284</v>
      </c>
      <c r="H476" t="s">
        <v>32</v>
      </c>
      <c r="I476" t="s">
        <v>16</v>
      </c>
      <c r="J476" s="7">
        <v>44168</v>
      </c>
      <c r="K476" s="7">
        <v>44503</v>
      </c>
      <c r="L476" s="5">
        <v>100</v>
      </c>
      <c r="M476" t="s">
        <v>150</v>
      </c>
      <c r="N476" t="s">
        <v>388</v>
      </c>
      <c r="O476">
        <v>100</v>
      </c>
      <c r="P476" t="s">
        <v>205</v>
      </c>
      <c r="Q476" t="s">
        <v>25</v>
      </c>
      <c r="R476">
        <v>48</v>
      </c>
      <c r="S476">
        <v>0</v>
      </c>
      <c r="T476" t="s">
        <v>81</v>
      </c>
      <c r="U476" t="s">
        <v>63</v>
      </c>
      <c r="V476">
        <v>4.58</v>
      </c>
      <c r="W476">
        <v>4.79</v>
      </c>
      <c r="X476">
        <v>9</v>
      </c>
      <c r="Y476">
        <v>13.6</v>
      </c>
      <c r="Z476">
        <v>16.3</v>
      </c>
    </row>
    <row r="477" spans="1:26">
      <c r="A477" t="s">
        <v>937</v>
      </c>
      <c r="B477">
        <v>73</v>
      </c>
      <c r="C477" t="s">
        <v>71</v>
      </c>
      <c r="D477" t="s">
        <v>44</v>
      </c>
      <c r="E477" t="s">
        <v>150</v>
      </c>
      <c r="F477" t="s">
        <v>268</v>
      </c>
      <c r="G477" t="s">
        <v>291</v>
      </c>
      <c r="H477" t="s">
        <v>29</v>
      </c>
      <c r="I477" t="s">
        <v>18</v>
      </c>
      <c r="J477" s="7">
        <v>44117</v>
      </c>
      <c r="K477" s="7">
        <v>44390</v>
      </c>
      <c r="L477" s="5">
        <v>100</v>
      </c>
      <c r="M477" t="s">
        <v>27</v>
      </c>
      <c r="N477" t="s">
        <v>938</v>
      </c>
      <c r="O477">
        <v>100</v>
      </c>
      <c r="P477" t="s">
        <v>206</v>
      </c>
      <c r="Q477" t="s">
        <v>27</v>
      </c>
      <c r="R477">
        <v>102</v>
      </c>
      <c r="S477">
        <v>1</v>
      </c>
      <c r="T477" t="s">
        <v>78</v>
      </c>
      <c r="U477" t="s">
        <v>63</v>
      </c>
      <c r="V477">
        <v>2.91</v>
      </c>
      <c r="W477">
        <v>2.99</v>
      </c>
      <c r="X477">
        <v>2.8</v>
      </c>
      <c r="Y477">
        <v>16.6</v>
      </c>
      <c r="Z477">
        <v>6.2</v>
      </c>
    </row>
    <row r="478" spans="1:26">
      <c r="A478" t="s">
        <v>939</v>
      </c>
      <c r="B478">
        <v>29</v>
      </c>
      <c r="C478" t="s">
        <v>44</v>
      </c>
      <c r="D478" t="s">
        <v>41</v>
      </c>
      <c r="E478" t="s">
        <v>311</v>
      </c>
      <c r="F478" t="s">
        <v>260</v>
      </c>
      <c r="G478" t="s">
        <v>319</v>
      </c>
      <c r="H478" t="s">
        <v>30</v>
      </c>
      <c r="I478" t="s">
        <v>18</v>
      </c>
      <c r="J478" s="7">
        <v>43669</v>
      </c>
      <c r="K478" s="7">
        <v>43974</v>
      </c>
      <c r="L478" s="5">
        <v>200</v>
      </c>
      <c r="M478" t="s">
        <v>25</v>
      </c>
      <c r="N478" t="s">
        <v>662</v>
      </c>
      <c r="O478">
        <v>200</v>
      </c>
      <c r="P478" t="s">
        <v>211</v>
      </c>
      <c r="Q478" t="s">
        <v>25</v>
      </c>
      <c r="R478">
        <v>76</v>
      </c>
      <c r="S478">
        <v>0</v>
      </c>
      <c r="T478" t="s">
        <v>81</v>
      </c>
      <c r="U478" t="s">
        <v>63</v>
      </c>
      <c r="V478">
        <v>2.33</v>
      </c>
      <c r="W478">
        <v>4.42</v>
      </c>
      <c r="X478">
        <v>2.9</v>
      </c>
      <c r="Y478">
        <v>7.3</v>
      </c>
      <c r="Z478">
        <v>4.2</v>
      </c>
    </row>
    <row r="479" spans="1:26">
      <c r="A479" t="s">
        <v>940</v>
      </c>
      <c r="B479">
        <v>55</v>
      </c>
      <c r="C479" t="s">
        <v>44</v>
      </c>
      <c r="D479" t="s">
        <v>43</v>
      </c>
      <c r="E479" t="s">
        <v>272</v>
      </c>
      <c r="F479" t="s">
        <v>150</v>
      </c>
      <c r="G479" t="s">
        <v>297</v>
      </c>
      <c r="H479" t="s">
        <v>32</v>
      </c>
      <c r="I479" t="s">
        <v>20</v>
      </c>
      <c r="J479" s="7">
        <v>44235</v>
      </c>
      <c r="K479" s="7">
        <v>44447</v>
      </c>
      <c r="L479" s="5">
        <v>150</v>
      </c>
      <c r="M479" t="s">
        <v>27</v>
      </c>
      <c r="N479" t="s">
        <v>941</v>
      </c>
      <c r="O479">
        <v>150</v>
      </c>
      <c r="P479" t="s">
        <v>205</v>
      </c>
      <c r="Q479" t="s">
        <v>27</v>
      </c>
      <c r="R479">
        <v>59</v>
      </c>
      <c r="S479">
        <v>0</v>
      </c>
      <c r="T479" t="s">
        <v>78</v>
      </c>
      <c r="U479" t="s">
        <v>61</v>
      </c>
      <c r="V479">
        <v>4.76</v>
      </c>
      <c r="W479">
        <v>3.03</v>
      </c>
      <c r="X479">
        <v>4.7</v>
      </c>
      <c r="Y479">
        <v>20.6</v>
      </c>
      <c r="Z479">
        <v>17.2</v>
      </c>
    </row>
    <row r="480" spans="1:26">
      <c r="A480" t="s">
        <v>942</v>
      </c>
      <c r="B480">
        <v>58</v>
      </c>
      <c r="C480" t="s">
        <v>44</v>
      </c>
      <c r="D480" t="s">
        <v>42</v>
      </c>
      <c r="E480" t="s">
        <v>150</v>
      </c>
      <c r="F480" t="s">
        <v>150</v>
      </c>
      <c r="G480" t="s">
        <v>281</v>
      </c>
      <c r="H480" t="s">
        <v>34</v>
      </c>
      <c r="I480" t="s">
        <v>20</v>
      </c>
      <c r="J480" s="7">
        <v>45129</v>
      </c>
      <c r="K480" s="7">
        <v>45404</v>
      </c>
      <c r="L480" s="5">
        <v>50</v>
      </c>
      <c r="M480" t="s">
        <v>150</v>
      </c>
      <c r="N480" t="s">
        <v>927</v>
      </c>
      <c r="O480">
        <v>50</v>
      </c>
      <c r="P480" t="s">
        <v>206</v>
      </c>
      <c r="Q480" t="s">
        <v>25</v>
      </c>
      <c r="R480">
        <v>112</v>
      </c>
      <c r="S480">
        <v>1</v>
      </c>
      <c r="T480" t="s">
        <v>81</v>
      </c>
      <c r="U480" t="s">
        <v>61</v>
      </c>
      <c r="V480">
        <v>2.33</v>
      </c>
      <c r="W480">
        <v>3.77</v>
      </c>
      <c r="X480">
        <v>7.9</v>
      </c>
      <c r="Y480">
        <v>17.8</v>
      </c>
      <c r="Z480">
        <v>5.6</v>
      </c>
    </row>
    <row r="481" spans="1:26">
      <c r="A481" t="s">
        <v>943</v>
      </c>
      <c r="B481">
        <v>70</v>
      </c>
      <c r="C481" t="s">
        <v>70</v>
      </c>
      <c r="D481" t="s">
        <v>43</v>
      </c>
      <c r="E481" t="s">
        <v>272</v>
      </c>
      <c r="F481" t="s">
        <v>277</v>
      </c>
      <c r="G481" t="s">
        <v>322</v>
      </c>
      <c r="H481" t="s">
        <v>34</v>
      </c>
      <c r="I481" t="s">
        <v>18</v>
      </c>
      <c r="J481" s="7">
        <v>44527</v>
      </c>
      <c r="K481" s="7">
        <v>44708</v>
      </c>
      <c r="L481" s="5">
        <v>150</v>
      </c>
      <c r="M481" t="s">
        <v>27</v>
      </c>
      <c r="N481" t="s">
        <v>461</v>
      </c>
      <c r="O481">
        <v>150</v>
      </c>
      <c r="P481" t="s">
        <v>206</v>
      </c>
      <c r="Q481" t="s">
        <v>25</v>
      </c>
      <c r="R481">
        <v>82</v>
      </c>
      <c r="S481">
        <v>1</v>
      </c>
      <c r="T481" t="s">
        <v>83</v>
      </c>
      <c r="U481" t="s">
        <v>61</v>
      </c>
      <c r="V481">
        <v>4.5</v>
      </c>
      <c r="W481">
        <v>3.16</v>
      </c>
      <c r="X481">
        <v>3.5</v>
      </c>
      <c r="Y481">
        <v>13.7</v>
      </c>
      <c r="Z481">
        <v>3.6</v>
      </c>
    </row>
    <row r="482" spans="1:26">
      <c r="A482" t="s">
        <v>944</v>
      </c>
      <c r="B482">
        <v>34</v>
      </c>
      <c r="C482" t="s">
        <v>44</v>
      </c>
      <c r="D482" t="s">
        <v>44</v>
      </c>
      <c r="E482" t="s">
        <v>311</v>
      </c>
      <c r="F482" t="s">
        <v>150</v>
      </c>
      <c r="G482" t="s">
        <v>312</v>
      </c>
      <c r="H482" t="s">
        <v>34</v>
      </c>
      <c r="I482" t="s">
        <v>16</v>
      </c>
      <c r="J482" s="7">
        <v>44372</v>
      </c>
      <c r="K482" s="7">
        <v>44920</v>
      </c>
      <c r="L482" s="5">
        <v>50</v>
      </c>
      <c r="M482" t="s">
        <v>28</v>
      </c>
      <c r="N482" t="s">
        <v>330</v>
      </c>
      <c r="O482">
        <v>50</v>
      </c>
      <c r="P482" t="s">
        <v>206</v>
      </c>
      <c r="Q482" t="s">
        <v>26</v>
      </c>
      <c r="R482">
        <v>167</v>
      </c>
      <c r="S482">
        <v>1</v>
      </c>
      <c r="T482" t="s">
        <v>82</v>
      </c>
      <c r="U482" t="s">
        <v>63</v>
      </c>
      <c r="V482">
        <v>1.51</v>
      </c>
      <c r="W482">
        <v>4.06</v>
      </c>
      <c r="X482">
        <v>1</v>
      </c>
      <c r="Y482">
        <v>13.5</v>
      </c>
      <c r="Z482">
        <v>11.9</v>
      </c>
    </row>
    <row r="483" spans="1:26">
      <c r="A483" t="s">
        <v>945</v>
      </c>
      <c r="B483">
        <v>55</v>
      </c>
      <c r="C483" t="s">
        <v>71</v>
      </c>
      <c r="D483" t="s">
        <v>39</v>
      </c>
      <c r="E483" t="s">
        <v>150</v>
      </c>
      <c r="F483" t="s">
        <v>268</v>
      </c>
      <c r="G483" t="s">
        <v>265</v>
      </c>
      <c r="H483" t="s">
        <v>29</v>
      </c>
      <c r="I483" t="s">
        <v>16</v>
      </c>
      <c r="J483" s="7">
        <v>43712</v>
      </c>
      <c r="K483" s="7">
        <v>44139</v>
      </c>
      <c r="L483" s="5">
        <v>200</v>
      </c>
      <c r="M483" t="s">
        <v>28</v>
      </c>
      <c r="N483" t="s">
        <v>435</v>
      </c>
      <c r="O483">
        <v>200</v>
      </c>
      <c r="P483" t="s">
        <v>211</v>
      </c>
      <c r="Q483" t="s">
        <v>28</v>
      </c>
      <c r="R483">
        <v>88</v>
      </c>
      <c r="S483">
        <v>0</v>
      </c>
      <c r="T483" t="s">
        <v>78</v>
      </c>
      <c r="U483" t="s">
        <v>63</v>
      </c>
      <c r="V483">
        <v>1.22</v>
      </c>
      <c r="W483">
        <v>4.89</v>
      </c>
      <c r="X483">
        <v>3</v>
      </c>
      <c r="Y483">
        <v>11.5</v>
      </c>
      <c r="Z483">
        <v>8.2</v>
      </c>
    </row>
    <row r="484" spans="1:26">
      <c r="A484" t="s">
        <v>946</v>
      </c>
      <c r="B484">
        <v>52</v>
      </c>
      <c r="C484" t="s">
        <v>44</v>
      </c>
      <c r="D484" t="s">
        <v>42</v>
      </c>
      <c r="E484" t="s">
        <v>272</v>
      </c>
      <c r="F484" t="s">
        <v>150</v>
      </c>
      <c r="G484" t="s">
        <v>281</v>
      </c>
      <c r="H484" t="s">
        <v>32</v>
      </c>
      <c r="I484" t="s">
        <v>16</v>
      </c>
      <c r="J484" s="7">
        <v>43513</v>
      </c>
      <c r="K484" s="7">
        <v>44029</v>
      </c>
      <c r="L484" s="5">
        <v>200</v>
      </c>
      <c r="M484" t="s">
        <v>28</v>
      </c>
      <c r="N484" t="s">
        <v>573</v>
      </c>
      <c r="O484">
        <v>200</v>
      </c>
      <c r="P484" t="s">
        <v>205</v>
      </c>
      <c r="Q484" t="s">
        <v>25</v>
      </c>
      <c r="R484">
        <v>68</v>
      </c>
      <c r="S484">
        <v>0</v>
      </c>
      <c r="T484" t="s">
        <v>83</v>
      </c>
      <c r="U484" t="s">
        <v>61</v>
      </c>
      <c r="V484">
        <v>1.92</v>
      </c>
      <c r="W484">
        <v>1.01</v>
      </c>
      <c r="X484">
        <v>7.6</v>
      </c>
      <c r="Y484">
        <v>23.4</v>
      </c>
      <c r="Z484">
        <v>6.8</v>
      </c>
    </row>
    <row r="485" spans="1:26">
      <c r="A485" t="s">
        <v>947</v>
      </c>
      <c r="B485">
        <v>42</v>
      </c>
      <c r="C485" t="s">
        <v>44</v>
      </c>
      <c r="D485" t="s">
        <v>39</v>
      </c>
      <c r="E485" t="s">
        <v>150</v>
      </c>
      <c r="F485" t="s">
        <v>277</v>
      </c>
      <c r="G485" t="s">
        <v>362</v>
      </c>
      <c r="H485" t="s">
        <v>32</v>
      </c>
      <c r="I485" t="s">
        <v>20</v>
      </c>
      <c r="J485" s="7">
        <v>43870</v>
      </c>
      <c r="K485" s="7">
        <v>44356</v>
      </c>
      <c r="L485" s="5">
        <v>200</v>
      </c>
      <c r="M485" t="s">
        <v>150</v>
      </c>
      <c r="N485" t="s">
        <v>376</v>
      </c>
      <c r="O485">
        <v>200</v>
      </c>
      <c r="P485" t="s">
        <v>206</v>
      </c>
      <c r="Q485" t="s">
        <v>27</v>
      </c>
      <c r="R485">
        <v>173</v>
      </c>
      <c r="S485">
        <v>1</v>
      </c>
      <c r="T485" t="s">
        <v>81</v>
      </c>
      <c r="U485" t="s">
        <v>61</v>
      </c>
      <c r="V485">
        <v>3.65</v>
      </c>
      <c r="W485">
        <v>3.97</v>
      </c>
      <c r="X485">
        <v>8.6</v>
      </c>
      <c r="Y485">
        <v>13.6</v>
      </c>
      <c r="Z485">
        <v>8.1</v>
      </c>
    </row>
    <row r="486" spans="1:26">
      <c r="A486" t="s">
        <v>948</v>
      </c>
      <c r="B486">
        <v>54</v>
      </c>
      <c r="C486" t="s">
        <v>44</v>
      </c>
      <c r="D486" t="s">
        <v>44</v>
      </c>
      <c r="E486" t="s">
        <v>255</v>
      </c>
      <c r="F486" t="s">
        <v>277</v>
      </c>
      <c r="G486" t="s">
        <v>269</v>
      </c>
      <c r="H486" t="s">
        <v>34</v>
      </c>
      <c r="I486" t="s">
        <v>19</v>
      </c>
      <c r="J486" s="7">
        <v>45264</v>
      </c>
      <c r="K486" s="7">
        <v>45661</v>
      </c>
      <c r="L486" s="5">
        <v>100</v>
      </c>
      <c r="M486" t="s">
        <v>28</v>
      </c>
      <c r="N486" t="s">
        <v>554</v>
      </c>
      <c r="O486">
        <v>100</v>
      </c>
      <c r="P486" t="s">
        <v>211</v>
      </c>
      <c r="Q486" t="s">
        <v>27</v>
      </c>
      <c r="R486">
        <v>174</v>
      </c>
      <c r="S486">
        <v>0</v>
      </c>
      <c r="T486" t="s">
        <v>83</v>
      </c>
      <c r="U486" t="s">
        <v>61</v>
      </c>
      <c r="V486">
        <v>2.3</v>
      </c>
      <c r="W486">
        <v>3.85</v>
      </c>
      <c r="X486">
        <v>8.4</v>
      </c>
      <c r="Y486">
        <v>9.3</v>
      </c>
      <c r="Z486">
        <v>9.3</v>
      </c>
    </row>
    <row r="487" spans="1:26">
      <c r="A487" t="s">
        <v>949</v>
      </c>
      <c r="B487">
        <v>60</v>
      </c>
      <c r="C487" t="s">
        <v>71</v>
      </c>
      <c r="D487" t="s">
        <v>42</v>
      </c>
      <c r="E487" t="s">
        <v>311</v>
      </c>
      <c r="F487" t="s">
        <v>150</v>
      </c>
      <c r="G487" t="s">
        <v>278</v>
      </c>
      <c r="H487" t="s">
        <v>34</v>
      </c>
      <c r="I487" t="s">
        <v>18</v>
      </c>
      <c r="J487" s="7">
        <v>43537</v>
      </c>
      <c r="K487" s="7">
        <v>43995</v>
      </c>
      <c r="L487" s="5">
        <v>200</v>
      </c>
      <c r="M487" t="s">
        <v>25</v>
      </c>
      <c r="N487" t="s">
        <v>490</v>
      </c>
      <c r="O487">
        <v>200</v>
      </c>
      <c r="P487" t="s">
        <v>211</v>
      </c>
      <c r="Q487" t="s">
        <v>150</v>
      </c>
      <c r="R487">
        <v>135</v>
      </c>
      <c r="S487">
        <v>0</v>
      </c>
      <c r="T487" t="s">
        <v>81</v>
      </c>
      <c r="U487" t="s">
        <v>61</v>
      </c>
      <c r="V487">
        <v>4.61</v>
      </c>
      <c r="W487">
        <v>4.23</v>
      </c>
      <c r="X487">
        <v>9.9</v>
      </c>
      <c r="Y487">
        <v>19.6</v>
      </c>
      <c r="Z487">
        <v>9.7</v>
      </c>
    </row>
    <row r="488" spans="1:26">
      <c r="A488" t="s">
        <v>950</v>
      </c>
      <c r="B488">
        <v>37</v>
      </c>
      <c r="C488" t="s">
        <v>71</v>
      </c>
      <c r="D488" t="s">
        <v>39</v>
      </c>
      <c r="E488" t="s">
        <v>255</v>
      </c>
      <c r="F488" t="s">
        <v>150</v>
      </c>
      <c r="G488" t="s">
        <v>312</v>
      </c>
      <c r="H488" t="s">
        <v>32</v>
      </c>
      <c r="I488" t="s">
        <v>18</v>
      </c>
      <c r="J488" s="7">
        <v>45156</v>
      </c>
      <c r="K488" s="7">
        <v>45553</v>
      </c>
      <c r="L488" s="5">
        <v>150</v>
      </c>
      <c r="M488" t="s">
        <v>26</v>
      </c>
      <c r="N488" t="s">
        <v>831</v>
      </c>
      <c r="O488">
        <v>150</v>
      </c>
      <c r="P488" t="s">
        <v>211</v>
      </c>
      <c r="Q488" t="s">
        <v>25</v>
      </c>
      <c r="R488">
        <v>172</v>
      </c>
      <c r="S488">
        <v>0</v>
      </c>
      <c r="T488" t="s">
        <v>83</v>
      </c>
      <c r="U488" t="s">
        <v>63</v>
      </c>
      <c r="V488">
        <v>3.36</v>
      </c>
      <c r="W488">
        <v>3.64</v>
      </c>
      <c r="X488">
        <v>1.7</v>
      </c>
      <c r="Y488">
        <v>15.8</v>
      </c>
      <c r="Z488">
        <v>15.1</v>
      </c>
    </row>
    <row r="489" spans="1:26">
      <c r="A489" t="s">
        <v>951</v>
      </c>
      <c r="B489">
        <v>72</v>
      </c>
      <c r="C489" t="s">
        <v>44</v>
      </c>
      <c r="D489" t="s">
        <v>42</v>
      </c>
      <c r="E489" t="s">
        <v>272</v>
      </c>
      <c r="F489" t="s">
        <v>277</v>
      </c>
      <c r="G489" t="s">
        <v>288</v>
      </c>
      <c r="H489" t="s">
        <v>29</v>
      </c>
      <c r="I489" t="s">
        <v>18</v>
      </c>
      <c r="J489" s="7">
        <v>44071</v>
      </c>
      <c r="K489" s="7">
        <v>44283</v>
      </c>
      <c r="L489" s="5">
        <v>50</v>
      </c>
      <c r="M489" t="s">
        <v>27</v>
      </c>
      <c r="N489" t="s">
        <v>356</v>
      </c>
      <c r="O489">
        <v>50</v>
      </c>
      <c r="P489" t="s">
        <v>205</v>
      </c>
      <c r="Q489" t="s">
        <v>27</v>
      </c>
      <c r="R489">
        <v>65</v>
      </c>
      <c r="S489">
        <v>0</v>
      </c>
      <c r="T489" t="s">
        <v>80</v>
      </c>
      <c r="U489" t="s">
        <v>61</v>
      </c>
      <c r="V489">
        <v>1.67</v>
      </c>
      <c r="W489">
        <v>4.12</v>
      </c>
      <c r="X489">
        <v>6.3</v>
      </c>
      <c r="Y489">
        <v>23.1</v>
      </c>
      <c r="Z489">
        <v>3.7</v>
      </c>
    </row>
    <row r="490" spans="1:26">
      <c r="A490" t="s">
        <v>952</v>
      </c>
      <c r="B490">
        <v>69</v>
      </c>
      <c r="C490" t="s">
        <v>71</v>
      </c>
      <c r="D490" t="s">
        <v>39</v>
      </c>
      <c r="E490" t="s">
        <v>311</v>
      </c>
      <c r="F490" t="s">
        <v>264</v>
      </c>
      <c r="G490" t="s">
        <v>322</v>
      </c>
      <c r="H490" t="s">
        <v>32</v>
      </c>
      <c r="I490" t="s">
        <v>19</v>
      </c>
      <c r="J490" s="7">
        <v>45236</v>
      </c>
      <c r="K490" s="7">
        <v>45479</v>
      </c>
      <c r="L490" s="5">
        <v>150</v>
      </c>
      <c r="M490" t="s">
        <v>26</v>
      </c>
      <c r="N490" t="s">
        <v>649</v>
      </c>
      <c r="O490">
        <v>150</v>
      </c>
      <c r="P490" t="s">
        <v>211</v>
      </c>
      <c r="Q490" t="s">
        <v>27</v>
      </c>
      <c r="R490">
        <v>148</v>
      </c>
      <c r="S490">
        <v>0</v>
      </c>
      <c r="T490" t="s">
        <v>78</v>
      </c>
      <c r="U490" t="s">
        <v>61</v>
      </c>
      <c r="V490">
        <v>2.06</v>
      </c>
      <c r="W490">
        <v>3.41</v>
      </c>
      <c r="X490">
        <v>3.7</v>
      </c>
      <c r="Y490">
        <v>18.9</v>
      </c>
      <c r="Z490">
        <v>15.9</v>
      </c>
    </row>
    <row r="491" spans="1:26">
      <c r="A491" t="s">
        <v>953</v>
      </c>
      <c r="B491">
        <v>35</v>
      </c>
      <c r="C491" t="s">
        <v>71</v>
      </c>
      <c r="D491" t="s">
        <v>44</v>
      </c>
      <c r="E491" t="s">
        <v>272</v>
      </c>
      <c r="F491" t="s">
        <v>260</v>
      </c>
      <c r="G491" t="s">
        <v>288</v>
      </c>
      <c r="H491" t="s">
        <v>30</v>
      </c>
      <c r="I491" t="s">
        <v>20</v>
      </c>
      <c r="J491" s="7">
        <v>43475</v>
      </c>
      <c r="K491" s="7">
        <v>43992</v>
      </c>
      <c r="L491" s="5">
        <v>100</v>
      </c>
      <c r="M491" t="s">
        <v>28</v>
      </c>
      <c r="N491" t="s">
        <v>330</v>
      </c>
      <c r="O491">
        <v>100</v>
      </c>
      <c r="P491" t="s">
        <v>211</v>
      </c>
      <c r="Q491" t="s">
        <v>150</v>
      </c>
      <c r="R491">
        <v>54</v>
      </c>
      <c r="S491">
        <v>0</v>
      </c>
      <c r="T491" t="s">
        <v>83</v>
      </c>
      <c r="U491" t="s">
        <v>61</v>
      </c>
      <c r="V491">
        <v>1.41</v>
      </c>
      <c r="W491">
        <v>3.06</v>
      </c>
      <c r="X491">
        <v>5.6</v>
      </c>
      <c r="Y491">
        <v>12.6</v>
      </c>
      <c r="Z491">
        <v>18.9</v>
      </c>
    </row>
    <row r="492" spans="1:26">
      <c r="A492" t="s">
        <v>954</v>
      </c>
      <c r="B492">
        <v>38</v>
      </c>
      <c r="C492" t="s">
        <v>71</v>
      </c>
      <c r="D492" t="s">
        <v>39</v>
      </c>
      <c r="E492" t="s">
        <v>255</v>
      </c>
      <c r="F492" t="s">
        <v>150</v>
      </c>
      <c r="G492" t="s">
        <v>327</v>
      </c>
      <c r="H492" t="s">
        <v>29</v>
      </c>
      <c r="I492" t="s">
        <v>18</v>
      </c>
      <c r="J492" s="7">
        <v>44343</v>
      </c>
      <c r="K492" s="7">
        <v>44708</v>
      </c>
      <c r="L492" s="5">
        <v>150</v>
      </c>
      <c r="M492" t="s">
        <v>25</v>
      </c>
      <c r="N492" t="s">
        <v>606</v>
      </c>
      <c r="O492">
        <v>150</v>
      </c>
      <c r="P492" t="s">
        <v>205</v>
      </c>
      <c r="Q492" t="s">
        <v>25</v>
      </c>
      <c r="R492">
        <v>81</v>
      </c>
      <c r="S492">
        <v>0</v>
      </c>
      <c r="T492" t="s">
        <v>83</v>
      </c>
      <c r="U492" t="s">
        <v>63</v>
      </c>
      <c r="V492">
        <v>4.31</v>
      </c>
      <c r="W492">
        <v>3.79</v>
      </c>
      <c r="X492">
        <v>7.4</v>
      </c>
      <c r="Y492">
        <v>14.3</v>
      </c>
      <c r="Z492">
        <v>18.7</v>
      </c>
    </row>
    <row r="493" spans="1:26">
      <c r="A493" t="s">
        <v>955</v>
      </c>
      <c r="B493">
        <v>31</v>
      </c>
      <c r="C493" t="s">
        <v>44</v>
      </c>
      <c r="D493" t="s">
        <v>41</v>
      </c>
      <c r="E493" t="s">
        <v>150</v>
      </c>
      <c r="F493" t="s">
        <v>268</v>
      </c>
      <c r="G493" t="s">
        <v>284</v>
      </c>
      <c r="H493" t="s">
        <v>30</v>
      </c>
      <c r="I493" t="s">
        <v>20</v>
      </c>
      <c r="J493" s="7">
        <v>44494</v>
      </c>
      <c r="K493" s="7">
        <v>44951</v>
      </c>
      <c r="L493" s="5">
        <v>150</v>
      </c>
      <c r="M493" t="s">
        <v>25</v>
      </c>
      <c r="N493" t="s">
        <v>664</v>
      </c>
      <c r="O493">
        <v>150</v>
      </c>
      <c r="P493" t="s">
        <v>206</v>
      </c>
      <c r="Q493" t="s">
        <v>26</v>
      </c>
      <c r="R493">
        <v>85</v>
      </c>
      <c r="S493">
        <v>1</v>
      </c>
      <c r="T493" t="s">
        <v>83</v>
      </c>
      <c r="U493" t="s">
        <v>63</v>
      </c>
      <c r="V493">
        <v>3.78</v>
      </c>
      <c r="W493">
        <v>3.92</v>
      </c>
      <c r="X493">
        <v>8.8</v>
      </c>
      <c r="Y493">
        <v>10.9</v>
      </c>
      <c r="Z493">
        <v>16.7</v>
      </c>
    </row>
    <row r="494" spans="1:26">
      <c r="A494" t="s">
        <v>956</v>
      </c>
      <c r="B494">
        <v>36</v>
      </c>
      <c r="C494" t="s">
        <v>71</v>
      </c>
      <c r="D494" t="s">
        <v>43</v>
      </c>
      <c r="E494" t="s">
        <v>311</v>
      </c>
      <c r="F494" t="s">
        <v>277</v>
      </c>
      <c r="G494" t="s">
        <v>281</v>
      </c>
      <c r="H494" t="s">
        <v>34</v>
      </c>
      <c r="I494" t="s">
        <v>20</v>
      </c>
      <c r="J494" s="7">
        <v>44722</v>
      </c>
      <c r="K494" s="7">
        <v>45148</v>
      </c>
      <c r="L494" s="5">
        <v>50</v>
      </c>
      <c r="M494" t="s">
        <v>25</v>
      </c>
      <c r="N494" t="s">
        <v>876</v>
      </c>
      <c r="O494">
        <v>50</v>
      </c>
      <c r="P494" t="s">
        <v>211</v>
      </c>
      <c r="Q494" t="s">
        <v>27</v>
      </c>
      <c r="R494">
        <v>151</v>
      </c>
      <c r="S494">
        <v>0</v>
      </c>
      <c r="T494" t="s">
        <v>81</v>
      </c>
      <c r="U494" t="s">
        <v>61</v>
      </c>
      <c r="V494">
        <v>1.78</v>
      </c>
      <c r="W494">
        <v>2.38</v>
      </c>
      <c r="X494">
        <v>4</v>
      </c>
      <c r="Y494">
        <v>23.6</v>
      </c>
      <c r="Z494">
        <v>17.6</v>
      </c>
    </row>
    <row r="495" spans="1:26">
      <c r="A495" t="s">
        <v>957</v>
      </c>
      <c r="B495">
        <v>84</v>
      </c>
      <c r="C495" t="s">
        <v>70</v>
      </c>
      <c r="D495" t="s">
        <v>44</v>
      </c>
      <c r="E495" t="s">
        <v>311</v>
      </c>
      <c r="F495" t="s">
        <v>150</v>
      </c>
      <c r="G495" t="s">
        <v>278</v>
      </c>
      <c r="H495" t="s">
        <v>30</v>
      </c>
      <c r="I495" t="s">
        <v>19</v>
      </c>
      <c r="J495" s="7">
        <v>44030</v>
      </c>
      <c r="K495" s="7">
        <v>44426</v>
      </c>
      <c r="L495" s="5">
        <v>200</v>
      </c>
      <c r="M495" t="s">
        <v>150</v>
      </c>
      <c r="N495" t="s">
        <v>913</v>
      </c>
      <c r="O495">
        <v>200</v>
      </c>
      <c r="P495" t="s">
        <v>205</v>
      </c>
      <c r="Q495" t="s">
        <v>150</v>
      </c>
      <c r="R495">
        <v>75</v>
      </c>
      <c r="S495">
        <v>0</v>
      </c>
      <c r="T495" t="s">
        <v>83</v>
      </c>
      <c r="U495" t="s">
        <v>61</v>
      </c>
      <c r="V495">
        <v>3.8</v>
      </c>
      <c r="W495">
        <v>3.91</v>
      </c>
      <c r="X495">
        <v>6.1</v>
      </c>
      <c r="Y495">
        <v>23</v>
      </c>
      <c r="Z495">
        <v>11.4</v>
      </c>
    </row>
    <row r="496" spans="1:26">
      <c r="A496" t="s">
        <v>958</v>
      </c>
      <c r="B496">
        <v>77</v>
      </c>
      <c r="C496" t="s">
        <v>44</v>
      </c>
      <c r="D496" t="s">
        <v>39</v>
      </c>
      <c r="E496" t="s">
        <v>272</v>
      </c>
      <c r="F496" t="s">
        <v>268</v>
      </c>
      <c r="G496" t="s">
        <v>278</v>
      </c>
      <c r="H496" t="s">
        <v>34</v>
      </c>
      <c r="I496" t="s">
        <v>19</v>
      </c>
      <c r="J496" s="7">
        <v>44166</v>
      </c>
      <c r="K496" s="7">
        <v>44440</v>
      </c>
      <c r="L496" s="5">
        <v>200</v>
      </c>
      <c r="M496" t="s">
        <v>25</v>
      </c>
      <c r="N496" t="s">
        <v>262</v>
      </c>
      <c r="O496">
        <v>200</v>
      </c>
      <c r="P496" t="s">
        <v>205</v>
      </c>
      <c r="Q496" t="s">
        <v>150</v>
      </c>
      <c r="R496">
        <v>114</v>
      </c>
      <c r="S496">
        <v>0</v>
      </c>
      <c r="T496" t="s">
        <v>83</v>
      </c>
      <c r="U496" t="s">
        <v>61</v>
      </c>
      <c r="V496">
        <v>2.52</v>
      </c>
      <c r="W496">
        <v>1.65</v>
      </c>
      <c r="X496">
        <v>8.1</v>
      </c>
      <c r="Y496">
        <v>19.2</v>
      </c>
      <c r="Z496">
        <v>9.5</v>
      </c>
    </row>
    <row r="497" spans="1:26">
      <c r="A497" t="s">
        <v>959</v>
      </c>
      <c r="B497">
        <v>50</v>
      </c>
      <c r="C497" t="s">
        <v>44</v>
      </c>
      <c r="D497" t="s">
        <v>42</v>
      </c>
      <c r="E497" t="s">
        <v>255</v>
      </c>
      <c r="F497" t="s">
        <v>264</v>
      </c>
      <c r="G497" t="s">
        <v>269</v>
      </c>
      <c r="H497" t="s">
        <v>34</v>
      </c>
      <c r="I497" t="s">
        <v>16</v>
      </c>
      <c r="J497" s="7">
        <v>44337</v>
      </c>
      <c r="K497" s="7">
        <v>44521</v>
      </c>
      <c r="L497" s="5">
        <v>50</v>
      </c>
      <c r="M497" t="s">
        <v>27</v>
      </c>
      <c r="N497" t="s">
        <v>779</v>
      </c>
      <c r="O497">
        <v>50</v>
      </c>
      <c r="P497" t="s">
        <v>211</v>
      </c>
      <c r="Q497" t="s">
        <v>25</v>
      </c>
      <c r="R497">
        <v>56</v>
      </c>
      <c r="S497">
        <v>0</v>
      </c>
      <c r="T497" t="s">
        <v>83</v>
      </c>
      <c r="U497" t="s">
        <v>61</v>
      </c>
      <c r="V497">
        <v>1.1</v>
      </c>
      <c r="W497">
        <v>4.36</v>
      </c>
      <c r="X497">
        <v>1.1</v>
      </c>
      <c r="Y497">
        <v>18.7</v>
      </c>
      <c r="Z497">
        <v>19.5</v>
      </c>
    </row>
    <row r="498" spans="1:26">
      <c r="A498" t="s">
        <v>960</v>
      </c>
      <c r="B498">
        <v>21</v>
      </c>
      <c r="C498" t="s">
        <v>44</v>
      </c>
      <c r="D498" t="s">
        <v>41</v>
      </c>
      <c r="E498" t="s">
        <v>259</v>
      </c>
      <c r="F498" t="s">
        <v>150</v>
      </c>
      <c r="G498" t="s">
        <v>281</v>
      </c>
      <c r="H498" t="s">
        <v>29</v>
      </c>
      <c r="I498" t="s">
        <v>20</v>
      </c>
      <c r="J498" s="7">
        <v>43480</v>
      </c>
      <c r="K498" s="7">
        <v>43966</v>
      </c>
      <c r="L498" s="5">
        <v>50</v>
      </c>
      <c r="M498" t="s">
        <v>28</v>
      </c>
      <c r="N498" t="s">
        <v>475</v>
      </c>
      <c r="O498">
        <v>50</v>
      </c>
      <c r="P498" t="s">
        <v>205</v>
      </c>
      <c r="Q498" t="s">
        <v>25</v>
      </c>
      <c r="R498">
        <v>34</v>
      </c>
      <c r="S498">
        <v>0</v>
      </c>
      <c r="T498" t="s">
        <v>81</v>
      </c>
      <c r="U498" t="s">
        <v>61</v>
      </c>
      <c r="V498">
        <v>2.75</v>
      </c>
      <c r="W498">
        <v>1.94</v>
      </c>
      <c r="X498">
        <v>7.3</v>
      </c>
      <c r="Y498">
        <v>20.7</v>
      </c>
      <c r="Z498">
        <v>12.3</v>
      </c>
    </row>
    <row r="499" spans="1:26">
      <c r="A499" t="s">
        <v>961</v>
      </c>
      <c r="B499">
        <v>39</v>
      </c>
      <c r="C499" t="s">
        <v>44</v>
      </c>
      <c r="D499" t="s">
        <v>39</v>
      </c>
      <c r="E499" t="s">
        <v>255</v>
      </c>
      <c r="F499" t="s">
        <v>260</v>
      </c>
      <c r="G499" t="s">
        <v>261</v>
      </c>
      <c r="H499" t="s">
        <v>29</v>
      </c>
      <c r="I499" t="s">
        <v>16</v>
      </c>
      <c r="J499" s="7">
        <v>44079</v>
      </c>
      <c r="K499" s="7">
        <v>44597</v>
      </c>
      <c r="L499" s="5">
        <v>150</v>
      </c>
      <c r="M499" t="s">
        <v>26</v>
      </c>
      <c r="N499" t="s">
        <v>962</v>
      </c>
      <c r="O499">
        <v>150</v>
      </c>
      <c r="P499" t="s">
        <v>206</v>
      </c>
      <c r="Q499" t="s">
        <v>150</v>
      </c>
      <c r="R499">
        <v>80</v>
      </c>
      <c r="S499">
        <v>1</v>
      </c>
      <c r="T499" t="s">
        <v>80</v>
      </c>
      <c r="U499" t="s">
        <v>61</v>
      </c>
      <c r="V499">
        <v>4.87</v>
      </c>
      <c r="W499">
        <v>1.21</v>
      </c>
      <c r="X499">
        <v>5.5</v>
      </c>
      <c r="Y499">
        <v>18.9</v>
      </c>
      <c r="Z499">
        <v>17.7</v>
      </c>
    </row>
    <row r="500" spans="1:26">
      <c r="A500" t="s">
        <v>963</v>
      </c>
      <c r="B500">
        <v>40</v>
      </c>
      <c r="C500" t="s">
        <v>44</v>
      </c>
      <c r="D500" t="s">
        <v>42</v>
      </c>
      <c r="E500" t="s">
        <v>150</v>
      </c>
      <c r="F500" t="s">
        <v>264</v>
      </c>
      <c r="G500" t="s">
        <v>284</v>
      </c>
      <c r="H500" t="s">
        <v>32</v>
      </c>
      <c r="I500" t="s">
        <v>20</v>
      </c>
      <c r="J500" s="7">
        <v>45263</v>
      </c>
      <c r="K500" s="7">
        <v>45719</v>
      </c>
      <c r="L500" s="5">
        <v>200</v>
      </c>
      <c r="M500" t="s">
        <v>28</v>
      </c>
      <c r="N500" t="s">
        <v>376</v>
      </c>
      <c r="O500">
        <v>200</v>
      </c>
      <c r="P500" t="s">
        <v>206</v>
      </c>
      <c r="Q500" t="s">
        <v>28</v>
      </c>
      <c r="R500">
        <v>77</v>
      </c>
      <c r="S500">
        <v>1</v>
      </c>
      <c r="T500" t="s">
        <v>81</v>
      </c>
      <c r="U500" t="s">
        <v>63</v>
      </c>
      <c r="V500">
        <v>1.72</v>
      </c>
      <c r="W500">
        <v>4.2</v>
      </c>
      <c r="X500">
        <v>6</v>
      </c>
      <c r="Y500">
        <v>13.1</v>
      </c>
      <c r="Z500">
        <v>5.2</v>
      </c>
    </row>
    <row r="501" spans="1:26">
      <c r="A501" t="s">
        <v>964</v>
      </c>
      <c r="B501">
        <v>39</v>
      </c>
      <c r="C501" t="s">
        <v>71</v>
      </c>
      <c r="D501" t="s">
        <v>41</v>
      </c>
      <c r="E501" t="s">
        <v>150</v>
      </c>
      <c r="F501" t="s">
        <v>273</v>
      </c>
      <c r="G501" t="s">
        <v>362</v>
      </c>
      <c r="H501" t="s">
        <v>30</v>
      </c>
      <c r="I501" t="s">
        <v>18</v>
      </c>
      <c r="J501" s="7">
        <v>44209</v>
      </c>
      <c r="K501" s="7">
        <v>44725</v>
      </c>
      <c r="L501" s="5">
        <v>150</v>
      </c>
      <c r="M501" t="s">
        <v>150</v>
      </c>
      <c r="N501" t="s">
        <v>302</v>
      </c>
      <c r="O501">
        <v>150</v>
      </c>
      <c r="P501" t="s">
        <v>205</v>
      </c>
      <c r="Q501" t="s">
        <v>150</v>
      </c>
      <c r="R501">
        <v>135</v>
      </c>
      <c r="S501">
        <v>0</v>
      </c>
      <c r="T501" t="s">
        <v>78</v>
      </c>
      <c r="U501" t="s">
        <v>63</v>
      </c>
      <c r="V501">
        <v>4.46</v>
      </c>
      <c r="W501">
        <v>1.63</v>
      </c>
      <c r="X501">
        <v>3.8</v>
      </c>
      <c r="Y501">
        <v>11.2</v>
      </c>
      <c r="Z501">
        <v>17.8</v>
      </c>
    </row>
    <row r="502" spans="1:26">
      <c r="A502" t="s">
        <v>965</v>
      </c>
      <c r="B502">
        <v>52</v>
      </c>
      <c r="C502" t="s">
        <v>71</v>
      </c>
      <c r="D502" t="s">
        <v>41</v>
      </c>
      <c r="E502" t="s">
        <v>150</v>
      </c>
      <c r="F502" t="s">
        <v>260</v>
      </c>
      <c r="G502" t="s">
        <v>322</v>
      </c>
      <c r="H502" t="s">
        <v>29</v>
      </c>
      <c r="I502" t="s">
        <v>20</v>
      </c>
      <c r="J502" s="7">
        <v>44481</v>
      </c>
      <c r="K502" s="7">
        <v>44816</v>
      </c>
      <c r="L502" s="5">
        <v>200</v>
      </c>
      <c r="M502" t="s">
        <v>26</v>
      </c>
      <c r="N502" t="s">
        <v>966</v>
      </c>
      <c r="O502">
        <v>200</v>
      </c>
      <c r="P502" t="s">
        <v>206</v>
      </c>
      <c r="Q502" t="s">
        <v>25</v>
      </c>
      <c r="R502">
        <v>175</v>
      </c>
      <c r="S502">
        <v>1</v>
      </c>
      <c r="T502" t="s">
        <v>78</v>
      </c>
      <c r="U502" t="s">
        <v>61</v>
      </c>
      <c r="V502">
        <v>3.69</v>
      </c>
      <c r="W502">
        <v>4.19</v>
      </c>
      <c r="X502">
        <v>3.3</v>
      </c>
      <c r="Y502">
        <v>17.2</v>
      </c>
      <c r="Z502">
        <v>12.7</v>
      </c>
    </row>
    <row r="503" spans="1:26">
      <c r="A503" t="s">
        <v>967</v>
      </c>
      <c r="B503">
        <v>62</v>
      </c>
      <c r="C503" t="s">
        <v>44</v>
      </c>
      <c r="D503" t="s">
        <v>39</v>
      </c>
      <c r="E503" t="s">
        <v>259</v>
      </c>
      <c r="F503" t="s">
        <v>268</v>
      </c>
      <c r="G503" t="s">
        <v>319</v>
      </c>
      <c r="H503" t="s">
        <v>32</v>
      </c>
      <c r="I503" t="s">
        <v>16</v>
      </c>
      <c r="J503" s="7">
        <v>45025</v>
      </c>
      <c r="K503" s="7">
        <v>45300</v>
      </c>
      <c r="L503" s="5">
        <v>200</v>
      </c>
      <c r="M503" t="s">
        <v>28</v>
      </c>
      <c r="N503" t="s">
        <v>541</v>
      </c>
      <c r="O503">
        <v>200</v>
      </c>
      <c r="P503" t="s">
        <v>205</v>
      </c>
      <c r="Q503" t="s">
        <v>26</v>
      </c>
      <c r="R503">
        <v>151</v>
      </c>
      <c r="S503">
        <v>0</v>
      </c>
      <c r="T503" t="s">
        <v>78</v>
      </c>
      <c r="U503" t="s">
        <v>61</v>
      </c>
      <c r="V503">
        <v>4.33</v>
      </c>
      <c r="W503">
        <v>4.62</v>
      </c>
      <c r="X503">
        <v>1.1</v>
      </c>
      <c r="Y503">
        <v>18.1</v>
      </c>
      <c r="Z503">
        <v>3.9</v>
      </c>
    </row>
    <row r="504" spans="1:26">
      <c r="A504" t="s">
        <v>968</v>
      </c>
      <c r="B504">
        <v>59</v>
      </c>
      <c r="C504" t="s">
        <v>70</v>
      </c>
      <c r="D504" t="s">
        <v>44</v>
      </c>
      <c r="E504" t="s">
        <v>272</v>
      </c>
      <c r="F504" t="s">
        <v>150</v>
      </c>
      <c r="G504" t="s">
        <v>291</v>
      </c>
      <c r="H504" t="s">
        <v>32</v>
      </c>
      <c r="I504" t="s">
        <v>16</v>
      </c>
      <c r="J504" s="7">
        <v>44202</v>
      </c>
      <c r="K504" s="7">
        <v>44567</v>
      </c>
      <c r="L504" s="5">
        <v>200</v>
      </c>
      <c r="M504" t="s">
        <v>150</v>
      </c>
      <c r="N504" t="s">
        <v>406</v>
      </c>
      <c r="O504">
        <v>200</v>
      </c>
      <c r="P504" t="s">
        <v>211</v>
      </c>
      <c r="Q504" t="s">
        <v>150</v>
      </c>
      <c r="R504">
        <v>71</v>
      </c>
      <c r="S504">
        <v>0</v>
      </c>
      <c r="T504" t="s">
        <v>82</v>
      </c>
      <c r="U504" t="s">
        <v>63</v>
      </c>
      <c r="V504">
        <v>3.2</v>
      </c>
      <c r="W504">
        <v>2.15</v>
      </c>
      <c r="X504">
        <v>3.8</v>
      </c>
      <c r="Y504">
        <v>12.4</v>
      </c>
      <c r="Z504">
        <v>13.6</v>
      </c>
    </row>
    <row r="505" spans="1:26">
      <c r="A505" t="s">
        <v>969</v>
      </c>
      <c r="B505">
        <v>20</v>
      </c>
      <c r="C505" t="s">
        <v>70</v>
      </c>
      <c r="D505" t="s">
        <v>44</v>
      </c>
      <c r="E505" t="s">
        <v>272</v>
      </c>
      <c r="F505" t="s">
        <v>150</v>
      </c>
      <c r="G505" t="s">
        <v>261</v>
      </c>
      <c r="H505" t="s">
        <v>34</v>
      </c>
      <c r="I505" t="s">
        <v>20</v>
      </c>
      <c r="J505" s="7">
        <v>43975</v>
      </c>
      <c r="K505" s="7">
        <v>44310</v>
      </c>
      <c r="L505" s="5">
        <v>150</v>
      </c>
      <c r="M505" t="s">
        <v>27</v>
      </c>
      <c r="N505" t="s">
        <v>438</v>
      </c>
      <c r="O505">
        <v>150</v>
      </c>
      <c r="P505" t="s">
        <v>206</v>
      </c>
      <c r="Q505" t="s">
        <v>25</v>
      </c>
      <c r="R505">
        <v>57</v>
      </c>
      <c r="S505">
        <v>1</v>
      </c>
      <c r="T505" t="s">
        <v>82</v>
      </c>
      <c r="U505" t="s">
        <v>61</v>
      </c>
      <c r="V505">
        <v>2.34</v>
      </c>
      <c r="W505">
        <v>3.93</v>
      </c>
      <c r="X505">
        <v>4.6</v>
      </c>
      <c r="Y505">
        <v>7.2</v>
      </c>
      <c r="Z505">
        <v>16.3</v>
      </c>
    </row>
    <row r="506" spans="1:26">
      <c r="A506" t="s">
        <v>970</v>
      </c>
      <c r="B506">
        <v>52</v>
      </c>
      <c r="C506" t="s">
        <v>44</v>
      </c>
      <c r="D506" t="s">
        <v>43</v>
      </c>
      <c r="E506" t="s">
        <v>255</v>
      </c>
      <c r="F506" t="s">
        <v>268</v>
      </c>
      <c r="G506" t="s">
        <v>288</v>
      </c>
      <c r="H506" t="s">
        <v>32</v>
      </c>
      <c r="I506" t="s">
        <v>18</v>
      </c>
      <c r="J506" s="7">
        <v>44990</v>
      </c>
      <c r="K506" s="7">
        <v>45478</v>
      </c>
      <c r="L506" s="5">
        <v>150</v>
      </c>
      <c r="M506" t="s">
        <v>28</v>
      </c>
      <c r="N506" t="s">
        <v>578</v>
      </c>
      <c r="O506">
        <v>150</v>
      </c>
      <c r="P506" t="s">
        <v>206</v>
      </c>
      <c r="Q506" t="s">
        <v>150</v>
      </c>
      <c r="R506">
        <v>147</v>
      </c>
      <c r="S506">
        <v>1</v>
      </c>
      <c r="T506" t="s">
        <v>82</v>
      </c>
      <c r="U506" t="s">
        <v>63</v>
      </c>
      <c r="V506">
        <v>2.14</v>
      </c>
      <c r="W506">
        <v>2.73</v>
      </c>
      <c r="X506">
        <v>7.2</v>
      </c>
      <c r="Y506">
        <v>12</v>
      </c>
      <c r="Z506">
        <v>4</v>
      </c>
    </row>
    <row r="507" spans="1:26">
      <c r="A507" t="s">
        <v>971</v>
      </c>
      <c r="B507">
        <v>76</v>
      </c>
      <c r="C507" t="s">
        <v>71</v>
      </c>
      <c r="D507" t="s">
        <v>41</v>
      </c>
      <c r="E507" t="s">
        <v>259</v>
      </c>
      <c r="F507" t="s">
        <v>150</v>
      </c>
      <c r="G507" t="s">
        <v>362</v>
      </c>
      <c r="H507" t="s">
        <v>32</v>
      </c>
      <c r="I507" t="s">
        <v>16</v>
      </c>
      <c r="J507" s="7">
        <v>43949</v>
      </c>
      <c r="K507" s="7">
        <v>44224</v>
      </c>
      <c r="L507" s="5">
        <v>200</v>
      </c>
      <c r="M507" t="s">
        <v>26</v>
      </c>
      <c r="N507" t="s">
        <v>545</v>
      </c>
      <c r="O507">
        <v>200</v>
      </c>
      <c r="P507" t="s">
        <v>205</v>
      </c>
      <c r="Q507" t="s">
        <v>25</v>
      </c>
      <c r="R507">
        <v>125</v>
      </c>
      <c r="S507">
        <v>0</v>
      </c>
      <c r="T507" t="s">
        <v>83</v>
      </c>
      <c r="U507" t="s">
        <v>61</v>
      </c>
      <c r="V507">
        <v>2.5</v>
      </c>
      <c r="W507">
        <v>4.78</v>
      </c>
      <c r="X507">
        <v>6.8</v>
      </c>
      <c r="Y507">
        <v>18.1</v>
      </c>
      <c r="Z507">
        <v>13.7</v>
      </c>
    </row>
    <row r="508" spans="1:26">
      <c r="A508" t="s">
        <v>972</v>
      </c>
      <c r="B508">
        <v>38</v>
      </c>
      <c r="C508" t="s">
        <v>70</v>
      </c>
      <c r="D508" t="s">
        <v>42</v>
      </c>
      <c r="E508" t="s">
        <v>272</v>
      </c>
      <c r="F508" t="s">
        <v>150</v>
      </c>
      <c r="G508" t="s">
        <v>297</v>
      </c>
      <c r="H508" t="s">
        <v>30</v>
      </c>
      <c r="I508" t="s">
        <v>20</v>
      </c>
      <c r="J508" s="7">
        <v>44796</v>
      </c>
      <c r="K508" s="7">
        <v>45069</v>
      </c>
      <c r="L508" s="5">
        <v>50</v>
      </c>
      <c r="M508" t="s">
        <v>26</v>
      </c>
      <c r="N508" t="s">
        <v>651</v>
      </c>
      <c r="O508">
        <v>50</v>
      </c>
      <c r="P508" t="s">
        <v>206</v>
      </c>
      <c r="Q508" t="s">
        <v>27</v>
      </c>
      <c r="R508">
        <v>113</v>
      </c>
      <c r="S508">
        <v>1</v>
      </c>
      <c r="T508" t="s">
        <v>81</v>
      </c>
      <c r="U508" t="s">
        <v>61</v>
      </c>
      <c r="V508">
        <v>1.8</v>
      </c>
      <c r="W508">
        <v>2.67</v>
      </c>
      <c r="X508">
        <v>7.8</v>
      </c>
      <c r="Y508">
        <v>7.8</v>
      </c>
      <c r="Z508">
        <v>7.7</v>
      </c>
    </row>
    <row r="509" spans="1:26">
      <c r="A509" t="s">
        <v>973</v>
      </c>
      <c r="B509">
        <v>68</v>
      </c>
      <c r="C509" t="s">
        <v>44</v>
      </c>
      <c r="D509" t="s">
        <v>42</v>
      </c>
      <c r="E509" t="s">
        <v>150</v>
      </c>
      <c r="F509" t="s">
        <v>268</v>
      </c>
      <c r="G509" t="s">
        <v>312</v>
      </c>
      <c r="H509" t="s">
        <v>30</v>
      </c>
      <c r="I509" t="s">
        <v>18</v>
      </c>
      <c r="J509" s="7">
        <v>43994</v>
      </c>
      <c r="K509" s="7">
        <v>44328</v>
      </c>
      <c r="L509" s="5">
        <v>50</v>
      </c>
      <c r="M509" t="s">
        <v>25</v>
      </c>
      <c r="N509" t="s">
        <v>292</v>
      </c>
      <c r="O509">
        <v>50</v>
      </c>
      <c r="P509" t="s">
        <v>206</v>
      </c>
      <c r="Q509" t="s">
        <v>26</v>
      </c>
      <c r="R509">
        <v>157</v>
      </c>
      <c r="S509">
        <v>1</v>
      </c>
      <c r="T509" t="s">
        <v>78</v>
      </c>
      <c r="U509" t="s">
        <v>63</v>
      </c>
      <c r="V509">
        <v>2.11</v>
      </c>
      <c r="W509">
        <v>2.73</v>
      </c>
      <c r="X509">
        <v>9.8</v>
      </c>
      <c r="Y509">
        <v>7.2</v>
      </c>
      <c r="Z509">
        <v>11.8</v>
      </c>
    </row>
    <row r="510" spans="1:26">
      <c r="A510" t="s">
        <v>974</v>
      </c>
      <c r="B510">
        <v>45</v>
      </c>
      <c r="C510" t="s">
        <v>70</v>
      </c>
      <c r="D510" t="s">
        <v>43</v>
      </c>
      <c r="E510" t="s">
        <v>311</v>
      </c>
      <c r="F510" t="s">
        <v>273</v>
      </c>
      <c r="G510" t="s">
        <v>261</v>
      </c>
      <c r="H510" t="s">
        <v>30</v>
      </c>
      <c r="I510" t="s">
        <v>19</v>
      </c>
      <c r="J510" s="7">
        <v>44399</v>
      </c>
      <c r="K510" s="7">
        <v>44795</v>
      </c>
      <c r="L510" s="5">
        <v>50</v>
      </c>
      <c r="M510" t="s">
        <v>27</v>
      </c>
      <c r="N510" t="s">
        <v>722</v>
      </c>
      <c r="O510">
        <v>50</v>
      </c>
      <c r="P510" t="s">
        <v>211</v>
      </c>
      <c r="Q510" t="s">
        <v>25</v>
      </c>
      <c r="R510">
        <v>57</v>
      </c>
      <c r="S510">
        <v>0</v>
      </c>
      <c r="T510" t="s">
        <v>82</v>
      </c>
      <c r="U510" t="s">
        <v>63</v>
      </c>
      <c r="V510">
        <v>1.72</v>
      </c>
      <c r="W510">
        <v>4.88</v>
      </c>
      <c r="X510">
        <v>2</v>
      </c>
      <c r="Y510">
        <v>13.3</v>
      </c>
      <c r="Z510">
        <v>15.5</v>
      </c>
    </row>
    <row r="511" spans="1:26">
      <c r="A511" t="s">
        <v>975</v>
      </c>
      <c r="B511">
        <v>62</v>
      </c>
      <c r="C511" t="s">
        <v>44</v>
      </c>
      <c r="D511" t="s">
        <v>42</v>
      </c>
      <c r="E511" t="s">
        <v>272</v>
      </c>
      <c r="F511" t="s">
        <v>150</v>
      </c>
      <c r="G511" t="s">
        <v>312</v>
      </c>
      <c r="H511" t="s">
        <v>30</v>
      </c>
      <c r="I511" t="s">
        <v>19</v>
      </c>
      <c r="J511" s="7">
        <v>44121</v>
      </c>
      <c r="K511" s="7">
        <v>44486</v>
      </c>
      <c r="L511" s="5">
        <v>200</v>
      </c>
      <c r="M511" t="s">
        <v>27</v>
      </c>
      <c r="N511" t="s">
        <v>300</v>
      </c>
      <c r="O511">
        <v>200</v>
      </c>
      <c r="P511" t="s">
        <v>205</v>
      </c>
      <c r="Q511" t="s">
        <v>27</v>
      </c>
      <c r="R511">
        <v>138</v>
      </c>
      <c r="S511">
        <v>0</v>
      </c>
      <c r="T511" t="s">
        <v>83</v>
      </c>
      <c r="U511" t="s">
        <v>61</v>
      </c>
      <c r="V511">
        <v>3.82</v>
      </c>
      <c r="W511">
        <v>2.69</v>
      </c>
      <c r="X511">
        <v>4.1</v>
      </c>
      <c r="Y511">
        <v>13.2</v>
      </c>
      <c r="Z511">
        <v>7.5</v>
      </c>
    </row>
    <row r="512" spans="1:26">
      <c r="A512" t="s">
        <v>976</v>
      </c>
      <c r="B512">
        <v>72</v>
      </c>
      <c r="C512" t="s">
        <v>70</v>
      </c>
      <c r="D512" t="s">
        <v>42</v>
      </c>
      <c r="E512" t="s">
        <v>255</v>
      </c>
      <c r="F512" t="s">
        <v>150</v>
      </c>
      <c r="G512" t="s">
        <v>431</v>
      </c>
      <c r="H512" t="s">
        <v>32</v>
      </c>
      <c r="I512" t="s">
        <v>20</v>
      </c>
      <c r="J512" s="7">
        <v>44451</v>
      </c>
      <c r="K512" s="7">
        <v>44663</v>
      </c>
      <c r="L512" s="5">
        <v>100</v>
      </c>
      <c r="M512" t="s">
        <v>25</v>
      </c>
      <c r="N512" t="s">
        <v>660</v>
      </c>
      <c r="O512">
        <v>100</v>
      </c>
      <c r="P512" t="s">
        <v>206</v>
      </c>
      <c r="Q512" t="s">
        <v>26</v>
      </c>
      <c r="R512">
        <v>31</v>
      </c>
      <c r="S512">
        <v>1</v>
      </c>
      <c r="T512" t="s">
        <v>81</v>
      </c>
      <c r="U512" t="s">
        <v>61</v>
      </c>
      <c r="V512">
        <v>1.82</v>
      </c>
      <c r="W512">
        <v>2.93</v>
      </c>
      <c r="X512">
        <v>3.4</v>
      </c>
      <c r="Y512">
        <v>11.2</v>
      </c>
      <c r="Z512">
        <v>14.2</v>
      </c>
    </row>
    <row r="513" spans="1:26">
      <c r="A513" t="s">
        <v>977</v>
      </c>
      <c r="B513">
        <v>43</v>
      </c>
      <c r="C513" t="s">
        <v>44</v>
      </c>
      <c r="D513" t="s">
        <v>44</v>
      </c>
      <c r="E513" t="s">
        <v>272</v>
      </c>
      <c r="F513" t="s">
        <v>260</v>
      </c>
      <c r="G513" t="s">
        <v>362</v>
      </c>
      <c r="H513" t="s">
        <v>29</v>
      </c>
      <c r="I513" t="s">
        <v>16</v>
      </c>
      <c r="J513" s="7">
        <v>44785</v>
      </c>
      <c r="K513" s="7">
        <v>44969</v>
      </c>
      <c r="L513" s="5">
        <v>150</v>
      </c>
      <c r="M513" t="s">
        <v>27</v>
      </c>
      <c r="N513" t="s">
        <v>660</v>
      </c>
      <c r="O513">
        <v>150</v>
      </c>
      <c r="P513" t="s">
        <v>211</v>
      </c>
      <c r="Q513" t="s">
        <v>28</v>
      </c>
      <c r="R513">
        <v>168</v>
      </c>
      <c r="S513">
        <v>0</v>
      </c>
      <c r="T513" t="s">
        <v>81</v>
      </c>
      <c r="U513" t="s">
        <v>63</v>
      </c>
      <c r="V513">
        <v>4.87</v>
      </c>
      <c r="W513">
        <v>3.41</v>
      </c>
      <c r="X513">
        <v>1.7</v>
      </c>
      <c r="Y513">
        <v>7.4</v>
      </c>
      <c r="Z513">
        <v>19.2</v>
      </c>
    </row>
    <row r="514" spans="1:26">
      <c r="A514" t="s">
        <v>978</v>
      </c>
      <c r="B514">
        <v>55</v>
      </c>
      <c r="C514" t="s">
        <v>70</v>
      </c>
      <c r="D514" t="s">
        <v>43</v>
      </c>
      <c r="E514" t="s">
        <v>311</v>
      </c>
      <c r="F514" t="s">
        <v>264</v>
      </c>
      <c r="G514" t="s">
        <v>291</v>
      </c>
      <c r="H514" t="s">
        <v>29</v>
      </c>
      <c r="I514" t="s">
        <v>19</v>
      </c>
      <c r="J514" s="7">
        <v>43732</v>
      </c>
      <c r="K514" s="7">
        <v>44098</v>
      </c>
      <c r="L514" s="5">
        <v>100</v>
      </c>
      <c r="M514" t="s">
        <v>28</v>
      </c>
      <c r="N514" t="s">
        <v>979</v>
      </c>
      <c r="O514">
        <v>100</v>
      </c>
      <c r="P514" t="s">
        <v>206</v>
      </c>
      <c r="Q514" t="s">
        <v>26</v>
      </c>
      <c r="R514">
        <v>67</v>
      </c>
      <c r="S514">
        <v>1</v>
      </c>
      <c r="T514" t="s">
        <v>82</v>
      </c>
      <c r="U514" t="s">
        <v>61</v>
      </c>
      <c r="V514">
        <v>2.19</v>
      </c>
      <c r="W514">
        <v>1.37</v>
      </c>
      <c r="X514">
        <v>6.4</v>
      </c>
      <c r="Y514">
        <v>17.2</v>
      </c>
      <c r="Z514">
        <v>14</v>
      </c>
    </row>
    <row r="515" spans="1:26">
      <c r="A515" t="s">
        <v>980</v>
      </c>
      <c r="B515">
        <v>53</v>
      </c>
      <c r="C515" t="s">
        <v>70</v>
      </c>
      <c r="D515" t="s">
        <v>43</v>
      </c>
      <c r="E515" t="s">
        <v>255</v>
      </c>
      <c r="F515" t="s">
        <v>268</v>
      </c>
      <c r="G515" t="s">
        <v>274</v>
      </c>
      <c r="H515" t="s">
        <v>34</v>
      </c>
      <c r="I515" t="s">
        <v>16</v>
      </c>
      <c r="J515" s="7">
        <v>43628</v>
      </c>
      <c r="K515" s="7">
        <v>43811</v>
      </c>
      <c r="L515" s="5">
        <v>100</v>
      </c>
      <c r="M515" t="s">
        <v>28</v>
      </c>
      <c r="N515" t="s">
        <v>603</v>
      </c>
      <c r="O515">
        <v>100</v>
      </c>
      <c r="P515" t="s">
        <v>206</v>
      </c>
      <c r="Q515" t="s">
        <v>150</v>
      </c>
      <c r="R515">
        <v>107</v>
      </c>
      <c r="S515">
        <v>1</v>
      </c>
      <c r="T515" t="s">
        <v>82</v>
      </c>
      <c r="U515" t="s">
        <v>61</v>
      </c>
      <c r="V515">
        <v>2.07</v>
      </c>
      <c r="W515">
        <v>1.06</v>
      </c>
      <c r="X515">
        <v>9.7</v>
      </c>
      <c r="Y515">
        <v>10.5</v>
      </c>
      <c r="Z515">
        <v>14.5</v>
      </c>
    </row>
    <row r="516" spans="1:26">
      <c r="A516" t="s">
        <v>981</v>
      </c>
      <c r="B516">
        <v>20</v>
      </c>
      <c r="C516" t="s">
        <v>71</v>
      </c>
      <c r="D516" t="s">
        <v>39</v>
      </c>
      <c r="E516" t="s">
        <v>311</v>
      </c>
      <c r="F516" t="s">
        <v>150</v>
      </c>
      <c r="G516" t="s">
        <v>261</v>
      </c>
      <c r="H516" t="s">
        <v>29</v>
      </c>
      <c r="I516" t="s">
        <v>18</v>
      </c>
      <c r="J516" s="7">
        <v>45056</v>
      </c>
      <c r="K516" s="7">
        <v>45514</v>
      </c>
      <c r="L516" s="5">
        <v>100</v>
      </c>
      <c r="M516" t="s">
        <v>28</v>
      </c>
      <c r="N516" t="s">
        <v>982</v>
      </c>
      <c r="O516">
        <v>100</v>
      </c>
      <c r="P516" t="s">
        <v>206</v>
      </c>
      <c r="Q516" t="s">
        <v>27</v>
      </c>
      <c r="R516">
        <v>100</v>
      </c>
      <c r="S516">
        <v>1</v>
      </c>
      <c r="T516" t="s">
        <v>78</v>
      </c>
      <c r="U516" t="s">
        <v>61</v>
      </c>
      <c r="V516">
        <v>3.83</v>
      </c>
      <c r="W516">
        <v>3.44</v>
      </c>
      <c r="X516">
        <v>3.8</v>
      </c>
      <c r="Y516">
        <v>10.9</v>
      </c>
      <c r="Z516">
        <v>13.2</v>
      </c>
    </row>
    <row r="517" spans="1:26">
      <c r="A517" t="s">
        <v>983</v>
      </c>
      <c r="B517">
        <v>82</v>
      </c>
      <c r="C517" t="s">
        <v>44</v>
      </c>
      <c r="D517" t="s">
        <v>42</v>
      </c>
      <c r="E517" t="s">
        <v>255</v>
      </c>
      <c r="F517" t="s">
        <v>273</v>
      </c>
      <c r="G517" t="s">
        <v>362</v>
      </c>
      <c r="H517" t="s">
        <v>32</v>
      </c>
      <c r="I517" t="s">
        <v>16</v>
      </c>
      <c r="J517" s="7">
        <v>44652</v>
      </c>
      <c r="K517" s="7">
        <v>45200</v>
      </c>
      <c r="L517" s="5">
        <v>200</v>
      </c>
      <c r="M517" t="s">
        <v>26</v>
      </c>
      <c r="N517" t="s">
        <v>670</v>
      </c>
      <c r="O517">
        <v>200</v>
      </c>
      <c r="P517" t="s">
        <v>205</v>
      </c>
      <c r="Q517" t="s">
        <v>150</v>
      </c>
      <c r="R517">
        <v>54</v>
      </c>
      <c r="S517">
        <v>0</v>
      </c>
      <c r="T517" t="s">
        <v>78</v>
      </c>
      <c r="U517" t="s">
        <v>63</v>
      </c>
      <c r="V517">
        <v>4.46</v>
      </c>
      <c r="W517">
        <v>4.79</v>
      </c>
      <c r="X517">
        <v>2</v>
      </c>
      <c r="Y517">
        <v>8.8</v>
      </c>
      <c r="Z517">
        <v>19.1</v>
      </c>
    </row>
    <row r="518" spans="1:26">
      <c r="A518" t="s">
        <v>984</v>
      </c>
      <c r="B518">
        <v>20</v>
      </c>
      <c r="C518" t="s">
        <v>44</v>
      </c>
      <c r="D518" t="s">
        <v>39</v>
      </c>
      <c r="E518" t="s">
        <v>259</v>
      </c>
      <c r="F518" t="s">
        <v>264</v>
      </c>
      <c r="G518" t="s">
        <v>306</v>
      </c>
      <c r="H518" t="s">
        <v>34</v>
      </c>
      <c r="I518" t="s">
        <v>20</v>
      </c>
      <c r="J518" s="7">
        <v>45095</v>
      </c>
      <c r="K518" s="7">
        <v>45461</v>
      </c>
      <c r="L518" s="5">
        <v>200</v>
      </c>
      <c r="M518" t="s">
        <v>28</v>
      </c>
      <c r="N518" t="s">
        <v>395</v>
      </c>
      <c r="O518">
        <v>200</v>
      </c>
      <c r="P518" t="s">
        <v>211</v>
      </c>
      <c r="Q518" t="s">
        <v>27</v>
      </c>
      <c r="R518">
        <v>68</v>
      </c>
      <c r="S518">
        <v>0</v>
      </c>
      <c r="T518" t="s">
        <v>82</v>
      </c>
      <c r="U518" t="s">
        <v>61</v>
      </c>
      <c r="V518">
        <v>3.95</v>
      </c>
      <c r="W518">
        <v>4.53</v>
      </c>
      <c r="X518">
        <v>2.8</v>
      </c>
      <c r="Y518">
        <v>16.6</v>
      </c>
      <c r="Z518">
        <v>14.9</v>
      </c>
    </row>
    <row r="519" spans="1:26">
      <c r="A519" t="s">
        <v>985</v>
      </c>
      <c r="B519">
        <v>44</v>
      </c>
      <c r="C519" t="s">
        <v>44</v>
      </c>
      <c r="D519" t="s">
        <v>41</v>
      </c>
      <c r="E519" t="s">
        <v>272</v>
      </c>
      <c r="F519" t="s">
        <v>277</v>
      </c>
      <c r="G519" t="s">
        <v>274</v>
      </c>
      <c r="H519" t="s">
        <v>29</v>
      </c>
      <c r="I519" t="s">
        <v>20</v>
      </c>
      <c r="J519" s="7">
        <v>45080</v>
      </c>
      <c r="K519" s="7">
        <v>45354</v>
      </c>
      <c r="L519" s="5">
        <v>150</v>
      </c>
      <c r="M519" t="s">
        <v>150</v>
      </c>
      <c r="N519" t="s">
        <v>686</v>
      </c>
      <c r="O519">
        <v>150</v>
      </c>
      <c r="P519" t="s">
        <v>205</v>
      </c>
      <c r="Q519" t="s">
        <v>27</v>
      </c>
      <c r="R519">
        <v>37</v>
      </c>
      <c r="S519">
        <v>0</v>
      </c>
      <c r="T519" t="s">
        <v>78</v>
      </c>
      <c r="U519" t="s">
        <v>63</v>
      </c>
      <c r="V519">
        <v>3.72</v>
      </c>
      <c r="W519">
        <v>2.63</v>
      </c>
      <c r="X519">
        <v>1.1</v>
      </c>
      <c r="Y519">
        <v>16.5</v>
      </c>
      <c r="Z519">
        <v>7.3</v>
      </c>
    </row>
    <row r="520" spans="1:26">
      <c r="A520" t="s">
        <v>986</v>
      </c>
      <c r="B520">
        <v>63</v>
      </c>
      <c r="C520" t="s">
        <v>44</v>
      </c>
      <c r="D520" t="s">
        <v>43</v>
      </c>
      <c r="E520" t="s">
        <v>272</v>
      </c>
      <c r="F520" t="s">
        <v>150</v>
      </c>
      <c r="G520" t="s">
        <v>312</v>
      </c>
      <c r="H520" t="s">
        <v>32</v>
      </c>
      <c r="I520" t="s">
        <v>20</v>
      </c>
      <c r="J520" s="7">
        <v>44030</v>
      </c>
      <c r="K520" s="7">
        <v>44273</v>
      </c>
      <c r="L520" s="5">
        <v>200</v>
      </c>
      <c r="M520" t="s">
        <v>28</v>
      </c>
      <c r="N520" t="s">
        <v>345</v>
      </c>
      <c r="O520">
        <v>200</v>
      </c>
      <c r="P520" t="s">
        <v>206</v>
      </c>
      <c r="Q520" t="s">
        <v>28</v>
      </c>
      <c r="R520">
        <v>176</v>
      </c>
      <c r="S520">
        <v>1</v>
      </c>
      <c r="T520" t="s">
        <v>81</v>
      </c>
      <c r="U520" t="s">
        <v>63</v>
      </c>
      <c r="V520">
        <v>2.8</v>
      </c>
      <c r="W520">
        <v>4.83</v>
      </c>
      <c r="X520">
        <v>4.6</v>
      </c>
      <c r="Y520">
        <v>21.1</v>
      </c>
      <c r="Z520">
        <v>6.2</v>
      </c>
    </row>
    <row r="521" spans="1:26">
      <c r="A521" t="s">
        <v>987</v>
      </c>
      <c r="B521">
        <v>38</v>
      </c>
      <c r="C521" t="s">
        <v>44</v>
      </c>
      <c r="D521" t="s">
        <v>43</v>
      </c>
      <c r="E521" t="s">
        <v>255</v>
      </c>
      <c r="F521" t="s">
        <v>273</v>
      </c>
      <c r="G521" t="s">
        <v>261</v>
      </c>
      <c r="H521" t="s">
        <v>32</v>
      </c>
      <c r="I521" t="s">
        <v>19</v>
      </c>
      <c r="J521" s="7">
        <v>44504</v>
      </c>
      <c r="K521" s="7">
        <v>44989</v>
      </c>
      <c r="L521" s="5">
        <v>150</v>
      </c>
      <c r="M521" t="s">
        <v>25</v>
      </c>
      <c r="N521" t="s">
        <v>336</v>
      </c>
      <c r="O521">
        <v>150</v>
      </c>
      <c r="P521" t="s">
        <v>211</v>
      </c>
      <c r="Q521" t="s">
        <v>27</v>
      </c>
      <c r="R521">
        <v>103</v>
      </c>
      <c r="S521">
        <v>0</v>
      </c>
      <c r="T521" t="s">
        <v>82</v>
      </c>
      <c r="U521" t="s">
        <v>63</v>
      </c>
      <c r="V521">
        <v>3.69</v>
      </c>
      <c r="W521">
        <v>4.91</v>
      </c>
      <c r="X521">
        <v>1.9</v>
      </c>
      <c r="Y521">
        <v>6.1</v>
      </c>
      <c r="Z521">
        <v>10.4</v>
      </c>
    </row>
    <row r="522" spans="1:26">
      <c r="A522" t="s">
        <v>988</v>
      </c>
      <c r="B522">
        <v>40</v>
      </c>
      <c r="C522" t="s">
        <v>70</v>
      </c>
      <c r="D522" t="s">
        <v>39</v>
      </c>
      <c r="E522" t="s">
        <v>311</v>
      </c>
      <c r="F522" t="s">
        <v>150</v>
      </c>
      <c r="G522" t="s">
        <v>256</v>
      </c>
      <c r="H522" t="s">
        <v>34</v>
      </c>
      <c r="I522" t="s">
        <v>18</v>
      </c>
      <c r="J522" s="7">
        <v>43665</v>
      </c>
      <c r="K522" s="7">
        <v>44154</v>
      </c>
      <c r="L522" s="5">
        <v>200</v>
      </c>
      <c r="M522" t="s">
        <v>27</v>
      </c>
      <c r="N522" t="s">
        <v>365</v>
      </c>
      <c r="O522">
        <v>200</v>
      </c>
      <c r="P522" t="s">
        <v>206</v>
      </c>
      <c r="Q522" t="s">
        <v>25</v>
      </c>
      <c r="R522">
        <v>87</v>
      </c>
      <c r="S522">
        <v>1</v>
      </c>
      <c r="T522" t="s">
        <v>78</v>
      </c>
      <c r="U522" t="s">
        <v>63</v>
      </c>
      <c r="V522">
        <v>1.37</v>
      </c>
      <c r="W522">
        <v>3.99</v>
      </c>
      <c r="X522">
        <v>9.2</v>
      </c>
      <c r="Y522">
        <v>13.8</v>
      </c>
      <c r="Z522">
        <v>7.4</v>
      </c>
    </row>
    <row r="523" spans="1:26">
      <c r="A523" t="s">
        <v>989</v>
      </c>
      <c r="B523">
        <v>70</v>
      </c>
      <c r="C523" t="s">
        <v>71</v>
      </c>
      <c r="D523" t="s">
        <v>39</v>
      </c>
      <c r="E523" t="s">
        <v>255</v>
      </c>
      <c r="F523" t="s">
        <v>268</v>
      </c>
      <c r="G523" t="s">
        <v>269</v>
      </c>
      <c r="H523" t="s">
        <v>29</v>
      </c>
      <c r="I523" t="s">
        <v>19</v>
      </c>
      <c r="J523" s="7">
        <v>43819</v>
      </c>
      <c r="K523" s="7">
        <v>44367</v>
      </c>
      <c r="L523" s="5">
        <v>200</v>
      </c>
      <c r="M523" t="s">
        <v>25</v>
      </c>
      <c r="N523" t="s">
        <v>691</v>
      </c>
      <c r="O523">
        <v>200</v>
      </c>
      <c r="P523" t="s">
        <v>211</v>
      </c>
      <c r="Q523" t="s">
        <v>26</v>
      </c>
      <c r="R523">
        <v>74</v>
      </c>
      <c r="S523">
        <v>0</v>
      </c>
      <c r="T523" t="s">
        <v>82</v>
      </c>
      <c r="U523" t="s">
        <v>63</v>
      </c>
      <c r="V523">
        <v>2.74</v>
      </c>
      <c r="W523">
        <v>3.89</v>
      </c>
      <c r="X523">
        <v>1.1</v>
      </c>
      <c r="Y523">
        <v>16.6</v>
      </c>
      <c r="Z523">
        <v>13.4</v>
      </c>
    </row>
    <row r="524" spans="1:26">
      <c r="A524" t="s">
        <v>990</v>
      </c>
      <c r="B524">
        <v>59</v>
      </c>
      <c r="C524" t="s">
        <v>71</v>
      </c>
      <c r="D524" t="s">
        <v>39</v>
      </c>
      <c r="E524" t="s">
        <v>311</v>
      </c>
      <c r="F524" t="s">
        <v>150</v>
      </c>
      <c r="G524" t="s">
        <v>278</v>
      </c>
      <c r="H524" t="s">
        <v>34</v>
      </c>
      <c r="I524" t="s">
        <v>20</v>
      </c>
      <c r="J524" s="7">
        <v>44155</v>
      </c>
      <c r="K524" s="7">
        <v>44550</v>
      </c>
      <c r="L524" s="5">
        <v>100</v>
      </c>
      <c r="M524" t="s">
        <v>27</v>
      </c>
      <c r="N524" t="s">
        <v>479</v>
      </c>
      <c r="O524">
        <v>100</v>
      </c>
      <c r="P524" t="s">
        <v>205</v>
      </c>
      <c r="Q524" t="s">
        <v>28</v>
      </c>
      <c r="R524">
        <v>114</v>
      </c>
      <c r="S524">
        <v>0</v>
      </c>
      <c r="T524" t="s">
        <v>78</v>
      </c>
      <c r="U524" t="s">
        <v>63</v>
      </c>
      <c r="V524">
        <v>3.55</v>
      </c>
      <c r="W524">
        <v>1.97</v>
      </c>
      <c r="X524">
        <v>7.4</v>
      </c>
      <c r="Y524">
        <v>7.6</v>
      </c>
      <c r="Z524">
        <v>6.4</v>
      </c>
    </row>
    <row r="525" spans="1:26">
      <c r="A525" t="s">
        <v>991</v>
      </c>
      <c r="B525">
        <v>77</v>
      </c>
      <c r="C525" t="s">
        <v>44</v>
      </c>
      <c r="D525" t="s">
        <v>42</v>
      </c>
      <c r="E525" t="s">
        <v>311</v>
      </c>
      <c r="F525" t="s">
        <v>150</v>
      </c>
      <c r="G525" t="s">
        <v>261</v>
      </c>
      <c r="H525" t="s">
        <v>34</v>
      </c>
      <c r="I525" t="s">
        <v>20</v>
      </c>
      <c r="J525" s="7">
        <v>43655</v>
      </c>
      <c r="K525" s="7">
        <v>44174</v>
      </c>
      <c r="L525" s="5">
        <v>50</v>
      </c>
      <c r="M525" t="s">
        <v>25</v>
      </c>
      <c r="N525" t="s">
        <v>547</v>
      </c>
      <c r="O525">
        <v>50</v>
      </c>
      <c r="P525" t="s">
        <v>205</v>
      </c>
      <c r="Q525" t="s">
        <v>28</v>
      </c>
      <c r="R525">
        <v>104</v>
      </c>
      <c r="S525">
        <v>0</v>
      </c>
      <c r="T525" t="s">
        <v>82</v>
      </c>
      <c r="U525" t="s">
        <v>63</v>
      </c>
      <c r="V525">
        <v>4.51</v>
      </c>
      <c r="W525">
        <v>3.95</v>
      </c>
      <c r="X525">
        <v>1.1</v>
      </c>
      <c r="Y525">
        <v>10.5</v>
      </c>
      <c r="Z525">
        <v>6.6</v>
      </c>
    </row>
    <row r="526" spans="1:26">
      <c r="A526" t="s">
        <v>992</v>
      </c>
      <c r="B526">
        <v>64</v>
      </c>
      <c r="C526" t="s">
        <v>70</v>
      </c>
      <c r="D526" t="s">
        <v>44</v>
      </c>
      <c r="E526" t="s">
        <v>272</v>
      </c>
      <c r="F526" t="s">
        <v>277</v>
      </c>
      <c r="G526" t="s">
        <v>284</v>
      </c>
      <c r="H526" t="s">
        <v>30</v>
      </c>
      <c r="I526" t="s">
        <v>19</v>
      </c>
      <c r="J526" s="7">
        <v>44981</v>
      </c>
      <c r="K526" s="7">
        <v>45223</v>
      </c>
      <c r="L526" s="5">
        <v>150</v>
      </c>
      <c r="M526" t="s">
        <v>150</v>
      </c>
      <c r="N526" t="s">
        <v>616</v>
      </c>
      <c r="O526">
        <v>150</v>
      </c>
      <c r="P526" t="s">
        <v>211</v>
      </c>
      <c r="Q526" t="s">
        <v>26</v>
      </c>
      <c r="R526">
        <v>97</v>
      </c>
      <c r="S526">
        <v>0</v>
      </c>
      <c r="T526" t="s">
        <v>83</v>
      </c>
      <c r="U526" t="s">
        <v>61</v>
      </c>
      <c r="V526">
        <v>2.08</v>
      </c>
      <c r="W526">
        <v>1.99</v>
      </c>
      <c r="X526">
        <v>1.6</v>
      </c>
      <c r="Y526">
        <v>14.3</v>
      </c>
      <c r="Z526">
        <v>15.5</v>
      </c>
    </row>
    <row r="527" spans="1:26">
      <c r="A527" t="s">
        <v>993</v>
      </c>
      <c r="B527">
        <v>27</v>
      </c>
      <c r="C527" t="s">
        <v>70</v>
      </c>
      <c r="D527" t="s">
        <v>43</v>
      </c>
      <c r="E527" t="s">
        <v>259</v>
      </c>
      <c r="F527" t="s">
        <v>150</v>
      </c>
      <c r="G527" t="s">
        <v>256</v>
      </c>
      <c r="H527" t="s">
        <v>32</v>
      </c>
      <c r="I527" t="s">
        <v>20</v>
      </c>
      <c r="J527" s="7">
        <v>44431</v>
      </c>
      <c r="K527" s="7">
        <v>44735</v>
      </c>
      <c r="L527" s="5">
        <v>150</v>
      </c>
      <c r="M527" t="s">
        <v>28</v>
      </c>
      <c r="N527" t="s">
        <v>743</v>
      </c>
      <c r="O527">
        <v>150</v>
      </c>
      <c r="P527" t="s">
        <v>211</v>
      </c>
      <c r="Q527" t="s">
        <v>28</v>
      </c>
      <c r="R527">
        <v>86</v>
      </c>
      <c r="S527">
        <v>0</v>
      </c>
      <c r="T527" t="s">
        <v>81</v>
      </c>
      <c r="U527" t="s">
        <v>61</v>
      </c>
      <c r="V527">
        <v>3.43</v>
      </c>
      <c r="W527">
        <v>3.69</v>
      </c>
      <c r="X527">
        <v>1.7</v>
      </c>
      <c r="Y527">
        <v>23.1</v>
      </c>
      <c r="Z527">
        <v>17.3</v>
      </c>
    </row>
    <row r="528" spans="1:26">
      <c r="A528" t="s">
        <v>994</v>
      </c>
      <c r="B528">
        <v>55</v>
      </c>
      <c r="C528" t="s">
        <v>70</v>
      </c>
      <c r="D528" t="s">
        <v>41</v>
      </c>
      <c r="E528" t="s">
        <v>255</v>
      </c>
      <c r="F528" t="s">
        <v>150</v>
      </c>
      <c r="G528" t="s">
        <v>269</v>
      </c>
      <c r="H528" t="s">
        <v>34</v>
      </c>
      <c r="I528" t="s">
        <v>19</v>
      </c>
      <c r="J528" s="7">
        <v>44191</v>
      </c>
      <c r="K528" s="7">
        <v>44707</v>
      </c>
      <c r="L528" s="5">
        <v>100</v>
      </c>
      <c r="M528" t="s">
        <v>25</v>
      </c>
      <c r="N528" t="s">
        <v>328</v>
      </c>
      <c r="O528">
        <v>100</v>
      </c>
      <c r="P528" t="s">
        <v>211</v>
      </c>
      <c r="Q528" t="s">
        <v>150</v>
      </c>
      <c r="R528">
        <v>88</v>
      </c>
      <c r="S528">
        <v>0</v>
      </c>
      <c r="T528" t="s">
        <v>83</v>
      </c>
      <c r="U528" t="s">
        <v>63</v>
      </c>
      <c r="V528">
        <v>4.22</v>
      </c>
      <c r="W528">
        <v>4.29</v>
      </c>
      <c r="X528">
        <v>9.4</v>
      </c>
      <c r="Y528">
        <v>15.8</v>
      </c>
      <c r="Z528">
        <v>6.4</v>
      </c>
    </row>
    <row r="529" spans="1:26">
      <c r="A529" t="s">
        <v>995</v>
      </c>
      <c r="B529">
        <v>56</v>
      </c>
      <c r="C529" t="s">
        <v>71</v>
      </c>
      <c r="D529" t="s">
        <v>44</v>
      </c>
      <c r="E529" t="s">
        <v>311</v>
      </c>
      <c r="F529" t="s">
        <v>268</v>
      </c>
      <c r="G529" t="s">
        <v>349</v>
      </c>
      <c r="H529" t="s">
        <v>34</v>
      </c>
      <c r="I529" t="s">
        <v>20</v>
      </c>
      <c r="J529" s="7">
        <v>44997</v>
      </c>
      <c r="K529" s="7">
        <v>45485</v>
      </c>
      <c r="L529" s="5">
        <v>100</v>
      </c>
      <c r="M529" t="s">
        <v>25</v>
      </c>
      <c r="N529" t="s">
        <v>332</v>
      </c>
      <c r="O529">
        <v>100</v>
      </c>
      <c r="P529" t="s">
        <v>211</v>
      </c>
      <c r="Q529" t="s">
        <v>27</v>
      </c>
      <c r="R529">
        <v>73</v>
      </c>
      <c r="S529">
        <v>0</v>
      </c>
      <c r="T529" t="s">
        <v>80</v>
      </c>
      <c r="U529" t="s">
        <v>61</v>
      </c>
      <c r="V529">
        <v>3.47</v>
      </c>
      <c r="W529">
        <v>3.97</v>
      </c>
      <c r="X529">
        <v>7.6</v>
      </c>
      <c r="Y529">
        <v>15.4</v>
      </c>
      <c r="Z529">
        <v>4.2</v>
      </c>
    </row>
    <row r="530" spans="1:26">
      <c r="A530" t="s">
        <v>996</v>
      </c>
      <c r="B530">
        <v>40</v>
      </c>
      <c r="C530" t="s">
        <v>70</v>
      </c>
      <c r="D530" t="s">
        <v>43</v>
      </c>
      <c r="E530" t="s">
        <v>311</v>
      </c>
      <c r="F530" t="s">
        <v>150</v>
      </c>
      <c r="G530" t="s">
        <v>294</v>
      </c>
      <c r="H530" t="s">
        <v>32</v>
      </c>
      <c r="I530" t="s">
        <v>18</v>
      </c>
      <c r="J530" s="7">
        <v>44294</v>
      </c>
      <c r="K530" s="7">
        <v>44538</v>
      </c>
      <c r="L530" s="5">
        <v>150</v>
      </c>
      <c r="M530" t="s">
        <v>28</v>
      </c>
      <c r="N530" t="s">
        <v>997</v>
      </c>
      <c r="O530">
        <v>150</v>
      </c>
      <c r="P530" t="s">
        <v>211</v>
      </c>
      <c r="Q530" t="s">
        <v>25</v>
      </c>
      <c r="R530">
        <v>33</v>
      </c>
      <c r="S530">
        <v>0</v>
      </c>
      <c r="T530" t="s">
        <v>80</v>
      </c>
      <c r="U530" t="s">
        <v>63</v>
      </c>
      <c r="V530">
        <v>2.48</v>
      </c>
      <c r="W530">
        <v>4.68</v>
      </c>
      <c r="X530">
        <v>6.3</v>
      </c>
      <c r="Y530">
        <v>15.7</v>
      </c>
      <c r="Z530">
        <v>7.6</v>
      </c>
    </row>
    <row r="531" spans="1:26">
      <c r="A531" t="s">
        <v>998</v>
      </c>
      <c r="B531">
        <v>43</v>
      </c>
      <c r="C531" t="s">
        <v>70</v>
      </c>
      <c r="D531" t="s">
        <v>42</v>
      </c>
      <c r="E531" t="s">
        <v>272</v>
      </c>
      <c r="F531" t="s">
        <v>150</v>
      </c>
      <c r="G531" t="s">
        <v>256</v>
      </c>
      <c r="H531" t="s">
        <v>29</v>
      </c>
      <c r="I531" t="s">
        <v>19</v>
      </c>
      <c r="J531" s="7">
        <v>45197</v>
      </c>
      <c r="K531" s="7">
        <v>45716</v>
      </c>
      <c r="L531" s="5">
        <v>50</v>
      </c>
      <c r="M531" t="s">
        <v>27</v>
      </c>
      <c r="N531" t="s">
        <v>596</v>
      </c>
      <c r="O531">
        <v>50</v>
      </c>
      <c r="P531" t="s">
        <v>205</v>
      </c>
      <c r="Q531" t="s">
        <v>26</v>
      </c>
      <c r="R531">
        <v>92</v>
      </c>
      <c r="S531">
        <v>0</v>
      </c>
      <c r="T531" t="s">
        <v>81</v>
      </c>
      <c r="U531" t="s">
        <v>63</v>
      </c>
      <c r="V531">
        <v>2.47</v>
      </c>
      <c r="W531">
        <v>4.58</v>
      </c>
      <c r="X531">
        <v>7</v>
      </c>
      <c r="Y531">
        <v>20.2</v>
      </c>
      <c r="Z531">
        <v>10.7</v>
      </c>
    </row>
    <row r="532" spans="1:26">
      <c r="A532" t="s">
        <v>999</v>
      </c>
      <c r="B532">
        <v>49</v>
      </c>
      <c r="C532" t="s">
        <v>71</v>
      </c>
      <c r="D532" t="s">
        <v>43</v>
      </c>
      <c r="E532" t="s">
        <v>259</v>
      </c>
      <c r="F532" t="s">
        <v>268</v>
      </c>
      <c r="G532" t="s">
        <v>322</v>
      </c>
      <c r="H532" t="s">
        <v>32</v>
      </c>
      <c r="I532" t="s">
        <v>16</v>
      </c>
      <c r="J532" s="7">
        <v>44192</v>
      </c>
      <c r="K532" s="7">
        <v>44404</v>
      </c>
      <c r="L532" s="5">
        <v>100</v>
      </c>
      <c r="M532" t="s">
        <v>150</v>
      </c>
      <c r="N532" t="s">
        <v>358</v>
      </c>
      <c r="O532">
        <v>100</v>
      </c>
      <c r="P532" t="s">
        <v>206</v>
      </c>
      <c r="Q532" t="s">
        <v>25</v>
      </c>
      <c r="R532">
        <v>178</v>
      </c>
      <c r="S532">
        <v>1</v>
      </c>
      <c r="T532" t="s">
        <v>82</v>
      </c>
      <c r="U532" t="s">
        <v>61</v>
      </c>
      <c r="V532">
        <v>3.52</v>
      </c>
      <c r="W532">
        <v>1.99</v>
      </c>
      <c r="X532">
        <v>7.3</v>
      </c>
      <c r="Y532">
        <v>13.7</v>
      </c>
      <c r="Z532">
        <v>10.5</v>
      </c>
    </row>
    <row r="533" spans="1:26">
      <c r="A533" t="s">
        <v>1000</v>
      </c>
      <c r="B533">
        <v>30</v>
      </c>
      <c r="C533" t="s">
        <v>44</v>
      </c>
      <c r="D533" t="s">
        <v>42</v>
      </c>
      <c r="E533" t="s">
        <v>150</v>
      </c>
      <c r="F533" t="s">
        <v>150</v>
      </c>
      <c r="G533" t="s">
        <v>294</v>
      </c>
      <c r="H533" t="s">
        <v>30</v>
      </c>
      <c r="I533" t="s">
        <v>20</v>
      </c>
      <c r="J533" s="7">
        <v>43680</v>
      </c>
      <c r="K533" s="7">
        <v>44077</v>
      </c>
      <c r="L533" s="5">
        <v>100</v>
      </c>
      <c r="M533" t="s">
        <v>25</v>
      </c>
      <c r="N533" t="s">
        <v>501</v>
      </c>
      <c r="O533">
        <v>100</v>
      </c>
      <c r="P533" t="s">
        <v>206</v>
      </c>
      <c r="Q533" t="s">
        <v>25</v>
      </c>
      <c r="R533">
        <v>154</v>
      </c>
      <c r="S533">
        <v>1</v>
      </c>
      <c r="T533" t="s">
        <v>81</v>
      </c>
      <c r="U533" t="s">
        <v>63</v>
      </c>
      <c r="V533">
        <v>3.6</v>
      </c>
      <c r="W533">
        <v>4.75</v>
      </c>
      <c r="X533">
        <v>1.6</v>
      </c>
      <c r="Y533">
        <v>20.8</v>
      </c>
      <c r="Z533">
        <v>8</v>
      </c>
    </row>
    <row r="534" spans="1:26">
      <c r="A534" t="s">
        <v>1001</v>
      </c>
      <c r="B534">
        <v>73</v>
      </c>
      <c r="C534" t="s">
        <v>71</v>
      </c>
      <c r="D534" t="s">
        <v>43</v>
      </c>
      <c r="E534" t="s">
        <v>259</v>
      </c>
      <c r="F534" t="s">
        <v>150</v>
      </c>
      <c r="G534" t="s">
        <v>306</v>
      </c>
      <c r="H534" t="s">
        <v>34</v>
      </c>
      <c r="I534" t="s">
        <v>16</v>
      </c>
      <c r="J534" s="7">
        <v>44397</v>
      </c>
      <c r="K534" s="7">
        <v>44701</v>
      </c>
      <c r="L534" s="5">
        <v>200</v>
      </c>
      <c r="M534" t="s">
        <v>26</v>
      </c>
      <c r="N534" t="s">
        <v>547</v>
      </c>
      <c r="O534">
        <v>200</v>
      </c>
      <c r="P534" t="s">
        <v>205</v>
      </c>
      <c r="Q534" t="s">
        <v>150</v>
      </c>
      <c r="R534">
        <v>106</v>
      </c>
      <c r="S534">
        <v>0</v>
      </c>
      <c r="T534" t="s">
        <v>81</v>
      </c>
      <c r="U534" t="s">
        <v>63</v>
      </c>
      <c r="V534">
        <v>2.78</v>
      </c>
      <c r="W534">
        <v>1.09</v>
      </c>
      <c r="X534">
        <v>3.7</v>
      </c>
      <c r="Y534">
        <v>15</v>
      </c>
      <c r="Z534">
        <v>4</v>
      </c>
    </row>
    <row r="535" spans="1:26">
      <c r="A535" t="s">
        <v>1002</v>
      </c>
      <c r="B535">
        <v>61</v>
      </c>
      <c r="C535" t="s">
        <v>70</v>
      </c>
      <c r="D535" t="s">
        <v>44</v>
      </c>
      <c r="E535" t="s">
        <v>255</v>
      </c>
      <c r="F535" t="s">
        <v>260</v>
      </c>
      <c r="G535" t="s">
        <v>284</v>
      </c>
      <c r="H535" t="s">
        <v>30</v>
      </c>
      <c r="I535" t="s">
        <v>20</v>
      </c>
      <c r="J535" s="7">
        <v>43633</v>
      </c>
      <c r="K535" s="7">
        <v>44029</v>
      </c>
      <c r="L535" s="5">
        <v>200</v>
      </c>
      <c r="M535" t="s">
        <v>26</v>
      </c>
      <c r="N535" t="s">
        <v>584</v>
      </c>
      <c r="O535">
        <v>200</v>
      </c>
      <c r="P535" t="s">
        <v>211</v>
      </c>
      <c r="Q535" t="s">
        <v>150</v>
      </c>
      <c r="R535">
        <v>54</v>
      </c>
      <c r="S535">
        <v>0</v>
      </c>
      <c r="T535" t="s">
        <v>82</v>
      </c>
      <c r="U535" t="s">
        <v>61</v>
      </c>
      <c r="V535">
        <v>2.96</v>
      </c>
      <c r="W535">
        <v>4.71</v>
      </c>
      <c r="X535">
        <v>1.9</v>
      </c>
      <c r="Y535">
        <v>19.8</v>
      </c>
      <c r="Z535">
        <v>10</v>
      </c>
    </row>
    <row r="536" spans="1:26">
      <c r="A536" t="s">
        <v>1003</v>
      </c>
      <c r="B536">
        <v>41</v>
      </c>
      <c r="C536" t="s">
        <v>71</v>
      </c>
      <c r="D536" t="s">
        <v>42</v>
      </c>
      <c r="E536" t="s">
        <v>259</v>
      </c>
      <c r="F536" t="s">
        <v>268</v>
      </c>
      <c r="G536" t="s">
        <v>362</v>
      </c>
      <c r="H536" t="s">
        <v>32</v>
      </c>
      <c r="I536" t="s">
        <v>20</v>
      </c>
      <c r="J536" s="7">
        <v>43779</v>
      </c>
      <c r="K536" s="7">
        <v>44237</v>
      </c>
      <c r="L536" s="5">
        <v>100</v>
      </c>
      <c r="M536" t="s">
        <v>26</v>
      </c>
      <c r="N536" t="s">
        <v>475</v>
      </c>
      <c r="O536">
        <v>100</v>
      </c>
      <c r="P536" t="s">
        <v>211</v>
      </c>
      <c r="Q536" t="s">
        <v>26</v>
      </c>
      <c r="R536">
        <v>70</v>
      </c>
      <c r="S536">
        <v>0</v>
      </c>
      <c r="T536" t="s">
        <v>80</v>
      </c>
      <c r="U536" t="s">
        <v>63</v>
      </c>
      <c r="V536">
        <v>3.62</v>
      </c>
      <c r="W536">
        <v>2.04</v>
      </c>
      <c r="X536">
        <v>2.4</v>
      </c>
      <c r="Y536">
        <v>8.9</v>
      </c>
      <c r="Z536">
        <v>4.2</v>
      </c>
    </row>
    <row r="537" spans="1:26">
      <c r="A537" t="s">
        <v>1004</v>
      </c>
      <c r="B537">
        <v>59</v>
      </c>
      <c r="C537" t="s">
        <v>44</v>
      </c>
      <c r="D537" t="s">
        <v>43</v>
      </c>
      <c r="E537" t="s">
        <v>255</v>
      </c>
      <c r="F537" t="s">
        <v>150</v>
      </c>
      <c r="G537" t="s">
        <v>322</v>
      </c>
      <c r="H537" t="s">
        <v>30</v>
      </c>
      <c r="I537" t="s">
        <v>19</v>
      </c>
      <c r="J537" s="7">
        <v>44693</v>
      </c>
      <c r="K537" s="7">
        <v>44938</v>
      </c>
      <c r="L537" s="5">
        <v>150</v>
      </c>
      <c r="M537" t="s">
        <v>150</v>
      </c>
      <c r="N537" t="s">
        <v>686</v>
      </c>
      <c r="O537">
        <v>150</v>
      </c>
      <c r="P537" t="s">
        <v>211</v>
      </c>
      <c r="Q537" t="s">
        <v>27</v>
      </c>
      <c r="R537">
        <v>174</v>
      </c>
      <c r="S537">
        <v>0</v>
      </c>
      <c r="T537" t="s">
        <v>82</v>
      </c>
      <c r="U537" t="s">
        <v>61</v>
      </c>
      <c r="V537">
        <v>1.74</v>
      </c>
      <c r="W537">
        <v>3.66</v>
      </c>
      <c r="X537">
        <v>8.9</v>
      </c>
      <c r="Y537">
        <v>20.7</v>
      </c>
      <c r="Z537">
        <v>14.6</v>
      </c>
    </row>
    <row r="538" spans="1:26">
      <c r="A538" t="s">
        <v>1005</v>
      </c>
      <c r="B538">
        <v>18</v>
      </c>
      <c r="C538" t="s">
        <v>70</v>
      </c>
      <c r="D538" t="s">
        <v>42</v>
      </c>
      <c r="E538" t="s">
        <v>272</v>
      </c>
      <c r="F538" t="s">
        <v>273</v>
      </c>
      <c r="G538" t="s">
        <v>431</v>
      </c>
      <c r="H538" t="s">
        <v>32</v>
      </c>
      <c r="I538" t="s">
        <v>16</v>
      </c>
      <c r="J538" s="7">
        <v>43943</v>
      </c>
      <c r="K538" s="7">
        <v>44461</v>
      </c>
      <c r="L538" s="5">
        <v>150</v>
      </c>
      <c r="M538" t="s">
        <v>150</v>
      </c>
      <c r="N538" t="s">
        <v>1006</v>
      </c>
      <c r="O538">
        <v>150</v>
      </c>
      <c r="P538" t="s">
        <v>211</v>
      </c>
      <c r="Q538" t="s">
        <v>27</v>
      </c>
      <c r="R538">
        <v>113</v>
      </c>
      <c r="S538">
        <v>0</v>
      </c>
      <c r="T538" t="s">
        <v>80</v>
      </c>
      <c r="U538" t="s">
        <v>63</v>
      </c>
      <c r="V538">
        <v>1.44</v>
      </c>
      <c r="W538">
        <v>2.16</v>
      </c>
      <c r="X538">
        <v>3.8</v>
      </c>
      <c r="Y538">
        <v>10.5</v>
      </c>
      <c r="Z538">
        <v>11.8</v>
      </c>
    </row>
    <row r="539" spans="1:26">
      <c r="A539" t="s">
        <v>1007</v>
      </c>
      <c r="B539">
        <v>45</v>
      </c>
      <c r="C539" t="s">
        <v>44</v>
      </c>
      <c r="D539" t="s">
        <v>44</v>
      </c>
      <c r="E539" t="s">
        <v>272</v>
      </c>
      <c r="F539" t="s">
        <v>150</v>
      </c>
      <c r="G539" t="s">
        <v>284</v>
      </c>
      <c r="H539" t="s">
        <v>29</v>
      </c>
      <c r="I539" t="s">
        <v>18</v>
      </c>
      <c r="J539" s="7">
        <v>44006</v>
      </c>
      <c r="K539" s="7">
        <v>44401</v>
      </c>
      <c r="L539" s="5">
        <v>200</v>
      </c>
      <c r="M539" t="s">
        <v>27</v>
      </c>
      <c r="N539" t="s">
        <v>433</v>
      </c>
      <c r="O539">
        <v>200</v>
      </c>
      <c r="P539" t="s">
        <v>205</v>
      </c>
      <c r="Q539" t="s">
        <v>27</v>
      </c>
      <c r="R539">
        <v>93</v>
      </c>
      <c r="S539">
        <v>0</v>
      </c>
      <c r="T539" t="s">
        <v>81</v>
      </c>
      <c r="U539" t="s">
        <v>61</v>
      </c>
      <c r="V539">
        <v>3.14</v>
      </c>
      <c r="W539">
        <v>2.43</v>
      </c>
      <c r="X539">
        <v>4.2</v>
      </c>
      <c r="Y539">
        <v>20.9</v>
      </c>
      <c r="Z539">
        <v>16.4</v>
      </c>
    </row>
    <row r="540" spans="1:26">
      <c r="A540" t="s">
        <v>1008</v>
      </c>
      <c r="B540">
        <v>25</v>
      </c>
      <c r="C540" t="s">
        <v>71</v>
      </c>
      <c r="D540" t="s">
        <v>42</v>
      </c>
      <c r="E540" t="s">
        <v>150</v>
      </c>
      <c r="F540" t="s">
        <v>264</v>
      </c>
      <c r="G540" t="s">
        <v>431</v>
      </c>
      <c r="H540" t="s">
        <v>32</v>
      </c>
      <c r="I540" t="s">
        <v>16</v>
      </c>
      <c r="J540" s="7">
        <v>44644</v>
      </c>
      <c r="K540" s="7">
        <v>44858</v>
      </c>
      <c r="L540" s="5">
        <v>150</v>
      </c>
      <c r="M540" t="s">
        <v>27</v>
      </c>
      <c r="N540" t="s">
        <v>501</v>
      </c>
      <c r="O540">
        <v>150</v>
      </c>
      <c r="P540" t="s">
        <v>211</v>
      </c>
      <c r="Q540" t="s">
        <v>25</v>
      </c>
      <c r="R540">
        <v>81</v>
      </c>
      <c r="S540">
        <v>0</v>
      </c>
      <c r="T540" t="s">
        <v>80</v>
      </c>
      <c r="U540" t="s">
        <v>63</v>
      </c>
      <c r="V540">
        <v>2.23</v>
      </c>
      <c r="W540">
        <v>4.66</v>
      </c>
      <c r="X540">
        <v>9.6</v>
      </c>
      <c r="Y540">
        <v>11.9</v>
      </c>
      <c r="Z540">
        <v>9</v>
      </c>
    </row>
    <row r="541" spans="1:26">
      <c r="A541" t="s">
        <v>1009</v>
      </c>
      <c r="B541">
        <v>74</v>
      </c>
      <c r="C541" t="s">
        <v>71</v>
      </c>
      <c r="D541" t="s">
        <v>39</v>
      </c>
      <c r="E541" t="s">
        <v>255</v>
      </c>
      <c r="F541" t="s">
        <v>150</v>
      </c>
      <c r="G541" t="s">
        <v>322</v>
      </c>
      <c r="H541" t="s">
        <v>32</v>
      </c>
      <c r="I541" t="s">
        <v>16</v>
      </c>
      <c r="J541" s="7">
        <v>43889</v>
      </c>
      <c r="K541" s="7">
        <v>44436</v>
      </c>
      <c r="L541" s="5">
        <v>150</v>
      </c>
      <c r="M541" t="s">
        <v>27</v>
      </c>
      <c r="N541" t="s">
        <v>406</v>
      </c>
      <c r="O541">
        <v>150</v>
      </c>
      <c r="P541" t="s">
        <v>211</v>
      </c>
      <c r="Q541" t="s">
        <v>27</v>
      </c>
      <c r="R541">
        <v>88</v>
      </c>
      <c r="S541">
        <v>0</v>
      </c>
      <c r="T541" t="s">
        <v>82</v>
      </c>
      <c r="U541" t="s">
        <v>61</v>
      </c>
      <c r="V541">
        <v>3.02</v>
      </c>
      <c r="W541">
        <v>4.76</v>
      </c>
      <c r="X541">
        <v>8.9</v>
      </c>
      <c r="Y541">
        <v>7.8</v>
      </c>
      <c r="Z541">
        <v>9.7</v>
      </c>
    </row>
    <row r="542" spans="1:26">
      <c r="A542" t="s">
        <v>1010</v>
      </c>
      <c r="B542">
        <v>60</v>
      </c>
      <c r="C542" t="s">
        <v>71</v>
      </c>
      <c r="D542" t="s">
        <v>39</v>
      </c>
      <c r="E542" t="s">
        <v>150</v>
      </c>
      <c r="F542" t="s">
        <v>150</v>
      </c>
      <c r="G542" t="s">
        <v>312</v>
      </c>
      <c r="H542" t="s">
        <v>30</v>
      </c>
      <c r="I542" t="s">
        <v>16</v>
      </c>
      <c r="J542" s="7">
        <v>44755</v>
      </c>
      <c r="K542" s="7">
        <v>45304</v>
      </c>
      <c r="L542" s="5">
        <v>200</v>
      </c>
      <c r="M542" t="s">
        <v>25</v>
      </c>
      <c r="N542" t="s">
        <v>347</v>
      </c>
      <c r="O542">
        <v>200</v>
      </c>
      <c r="P542" t="s">
        <v>205</v>
      </c>
      <c r="Q542" t="s">
        <v>150</v>
      </c>
      <c r="R542">
        <v>34</v>
      </c>
      <c r="S542">
        <v>0</v>
      </c>
      <c r="T542" t="s">
        <v>80</v>
      </c>
      <c r="U542" t="s">
        <v>61</v>
      </c>
      <c r="V542">
        <v>3.21</v>
      </c>
      <c r="W542">
        <v>3.01</v>
      </c>
      <c r="X542">
        <v>2.7</v>
      </c>
      <c r="Y542">
        <v>21.5</v>
      </c>
      <c r="Z542">
        <v>14.5</v>
      </c>
    </row>
    <row r="543" spans="1:26">
      <c r="A543" t="s">
        <v>1011</v>
      </c>
      <c r="B543">
        <v>22</v>
      </c>
      <c r="C543" t="s">
        <v>44</v>
      </c>
      <c r="D543" t="s">
        <v>39</v>
      </c>
      <c r="E543" t="s">
        <v>255</v>
      </c>
      <c r="F543" t="s">
        <v>268</v>
      </c>
      <c r="G543" t="s">
        <v>256</v>
      </c>
      <c r="H543" t="s">
        <v>29</v>
      </c>
      <c r="I543" t="s">
        <v>16</v>
      </c>
      <c r="J543" s="7">
        <v>44975</v>
      </c>
      <c r="K543" s="7">
        <v>45522</v>
      </c>
      <c r="L543" s="5">
        <v>50</v>
      </c>
      <c r="M543" t="s">
        <v>26</v>
      </c>
      <c r="N543" t="s">
        <v>373</v>
      </c>
      <c r="O543">
        <v>50</v>
      </c>
      <c r="P543" t="s">
        <v>205</v>
      </c>
      <c r="Q543" t="s">
        <v>26</v>
      </c>
      <c r="R543">
        <v>48</v>
      </c>
      <c r="S543">
        <v>0</v>
      </c>
      <c r="T543" t="s">
        <v>82</v>
      </c>
      <c r="U543" t="s">
        <v>61</v>
      </c>
      <c r="V543">
        <v>4.35</v>
      </c>
      <c r="W543">
        <v>4.44</v>
      </c>
      <c r="X543">
        <v>7.7</v>
      </c>
      <c r="Y543">
        <v>13.9</v>
      </c>
      <c r="Z543">
        <v>13.4</v>
      </c>
    </row>
    <row r="544" spans="1:26">
      <c r="A544" t="s">
        <v>1012</v>
      </c>
      <c r="B544">
        <v>77</v>
      </c>
      <c r="C544" t="s">
        <v>70</v>
      </c>
      <c r="D544" t="s">
        <v>41</v>
      </c>
      <c r="E544" t="s">
        <v>150</v>
      </c>
      <c r="F544" t="s">
        <v>268</v>
      </c>
      <c r="G544" t="s">
        <v>256</v>
      </c>
      <c r="H544" t="s">
        <v>34</v>
      </c>
      <c r="I544" t="s">
        <v>20</v>
      </c>
      <c r="J544" s="7">
        <v>43665</v>
      </c>
      <c r="K544" s="7">
        <v>43970</v>
      </c>
      <c r="L544" s="5">
        <v>50</v>
      </c>
      <c r="M544" t="s">
        <v>27</v>
      </c>
      <c r="N544" t="s">
        <v>445</v>
      </c>
      <c r="O544">
        <v>50</v>
      </c>
      <c r="P544" t="s">
        <v>211</v>
      </c>
      <c r="Q544" t="s">
        <v>27</v>
      </c>
      <c r="R544">
        <v>68</v>
      </c>
      <c r="S544">
        <v>0</v>
      </c>
      <c r="T544" t="s">
        <v>81</v>
      </c>
      <c r="U544" t="s">
        <v>63</v>
      </c>
      <c r="V544">
        <v>1.64</v>
      </c>
      <c r="W544">
        <v>3.69</v>
      </c>
      <c r="X544">
        <v>2.6</v>
      </c>
      <c r="Y544">
        <v>18.5</v>
      </c>
      <c r="Z544">
        <v>6.9</v>
      </c>
    </row>
    <row r="545" spans="1:26">
      <c r="A545" t="s">
        <v>1013</v>
      </c>
      <c r="B545">
        <v>59</v>
      </c>
      <c r="C545" t="s">
        <v>44</v>
      </c>
      <c r="D545" t="s">
        <v>43</v>
      </c>
      <c r="E545" t="s">
        <v>259</v>
      </c>
      <c r="F545" t="s">
        <v>150</v>
      </c>
      <c r="G545" t="s">
        <v>274</v>
      </c>
      <c r="H545" t="s">
        <v>32</v>
      </c>
      <c r="I545" t="s">
        <v>18</v>
      </c>
      <c r="J545" s="7">
        <v>43897</v>
      </c>
      <c r="K545" s="7">
        <v>44203</v>
      </c>
      <c r="L545" s="5">
        <v>100</v>
      </c>
      <c r="M545" t="s">
        <v>28</v>
      </c>
      <c r="N545" t="s">
        <v>979</v>
      </c>
      <c r="O545">
        <v>100</v>
      </c>
      <c r="P545" t="s">
        <v>205</v>
      </c>
      <c r="Q545" t="s">
        <v>28</v>
      </c>
      <c r="R545">
        <v>62</v>
      </c>
      <c r="S545">
        <v>0</v>
      </c>
      <c r="T545" t="s">
        <v>80</v>
      </c>
      <c r="U545" t="s">
        <v>61</v>
      </c>
      <c r="V545">
        <v>1.47</v>
      </c>
      <c r="W545">
        <v>1.66</v>
      </c>
      <c r="X545">
        <v>1</v>
      </c>
      <c r="Y545">
        <v>18.9</v>
      </c>
      <c r="Z545">
        <v>15.5</v>
      </c>
    </row>
    <row r="546" spans="1:26">
      <c r="A546" t="s">
        <v>1014</v>
      </c>
      <c r="B546">
        <v>26</v>
      </c>
      <c r="C546" t="s">
        <v>70</v>
      </c>
      <c r="D546" t="s">
        <v>39</v>
      </c>
      <c r="E546" t="s">
        <v>259</v>
      </c>
      <c r="F546" t="s">
        <v>150</v>
      </c>
      <c r="G546" t="s">
        <v>278</v>
      </c>
      <c r="H546" t="s">
        <v>32</v>
      </c>
      <c r="I546" t="s">
        <v>18</v>
      </c>
      <c r="J546" s="7">
        <v>44689</v>
      </c>
      <c r="K546" s="7">
        <v>44965</v>
      </c>
      <c r="L546" s="5">
        <v>150</v>
      </c>
      <c r="M546" t="s">
        <v>26</v>
      </c>
      <c r="N546" t="s">
        <v>398</v>
      </c>
      <c r="O546">
        <v>150</v>
      </c>
      <c r="P546" t="s">
        <v>206</v>
      </c>
      <c r="Q546" t="s">
        <v>27</v>
      </c>
      <c r="R546">
        <v>36</v>
      </c>
      <c r="S546">
        <v>1</v>
      </c>
      <c r="T546" t="s">
        <v>82</v>
      </c>
      <c r="U546" t="s">
        <v>63</v>
      </c>
      <c r="V546">
        <v>3.06</v>
      </c>
      <c r="W546">
        <v>1.65</v>
      </c>
      <c r="X546">
        <v>1.8</v>
      </c>
      <c r="Y546">
        <v>6.3</v>
      </c>
      <c r="Z546">
        <v>5.8</v>
      </c>
    </row>
    <row r="547" spans="1:26">
      <c r="A547" t="s">
        <v>1015</v>
      </c>
      <c r="B547">
        <v>66</v>
      </c>
      <c r="C547" t="s">
        <v>71</v>
      </c>
      <c r="D547" t="s">
        <v>43</v>
      </c>
      <c r="E547" t="s">
        <v>272</v>
      </c>
      <c r="F547" t="s">
        <v>273</v>
      </c>
      <c r="G547" t="s">
        <v>297</v>
      </c>
      <c r="H547" t="s">
        <v>29</v>
      </c>
      <c r="I547" t="s">
        <v>16</v>
      </c>
      <c r="J547" s="7">
        <v>44093</v>
      </c>
      <c r="K547" s="7">
        <v>44611</v>
      </c>
      <c r="L547" s="5">
        <v>50</v>
      </c>
      <c r="M547" t="s">
        <v>26</v>
      </c>
      <c r="N547" t="s">
        <v>505</v>
      </c>
      <c r="O547">
        <v>50</v>
      </c>
      <c r="P547" t="s">
        <v>211</v>
      </c>
      <c r="Q547" t="s">
        <v>25</v>
      </c>
      <c r="R547">
        <v>121</v>
      </c>
      <c r="S547">
        <v>0</v>
      </c>
      <c r="T547" t="s">
        <v>81</v>
      </c>
      <c r="U547" t="s">
        <v>61</v>
      </c>
      <c r="V547">
        <v>4.56</v>
      </c>
      <c r="W547">
        <v>1.97</v>
      </c>
      <c r="X547">
        <v>4.2</v>
      </c>
      <c r="Y547">
        <v>7.9</v>
      </c>
      <c r="Z547">
        <v>6.8</v>
      </c>
    </row>
    <row r="548" spans="1:26">
      <c r="A548" t="s">
        <v>1016</v>
      </c>
      <c r="B548">
        <v>42</v>
      </c>
      <c r="C548" t="s">
        <v>71</v>
      </c>
      <c r="D548" t="s">
        <v>42</v>
      </c>
      <c r="E548" t="s">
        <v>255</v>
      </c>
      <c r="F548" t="s">
        <v>264</v>
      </c>
      <c r="G548" t="s">
        <v>349</v>
      </c>
      <c r="H548" t="s">
        <v>29</v>
      </c>
      <c r="I548" t="s">
        <v>20</v>
      </c>
      <c r="J548" s="7">
        <v>43478</v>
      </c>
      <c r="K548" s="7">
        <v>44025</v>
      </c>
      <c r="L548" s="5">
        <v>200</v>
      </c>
      <c r="M548" t="s">
        <v>28</v>
      </c>
      <c r="N548" t="s">
        <v>323</v>
      </c>
      <c r="O548">
        <v>200</v>
      </c>
      <c r="P548" t="s">
        <v>211</v>
      </c>
      <c r="Q548" t="s">
        <v>28</v>
      </c>
      <c r="R548">
        <v>141</v>
      </c>
      <c r="S548">
        <v>0</v>
      </c>
      <c r="T548" t="s">
        <v>81</v>
      </c>
      <c r="U548" t="s">
        <v>63</v>
      </c>
      <c r="V548">
        <v>3.08</v>
      </c>
      <c r="W548">
        <v>3.43</v>
      </c>
      <c r="X548">
        <v>3.2</v>
      </c>
      <c r="Y548">
        <v>7</v>
      </c>
      <c r="Z548">
        <v>9.6</v>
      </c>
    </row>
    <row r="549" spans="1:26">
      <c r="A549" t="s">
        <v>1017</v>
      </c>
      <c r="B549">
        <v>28</v>
      </c>
      <c r="C549" t="s">
        <v>44</v>
      </c>
      <c r="D549" t="s">
        <v>43</v>
      </c>
      <c r="E549" t="s">
        <v>272</v>
      </c>
      <c r="F549" t="s">
        <v>264</v>
      </c>
      <c r="G549" t="s">
        <v>256</v>
      </c>
      <c r="H549" t="s">
        <v>29</v>
      </c>
      <c r="I549" t="s">
        <v>18</v>
      </c>
      <c r="J549" s="7">
        <v>43909</v>
      </c>
      <c r="K549" s="7">
        <v>44093</v>
      </c>
      <c r="L549" s="5">
        <v>100</v>
      </c>
      <c r="M549" t="s">
        <v>26</v>
      </c>
      <c r="N549" t="s">
        <v>526</v>
      </c>
      <c r="O549">
        <v>100</v>
      </c>
      <c r="P549" t="s">
        <v>206</v>
      </c>
      <c r="Q549" t="s">
        <v>28</v>
      </c>
      <c r="R549">
        <v>83</v>
      </c>
      <c r="S549">
        <v>1</v>
      </c>
      <c r="T549" t="s">
        <v>81</v>
      </c>
      <c r="U549" t="s">
        <v>61</v>
      </c>
      <c r="V549">
        <v>1.94</v>
      </c>
      <c r="W549">
        <v>1.88</v>
      </c>
      <c r="X549">
        <v>9.6</v>
      </c>
      <c r="Y549">
        <v>17.1</v>
      </c>
      <c r="Z549">
        <v>12.5</v>
      </c>
    </row>
    <row r="550" spans="1:26">
      <c r="A550" t="s">
        <v>1018</v>
      </c>
      <c r="B550">
        <v>71</v>
      </c>
      <c r="C550" t="s">
        <v>71</v>
      </c>
      <c r="D550" t="s">
        <v>43</v>
      </c>
      <c r="E550" t="s">
        <v>259</v>
      </c>
      <c r="F550" t="s">
        <v>268</v>
      </c>
      <c r="G550" t="s">
        <v>281</v>
      </c>
      <c r="H550" t="s">
        <v>30</v>
      </c>
      <c r="I550" t="s">
        <v>19</v>
      </c>
      <c r="J550" s="7">
        <v>43525</v>
      </c>
      <c r="K550" s="7">
        <v>43922</v>
      </c>
      <c r="L550" s="5">
        <v>100</v>
      </c>
      <c r="M550" t="s">
        <v>27</v>
      </c>
      <c r="N550" t="s">
        <v>481</v>
      </c>
      <c r="O550">
        <v>100</v>
      </c>
      <c r="P550" t="s">
        <v>205</v>
      </c>
      <c r="Q550" t="s">
        <v>150</v>
      </c>
      <c r="R550">
        <v>37</v>
      </c>
      <c r="S550">
        <v>0</v>
      </c>
      <c r="T550" t="s">
        <v>83</v>
      </c>
      <c r="U550" t="s">
        <v>61</v>
      </c>
      <c r="V550">
        <v>2.66</v>
      </c>
      <c r="W550">
        <v>2.72</v>
      </c>
      <c r="X550">
        <v>5.9</v>
      </c>
      <c r="Y550">
        <v>18.5</v>
      </c>
      <c r="Z550">
        <v>14.9</v>
      </c>
    </row>
    <row r="551" spans="1:26">
      <c r="A551" t="s">
        <v>1019</v>
      </c>
      <c r="B551">
        <v>21</v>
      </c>
      <c r="C551" t="s">
        <v>70</v>
      </c>
      <c r="D551" t="s">
        <v>42</v>
      </c>
      <c r="E551" t="s">
        <v>259</v>
      </c>
      <c r="F551" t="s">
        <v>150</v>
      </c>
      <c r="G551" t="s">
        <v>291</v>
      </c>
      <c r="H551" t="s">
        <v>34</v>
      </c>
      <c r="I551" t="s">
        <v>18</v>
      </c>
      <c r="J551" s="7">
        <v>43862</v>
      </c>
      <c r="K551" s="7">
        <v>44197</v>
      </c>
      <c r="L551" s="5">
        <v>100</v>
      </c>
      <c r="M551" t="s">
        <v>27</v>
      </c>
      <c r="N551" t="s">
        <v>584</v>
      </c>
      <c r="O551">
        <v>100</v>
      </c>
      <c r="P551" t="s">
        <v>206</v>
      </c>
      <c r="Q551" t="s">
        <v>27</v>
      </c>
      <c r="R551">
        <v>148</v>
      </c>
      <c r="S551">
        <v>1</v>
      </c>
      <c r="T551" t="s">
        <v>82</v>
      </c>
      <c r="U551" t="s">
        <v>61</v>
      </c>
      <c r="V551">
        <v>1.69</v>
      </c>
      <c r="W551">
        <v>3</v>
      </c>
      <c r="X551">
        <v>4.7</v>
      </c>
      <c r="Y551">
        <v>21.7</v>
      </c>
      <c r="Z551">
        <v>13.7</v>
      </c>
    </row>
    <row r="552" spans="1:26">
      <c r="A552" t="s">
        <v>1020</v>
      </c>
      <c r="B552">
        <v>35</v>
      </c>
      <c r="C552" t="s">
        <v>44</v>
      </c>
      <c r="D552" t="s">
        <v>42</v>
      </c>
      <c r="E552" t="s">
        <v>150</v>
      </c>
      <c r="F552" t="s">
        <v>264</v>
      </c>
      <c r="G552" t="s">
        <v>281</v>
      </c>
      <c r="H552" t="s">
        <v>32</v>
      </c>
      <c r="I552" t="s">
        <v>19</v>
      </c>
      <c r="J552" s="7">
        <v>45253</v>
      </c>
      <c r="K552" s="7">
        <v>45466</v>
      </c>
      <c r="L552" s="5">
        <v>200</v>
      </c>
      <c r="M552" t="s">
        <v>25</v>
      </c>
      <c r="N552" t="s">
        <v>739</v>
      </c>
      <c r="O552">
        <v>200</v>
      </c>
      <c r="P552" t="s">
        <v>206</v>
      </c>
      <c r="Q552" t="s">
        <v>25</v>
      </c>
      <c r="R552">
        <v>63</v>
      </c>
      <c r="S552">
        <v>1</v>
      </c>
      <c r="T552" t="s">
        <v>78</v>
      </c>
      <c r="U552" t="s">
        <v>63</v>
      </c>
      <c r="V552">
        <v>3.13</v>
      </c>
      <c r="W552">
        <v>1.46</v>
      </c>
      <c r="X552">
        <v>6.5</v>
      </c>
      <c r="Y552">
        <v>8.1</v>
      </c>
      <c r="Z552">
        <v>8.7</v>
      </c>
    </row>
    <row r="553" spans="1:26">
      <c r="A553" t="s">
        <v>1021</v>
      </c>
      <c r="B553">
        <v>28</v>
      </c>
      <c r="C553" t="s">
        <v>44</v>
      </c>
      <c r="D553" t="s">
        <v>42</v>
      </c>
      <c r="E553" t="s">
        <v>272</v>
      </c>
      <c r="F553" t="s">
        <v>268</v>
      </c>
      <c r="G553" t="s">
        <v>284</v>
      </c>
      <c r="H553" t="s">
        <v>30</v>
      </c>
      <c r="I553" t="s">
        <v>18</v>
      </c>
      <c r="J553" s="7">
        <v>44279</v>
      </c>
      <c r="K553" s="7">
        <v>44766</v>
      </c>
      <c r="L553" s="5">
        <v>150</v>
      </c>
      <c r="M553" t="s">
        <v>27</v>
      </c>
      <c r="N553" t="s">
        <v>298</v>
      </c>
      <c r="O553">
        <v>150</v>
      </c>
      <c r="P553" t="s">
        <v>206</v>
      </c>
      <c r="Q553" t="s">
        <v>150</v>
      </c>
      <c r="R553">
        <v>138</v>
      </c>
      <c r="S553">
        <v>1</v>
      </c>
      <c r="T553" t="s">
        <v>81</v>
      </c>
      <c r="U553" t="s">
        <v>63</v>
      </c>
      <c r="V553">
        <v>1.57</v>
      </c>
      <c r="W553">
        <v>3.77</v>
      </c>
      <c r="X553">
        <v>2.9</v>
      </c>
      <c r="Y553">
        <v>13.1</v>
      </c>
      <c r="Z553">
        <v>18.2</v>
      </c>
    </row>
    <row r="554" spans="1:26">
      <c r="A554" t="s">
        <v>1022</v>
      </c>
      <c r="B554">
        <v>22</v>
      </c>
      <c r="C554" t="s">
        <v>44</v>
      </c>
      <c r="D554" t="s">
        <v>43</v>
      </c>
      <c r="E554" t="s">
        <v>311</v>
      </c>
      <c r="F554" t="s">
        <v>150</v>
      </c>
      <c r="G554" t="s">
        <v>288</v>
      </c>
      <c r="H554" t="s">
        <v>29</v>
      </c>
      <c r="I554" t="s">
        <v>18</v>
      </c>
      <c r="J554" s="7">
        <v>43561</v>
      </c>
      <c r="K554" s="7">
        <v>43927</v>
      </c>
      <c r="L554" s="5">
        <v>150</v>
      </c>
      <c r="M554" t="s">
        <v>25</v>
      </c>
      <c r="N554" t="s">
        <v>547</v>
      </c>
      <c r="O554">
        <v>150</v>
      </c>
      <c r="P554" t="s">
        <v>211</v>
      </c>
      <c r="Q554" t="s">
        <v>150</v>
      </c>
      <c r="R554">
        <v>78</v>
      </c>
      <c r="S554">
        <v>0</v>
      </c>
      <c r="T554" t="s">
        <v>80</v>
      </c>
      <c r="U554" t="s">
        <v>61</v>
      </c>
      <c r="V554">
        <v>1.82</v>
      </c>
      <c r="W554">
        <v>3.03</v>
      </c>
      <c r="X554">
        <v>4.8</v>
      </c>
      <c r="Y554">
        <v>6.3</v>
      </c>
      <c r="Z554">
        <v>16.5</v>
      </c>
    </row>
    <row r="555" spans="1:26">
      <c r="A555" t="s">
        <v>1023</v>
      </c>
      <c r="B555">
        <v>75</v>
      </c>
      <c r="C555" t="s">
        <v>71</v>
      </c>
      <c r="D555" t="s">
        <v>43</v>
      </c>
      <c r="E555" t="s">
        <v>255</v>
      </c>
      <c r="F555" t="s">
        <v>260</v>
      </c>
      <c r="G555" t="s">
        <v>284</v>
      </c>
      <c r="H555" t="s">
        <v>32</v>
      </c>
      <c r="I555" t="s">
        <v>19</v>
      </c>
      <c r="J555" s="7">
        <v>44264</v>
      </c>
      <c r="K555" s="7">
        <v>44601</v>
      </c>
      <c r="L555" s="5">
        <v>200</v>
      </c>
      <c r="M555" t="s">
        <v>27</v>
      </c>
      <c r="N555" t="s">
        <v>1024</v>
      </c>
      <c r="O555">
        <v>200</v>
      </c>
      <c r="P555" t="s">
        <v>205</v>
      </c>
      <c r="Q555" t="s">
        <v>150</v>
      </c>
      <c r="R555">
        <v>46</v>
      </c>
      <c r="S555">
        <v>0</v>
      </c>
      <c r="T555" t="s">
        <v>81</v>
      </c>
      <c r="U555" t="s">
        <v>61</v>
      </c>
      <c r="V555">
        <v>1.28</v>
      </c>
      <c r="W555">
        <v>2.9</v>
      </c>
      <c r="X555">
        <v>6</v>
      </c>
      <c r="Y555">
        <v>17.3</v>
      </c>
      <c r="Z555">
        <v>14.7</v>
      </c>
    </row>
    <row r="556" spans="1:26">
      <c r="A556" t="s">
        <v>1025</v>
      </c>
      <c r="B556">
        <v>21</v>
      </c>
      <c r="C556" t="s">
        <v>44</v>
      </c>
      <c r="D556" t="s">
        <v>41</v>
      </c>
      <c r="E556" t="s">
        <v>311</v>
      </c>
      <c r="F556" t="s">
        <v>260</v>
      </c>
      <c r="G556" t="s">
        <v>284</v>
      </c>
      <c r="H556" t="s">
        <v>29</v>
      </c>
      <c r="I556" t="s">
        <v>19</v>
      </c>
      <c r="J556" s="7">
        <v>43992</v>
      </c>
      <c r="K556" s="7">
        <v>44387</v>
      </c>
      <c r="L556" s="5">
        <v>200</v>
      </c>
      <c r="M556" t="s">
        <v>28</v>
      </c>
      <c r="N556" t="s">
        <v>785</v>
      </c>
      <c r="O556">
        <v>200</v>
      </c>
      <c r="P556" t="s">
        <v>206</v>
      </c>
      <c r="Q556" t="s">
        <v>26</v>
      </c>
      <c r="R556">
        <v>86</v>
      </c>
      <c r="S556">
        <v>1</v>
      </c>
      <c r="T556" t="s">
        <v>83</v>
      </c>
      <c r="U556" t="s">
        <v>63</v>
      </c>
      <c r="V556">
        <v>2.01</v>
      </c>
      <c r="W556">
        <v>1.04</v>
      </c>
      <c r="X556">
        <v>7.5</v>
      </c>
      <c r="Y556">
        <v>15.6</v>
      </c>
      <c r="Z556">
        <v>17.2</v>
      </c>
    </row>
    <row r="557" spans="1:26">
      <c r="A557" t="s">
        <v>1026</v>
      </c>
      <c r="B557">
        <v>63</v>
      </c>
      <c r="C557" t="s">
        <v>44</v>
      </c>
      <c r="D557" t="s">
        <v>44</v>
      </c>
      <c r="E557" t="s">
        <v>259</v>
      </c>
      <c r="F557" t="s">
        <v>150</v>
      </c>
      <c r="G557" t="s">
        <v>349</v>
      </c>
      <c r="H557" t="s">
        <v>29</v>
      </c>
      <c r="I557" t="s">
        <v>19</v>
      </c>
      <c r="J557" s="7">
        <v>45039</v>
      </c>
      <c r="K557" s="7">
        <v>45466</v>
      </c>
      <c r="L557" s="5">
        <v>100</v>
      </c>
      <c r="M557" t="s">
        <v>26</v>
      </c>
      <c r="N557" t="s">
        <v>528</v>
      </c>
      <c r="O557">
        <v>100</v>
      </c>
      <c r="P557" t="s">
        <v>206</v>
      </c>
      <c r="Q557" t="s">
        <v>25</v>
      </c>
      <c r="R557">
        <v>87</v>
      </c>
      <c r="S557">
        <v>1</v>
      </c>
      <c r="T557" t="s">
        <v>78</v>
      </c>
      <c r="U557" t="s">
        <v>61</v>
      </c>
      <c r="V557">
        <v>4.29</v>
      </c>
      <c r="W557">
        <v>4.37</v>
      </c>
      <c r="X557">
        <v>5.4</v>
      </c>
      <c r="Y557">
        <v>12</v>
      </c>
      <c r="Z557">
        <v>16.5</v>
      </c>
    </row>
    <row r="558" spans="1:26">
      <c r="A558" t="s">
        <v>1027</v>
      </c>
      <c r="B558">
        <v>43</v>
      </c>
      <c r="C558" t="s">
        <v>70</v>
      </c>
      <c r="D558" t="s">
        <v>42</v>
      </c>
      <c r="E558" t="s">
        <v>272</v>
      </c>
      <c r="F558" t="s">
        <v>268</v>
      </c>
      <c r="G558" t="s">
        <v>261</v>
      </c>
      <c r="H558" t="s">
        <v>34</v>
      </c>
      <c r="I558" t="s">
        <v>20</v>
      </c>
      <c r="J558" s="7">
        <v>44279</v>
      </c>
      <c r="K558" s="7">
        <v>44585</v>
      </c>
      <c r="L558" s="5">
        <v>50</v>
      </c>
      <c r="M558" t="s">
        <v>150</v>
      </c>
      <c r="N558" t="s">
        <v>831</v>
      </c>
      <c r="O558">
        <v>50</v>
      </c>
      <c r="P558" t="s">
        <v>205</v>
      </c>
      <c r="Q558" t="s">
        <v>150</v>
      </c>
      <c r="R558">
        <v>83</v>
      </c>
      <c r="S558">
        <v>0</v>
      </c>
      <c r="T558" t="s">
        <v>80</v>
      </c>
      <c r="U558" t="s">
        <v>63</v>
      </c>
      <c r="V558">
        <v>2.81</v>
      </c>
      <c r="W558">
        <v>1.73</v>
      </c>
      <c r="X558">
        <v>8.7</v>
      </c>
      <c r="Y558">
        <v>21.9</v>
      </c>
      <c r="Z558">
        <v>10.9</v>
      </c>
    </row>
    <row r="559" spans="1:26">
      <c r="A559" t="s">
        <v>1028</v>
      </c>
      <c r="B559">
        <v>25</v>
      </c>
      <c r="C559" t="s">
        <v>70</v>
      </c>
      <c r="D559" t="s">
        <v>41</v>
      </c>
      <c r="E559" t="s">
        <v>259</v>
      </c>
      <c r="F559" t="s">
        <v>273</v>
      </c>
      <c r="G559" t="s">
        <v>265</v>
      </c>
      <c r="H559" t="s">
        <v>34</v>
      </c>
      <c r="I559" t="s">
        <v>18</v>
      </c>
      <c r="J559" s="7">
        <v>44761</v>
      </c>
      <c r="K559" s="7">
        <v>45035</v>
      </c>
      <c r="L559" s="5">
        <v>100</v>
      </c>
      <c r="M559" t="s">
        <v>28</v>
      </c>
      <c r="N559" t="s">
        <v>413</v>
      </c>
      <c r="O559">
        <v>100</v>
      </c>
      <c r="P559" t="s">
        <v>206</v>
      </c>
      <c r="Q559" t="s">
        <v>27</v>
      </c>
      <c r="R559">
        <v>61</v>
      </c>
      <c r="S559">
        <v>1</v>
      </c>
      <c r="T559" t="s">
        <v>80</v>
      </c>
      <c r="U559" t="s">
        <v>63</v>
      </c>
      <c r="V559">
        <v>1.3</v>
      </c>
      <c r="W559">
        <v>2.55</v>
      </c>
      <c r="X559">
        <v>8.2</v>
      </c>
      <c r="Y559">
        <v>22.2</v>
      </c>
      <c r="Z559">
        <v>6.5</v>
      </c>
    </row>
    <row r="560" spans="1:26">
      <c r="A560" t="s">
        <v>1029</v>
      </c>
      <c r="B560">
        <v>44</v>
      </c>
      <c r="C560" t="s">
        <v>70</v>
      </c>
      <c r="D560" t="s">
        <v>41</v>
      </c>
      <c r="E560" t="s">
        <v>150</v>
      </c>
      <c r="F560" t="s">
        <v>150</v>
      </c>
      <c r="G560" t="s">
        <v>312</v>
      </c>
      <c r="H560" t="s">
        <v>29</v>
      </c>
      <c r="I560" t="s">
        <v>19</v>
      </c>
      <c r="J560" s="7">
        <v>44982</v>
      </c>
      <c r="K560" s="7">
        <v>45468</v>
      </c>
      <c r="L560" s="5">
        <v>200</v>
      </c>
      <c r="M560" t="s">
        <v>27</v>
      </c>
      <c r="N560" t="s">
        <v>282</v>
      </c>
      <c r="O560">
        <v>200</v>
      </c>
      <c r="P560" t="s">
        <v>206</v>
      </c>
      <c r="Q560" t="s">
        <v>25</v>
      </c>
      <c r="R560">
        <v>146</v>
      </c>
      <c r="S560">
        <v>1</v>
      </c>
      <c r="T560" t="s">
        <v>78</v>
      </c>
      <c r="U560" t="s">
        <v>63</v>
      </c>
      <c r="V560">
        <v>1.27</v>
      </c>
      <c r="W560">
        <v>4.51</v>
      </c>
      <c r="X560">
        <v>4.5</v>
      </c>
      <c r="Y560">
        <v>15.8</v>
      </c>
      <c r="Z560">
        <v>19.5</v>
      </c>
    </row>
    <row r="561" spans="1:26">
      <c r="A561" t="s">
        <v>1030</v>
      </c>
      <c r="B561">
        <v>61</v>
      </c>
      <c r="C561" t="s">
        <v>70</v>
      </c>
      <c r="D561" t="s">
        <v>42</v>
      </c>
      <c r="E561" t="s">
        <v>272</v>
      </c>
      <c r="F561" t="s">
        <v>150</v>
      </c>
      <c r="G561" t="s">
        <v>322</v>
      </c>
      <c r="H561" t="s">
        <v>29</v>
      </c>
      <c r="I561" t="s">
        <v>20</v>
      </c>
      <c r="J561" s="7">
        <v>44840</v>
      </c>
      <c r="K561" s="7">
        <v>45357</v>
      </c>
      <c r="L561" s="5">
        <v>200</v>
      </c>
      <c r="M561" t="s">
        <v>26</v>
      </c>
      <c r="N561" t="s">
        <v>704</v>
      </c>
      <c r="O561">
        <v>200</v>
      </c>
      <c r="P561" t="s">
        <v>205</v>
      </c>
      <c r="Q561" t="s">
        <v>25</v>
      </c>
      <c r="R561">
        <v>122</v>
      </c>
      <c r="S561">
        <v>0</v>
      </c>
      <c r="T561" t="s">
        <v>78</v>
      </c>
      <c r="U561" t="s">
        <v>61</v>
      </c>
      <c r="V561">
        <v>1.27</v>
      </c>
      <c r="W561">
        <v>3.59</v>
      </c>
      <c r="X561">
        <v>1.7</v>
      </c>
      <c r="Y561">
        <v>12.8</v>
      </c>
      <c r="Z561">
        <v>16.7</v>
      </c>
    </row>
    <row r="562" spans="1:26">
      <c r="A562" t="s">
        <v>1031</v>
      </c>
      <c r="B562">
        <v>73</v>
      </c>
      <c r="C562" t="s">
        <v>70</v>
      </c>
      <c r="D562" t="s">
        <v>42</v>
      </c>
      <c r="E562" t="s">
        <v>311</v>
      </c>
      <c r="F562" t="s">
        <v>150</v>
      </c>
      <c r="G562" t="s">
        <v>322</v>
      </c>
      <c r="H562" t="s">
        <v>32</v>
      </c>
      <c r="I562" t="s">
        <v>19</v>
      </c>
      <c r="J562" s="7">
        <v>45091</v>
      </c>
      <c r="K562" s="7">
        <v>45579</v>
      </c>
      <c r="L562" s="5">
        <v>150</v>
      </c>
      <c r="M562" t="s">
        <v>28</v>
      </c>
      <c r="N562" t="s">
        <v>402</v>
      </c>
      <c r="O562">
        <v>150</v>
      </c>
      <c r="P562" t="s">
        <v>205</v>
      </c>
      <c r="Q562" t="s">
        <v>27</v>
      </c>
      <c r="R562">
        <v>92</v>
      </c>
      <c r="S562">
        <v>0</v>
      </c>
      <c r="T562" t="s">
        <v>80</v>
      </c>
      <c r="U562" t="s">
        <v>61</v>
      </c>
      <c r="V562">
        <v>2.73</v>
      </c>
      <c r="W562">
        <v>4.99</v>
      </c>
      <c r="X562">
        <v>6</v>
      </c>
      <c r="Y562">
        <v>11.8</v>
      </c>
      <c r="Z562">
        <v>6.7</v>
      </c>
    </row>
    <row r="563" spans="1:26">
      <c r="A563" t="s">
        <v>1032</v>
      </c>
      <c r="B563">
        <v>46</v>
      </c>
      <c r="C563" t="s">
        <v>44</v>
      </c>
      <c r="D563" t="s">
        <v>43</v>
      </c>
      <c r="E563" t="s">
        <v>150</v>
      </c>
      <c r="F563" t="s">
        <v>260</v>
      </c>
      <c r="G563" t="s">
        <v>319</v>
      </c>
      <c r="H563" t="s">
        <v>34</v>
      </c>
      <c r="I563" t="s">
        <v>20</v>
      </c>
      <c r="J563" s="7">
        <v>43742</v>
      </c>
      <c r="K563" s="7">
        <v>44200</v>
      </c>
      <c r="L563" s="5">
        <v>50</v>
      </c>
      <c r="M563" t="s">
        <v>28</v>
      </c>
      <c r="N563" t="s">
        <v>323</v>
      </c>
      <c r="O563">
        <v>50</v>
      </c>
      <c r="P563" t="s">
        <v>205</v>
      </c>
      <c r="Q563" t="s">
        <v>25</v>
      </c>
      <c r="R563">
        <v>137</v>
      </c>
      <c r="S563">
        <v>0</v>
      </c>
      <c r="T563" t="s">
        <v>82</v>
      </c>
      <c r="U563" t="s">
        <v>63</v>
      </c>
      <c r="V563">
        <v>2.4</v>
      </c>
      <c r="W563">
        <v>2.49</v>
      </c>
      <c r="X563">
        <v>1.6</v>
      </c>
      <c r="Y563">
        <v>12.7</v>
      </c>
      <c r="Z563">
        <v>10.9</v>
      </c>
    </row>
    <row r="564" spans="1:26">
      <c r="A564" t="s">
        <v>1033</v>
      </c>
      <c r="B564">
        <v>62</v>
      </c>
      <c r="C564" t="s">
        <v>44</v>
      </c>
      <c r="D564" t="s">
        <v>43</v>
      </c>
      <c r="E564" t="s">
        <v>272</v>
      </c>
      <c r="F564" t="s">
        <v>150</v>
      </c>
      <c r="G564" t="s">
        <v>349</v>
      </c>
      <c r="H564" t="s">
        <v>29</v>
      </c>
      <c r="I564" t="s">
        <v>20</v>
      </c>
      <c r="J564" s="7">
        <v>44866</v>
      </c>
      <c r="K564" s="7">
        <v>45139</v>
      </c>
      <c r="L564" s="5">
        <v>100</v>
      </c>
      <c r="M564" t="s">
        <v>150</v>
      </c>
      <c r="N564" t="s">
        <v>402</v>
      </c>
      <c r="O564">
        <v>100</v>
      </c>
      <c r="P564" t="s">
        <v>211</v>
      </c>
      <c r="Q564" t="s">
        <v>27</v>
      </c>
      <c r="R564">
        <v>37</v>
      </c>
      <c r="S564">
        <v>0</v>
      </c>
      <c r="T564" t="s">
        <v>82</v>
      </c>
      <c r="U564" t="s">
        <v>61</v>
      </c>
      <c r="V564">
        <v>3.89</v>
      </c>
      <c r="W564">
        <v>3.63</v>
      </c>
      <c r="X564">
        <v>7.4</v>
      </c>
      <c r="Y564">
        <v>6.2</v>
      </c>
      <c r="Z564">
        <v>6.7</v>
      </c>
    </row>
    <row r="565" spans="1:26">
      <c r="A565" t="s">
        <v>1034</v>
      </c>
      <c r="B565">
        <v>63</v>
      </c>
      <c r="C565" t="s">
        <v>44</v>
      </c>
      <c r="D565" t="s">
        <v>39</v>
      </c>
      <c r="E565" t="s">
        <v>150</v>
      </c>
      <c r="F565" t="s">
        <v>150</v>
      </c>
      <c r="G565" t="s">
        <v>265</v>
      </c>
      <c r="H565" t="s">
        <v>32</v>
      </c>
      <c r="I565" t="s">
        <v>20</v>
      </c>
      <c r="J565" s="7">
        <v>43631</v>
      </c>
      <c r="K565" s="7">
        <v>44150</v>
      </c>
      <c r="L565" s="5">
        <v>150</v>
      </c>
      <c r="M565" t="s">
        <v>26</v>
      </c>
      <c r="N565" t="s">
        <v>447</v>
      </c>
      <c r="O565">
        <v>150</v>
      </c>
      <c r="P565" t="s">
        <v>205</v>
      </c>
      <c r="Q565" t="s">
        <v>150</v>
      </c>
      <c r="R565">
        <v>132</v>
      </c>
      <c r="S565">
        <v>0</v>
      </c>
      <c r="T565" t="s">
        <v>81</v>
      </c>
      <c r="U565" t="s">
        <v>63</v>
      </c>
      <c r="V565">
        <v>3.65</v>
      </c>
      <c r="W565">
        <v>2.94</v>
      </c>
      <c r="X565">
        <v>1</v>
      </c>
      <c r="Y565">
        <v>20.5</v>
      </c>
      <c r="Z565">
        <v>16.1</v>
      </c>
    </row>
    <row r="566" spans="1:26">
      <c r="A566" t="s">
        <v>1035</v>
      </c>
      <c r="B566">
        <v>81</v>
      </c>
      <c r="C566" t="s">
        <v>71</v>
      </c>
      <c r="D566" t="s">
        <v>39</v>
      </c>
      <c r="E566" t="s">
        <v>150</v>
      </c>
      <c r="F566" t="s">
        <v>150</v>
      </c>
      <c r="G566" t="s">
        <v>265</v>
      </c>
      <c r="H566" t="s">
        <v>32</v>
      </c>
      <c r="I566" t="s">
        <v>19</v>
      </c>
      <c r="J566" s="7">
        <v>43802</v>
      </c>
      <c r="K566" s="7">
        <v>44289</v>
      </c>
      <c r="L566" s="5">
        <v>200</v>
      </c>
      <c r="M566" t="s">
        <v>25</v>
      </c>
      <c r="N566" t="s">
        <v>497</v>
      </c>
      <c r="O566">
        <v>200</v>
      </c>
      <c r="P566" t="s">
        <v>206</v>
      </c>
      <c r="Q566" t="s">
        <v>27</v>
      </c>
      <c r="R566">
        <v>81</v>
      </c>
      <c r="S566">
        <v>1</v>
      </c>
      <c r="T566" t="s">
        <v>81</v>
      </c>
      <c r="U566" t="s">
        <v>61</v>
      </c>
      <c r="V566">
        <v>3.19</v>
      </c>
      <c r="W566">
        <v>1.27</v>
      </c>
      <c r="X566">
        <v>7.9</v>
      </c>
      <c r="Y566">
        <v>16.5</v>
      </c>
      <c r="Z566">
        <v>16.3</v>
      </c>
    </row>
    <row r="567" spans="1:26">
      <c r="A567" t="s">
        <v>1036</v>
      </c>
      <c r="B567">
        <v>62</v>
      </c>
      <c r="C567" t="s">
        <v>70</v>
      </c>
      <c r="D567" t="s">
        <v>43</v>
      </c>
      <c r="E567" t="s">
        <v>150</v>
      </c>
      <c r="F567" t="s">
        <v>150</v>
      </c>
      <c r="G567" t="s">
        <v>288</v>
      </c>
      <c r="H567" t="s">
        <v>32</v>
      </c>
      <c r="I567" t="s">
        <v>16</v>
      </c>
      <c r="J567" s="7">
        <v>43574</v>
      </c>
      <c r="K567" s="7">
        <v>43880</v>
      </c>
      <c r="L567" s="5">
        <v>150</v>
      </c>
      <c r="M567" t="s">
        <v>25</v>
      </c>
      <c r="N567" t="s">
        <v>1037</v>
      </c>
      <c r="O567">
        <v>150</v>
      </c>
      <c r="P567" t="s">
        <v>205</v>
      </c>
      <c r="Q567" t="s">
        <v>28</v>
      </c>
      <c r="R567">
        <v>80</v>
      </c>
      <c r="S567">
        <v>0</v>
      </c>
      <c r="T567" t="s">
        <v>83</v>
      </c>
      <c r="U567" t="s">
        <v>63</v>
      </c>
      <c r="V567">
        <v>4.01</v>
      </c>
      <c r="W567">
        <v>4.21</v>
      </c>
      <c r="X567">
        <v>5.7</v>
      </c>
      <c r="Y567">
        <v>8.5</v>
      </c>
      <c r="Z567">
        <v>14.4</v>
      </c>
    </row>
    <row r="568" spans="1:26">
      <c r="A568" t="s">
        <v>1038</v>
      </c>
      <c r="B568">
        <v>69</v>
      </c>
      <c r="C568" t="s">
        <v>70</v>
      </c>
      <c r="D568" t="s">
        <v>41</v>
      </c>
      <c r="E568" t="s">
        <v>150</v>
      </c>
      <c r="F568" t="s">
        <v>150</v>
      </c>
      <c r="G568" t="s">
        <v>297</v>
      </c>
      <c r="H568" t="s">
        <v>30</v>
      </c>
      <c r="I568" t="s">
        <v>20</v>
      </c>
      <c r="J568" s="7">
        <v>43826</v>
      </c>
      <c r="K568" s="7">
        <v>44374</v>
      </c>
      <c r="L568" s="5">
        <v>150</v>
      </c>
      <c r="M568" t="s">
        <v>25</v>
      </c>
      <c r="N568" t="s">
        <v>445</v>
      </c>
      <c r="O568">
        <v>150</v>
      </c>
      <c r="P568" t="s">
        <v>211</v>
      </c>
      <c r="Q568" t="s">
        <v>28</v>
      </c>
      <c r="R568">
        <v>92</v>
      </c>
      <c r="S568">
        <v>0</v>
      </c>
      <c r="T568" t="s">
        <v>80</v>
      </c>
      <c r="U568" t="s">
        <v>63</v>
      </c>
      <c r="V568">
        <v>3.48</v>
      </c>
      <c r="W568">
        <v>3.97</v>
      </c>
      <c r="X568">
        <v>2.5</v>
      </c>
      <c r="Y568">
        <v>9.5</v>
      </c>
      <c r="Z568">
        <v>18.1</v>
      </c>
    </row>
    <row r="569" spans="1:26">
      <c r="A569" t="s">
        <v>1039</v>
      </c>
      <c r="B569">
        <v>53</v>
      </c>
      <c r="C569" t="s">
        <v>71</v>
      </c>
      <c r="D569" t="s">
        <v>43</v>
      </c>
      <c r="E569" t="s">
        <v>259</v>
      </c>
      <c r="F569" t="s">
        <v>150</v>
      </c>
      <c r="G569" t="s">
        <v>265</v>
      </c>
      <c r="H569" t="s">
        <v>30</v>
      </c>
      <c r="I569" t="s">
        <v>18</v>
      </c>
      <c r="J569" s="7">
        <v>44891</v>
      </c>
      <c r="K569" s="7">
        <v>45164</v>
      </c>
      <c r="L569" s="5">
        <v>100</v>
      </c>
      <c r="M569" t="s">
        <v>150</v>
      </c>
      <c r="N569" t="s">
        <v>616</v>
      </c>
      <c r="O569">
        <v>100</v>
      </c>
      <c r="P569" t="s">
        <v>206</v>
      </c>
      <c r="Q569" t="s">
        <v>25</v>
      </c>
      <c r="R569">
        <v>153</v>
      </c>
      <c r="S569">
        <v>1</v>
      </c>
      <c r="T569" t="s">
        <v>82</v>
      </c>
      <c r="U569" t="s">
        <v>61</v>
      </c>
      <c r="V569">
        <v>4</v>
      </c>
      <c r="W569">
        <v>4.63</v>
      </c>
      <c r="X569">
        <v>7.8</v>
      </c>
      <c r="Y569">
        <v>16.7</v>
      </c>
      <c r="Z569">
        <v>14.1</v>
      </c>
    </row>
    <row r="570" spans="1:26">
      <c r="A570" t="s">
        <v>1040</v>
      </c>
      <c r="B570">
        <v>42</v>
      </c>
      <c r="C570" t="s">
        <v>70</v>
      </c>
      <c r="D570" t="s">
        <v>41</v>
      </c>
      <c r="E570" t="s">
        <v>255</v>
      </c>
      <c r="F570" t="s">
        <v>150</v>
      </c>
      <c r="G570" t="s">
        <v>274</v>
      </c>
      <c r="H570" t="s">
        <v>34</v>
      </c>
      <c r="I570" t="s">
        <v>19</v>
      </c>
      <c r="J570" s="7">
        <v>44330</v>
      </c>
      <c r="K570" s="7">
        <v>44665</v>
      </c>
      <c r="L570" s="5">
        <v>150</v>
      </c>
      <c r="M570" t="s">
        <v>150</v>
      </c>
      <c r="N570" t="s">
        <v>718</v>
      </c>
      <c r="O570">
        <v>150</v>
      </c>
      <c r="P570" t="s">
        <v>211</v>
      </c>
      <c r="Q570" t="s">
        <v>28</v>
      </c>
      <c r="R570">
        <v>64</v>
      </c>
      <c r="S570">
        <v>0</v>
      </c>
      <c r="T570" t="s">
        <v>81</v>
      </c>
      <c r="U570" t="s">
        <v>63</v>
      </c>
      <c r="V570">
        <v>4.56</v>
      </c>
      <c r="W570">
        <v>3.32</v>
      </c>
      <c r="X570">
        <v>6.7</v>
      </c>
      <c r="Y570">
        <v>8.8</v>
      </c>
      <c r="Z570">
        <v>11.1</v>
      </c>
    </row>
    <row r="571" spans="1:26">
      <c r="A571" t="s">
        <v>1041</v>
      </c>
      <c r="B571">
        <v>34</v>
      </c>
      <c r="C571" t="s">
        <v>71</v>
      </c>
      <c r="D571" t="s">
        <v>44</v>
      </c>
      <c r="E571" t="s">
        <v>272</v>
      </c>
      <c r="F571" t="s">
        <v>150</v>
      </c>
      <c r="G571" t="s">
        <v>284</v>
      </c>
      <c r="H571" t="s">
        <v>30</v>
      </c>
      <c r="I571" t="s">
        <v>19</v>
      </c>
      <c r="J571" s="7">
        <v>45031</v>
      </c>
      <c r="K571" s="7">
        <v>45337</v>
      </c>
      <c r="L571" s="5">
        <v>50</v>
      </c>
      <c r="M571" t="s">
        <v>25</v>
      </c>
      <c r="N571" t="s">
        <v>997</v>
      </c>
      <c r="O571">
        <v>50</v>
      </c>
      <c r="P571" t="s">
        <v>205</v>
      </c>
      <c r="Q571" t="s">
        <v>27</v>
      </c>
      <c r="R571">
        <v>46</v>
      </c>
      <c r="S571">
        <v>0</v>
      </c>
      <c r="T571" t="s">
        <v>78</v>
      </c>
      <c r="U571" t="s">
        <v>63</v>
      </c>
      <c r="V571">
        <v>3.87</v>
      </c>
      <c r="W571">
        <v>2.08</v>
      </c>
      <c r="X571">
        <v>2.8</v>
      </c>
      <c r="Y571">
        <v>11.6</v>
      </c>
      <c r="Z571">
        <v>7.1</v>
      </c>
    </row>
    <row r="572" spans="1:26">
      <c r="A572" t="s">
        <v>1042</v>
      </c>
      <c r="B572">
        <v>75</v>
      </c>
      <c r="C572" t="s">
        <v>44</v>
      </c>
      <c r="D572" t="s">
        <v>42</v>
      </c>
      <c r="E572" t="s">
        <v>150</v>
      </c>
      <c r="F572" t="s">
        <v>273</v>
      </c>
      <c r="G572" t="s">
        <v>294</v>
      </c>
      <c r="H572" t="s">
        <v>32</v>
      </c>
      <c r="I572" t="s">
        <v>16</v>
      </c>
      <c r="J572" s="7">
        <v>44478</v>
      </c>
      <c r="K572" s="7">
        <v>44994</v>
      </c>
      <c r="L572" s="5">
        <v>50</v>
      </c>
      <c r="M572" t="s">
        <v>25</v>
      </c>
      <c r="N572" t="s">
        <v>562</v>
      </c>
      <c r="O572">
        <v>50</v>
      </c>
      <c r="P572" t="s">
        <v>206</v>
      </c>
      <c r="Q572" t="s">
        <v>27</v>
      </c>
      <c r="R572">
        <v>85</v>
      </c>
      <c r="S572">
        <v>1</v>
      </c>
      <c r="T572" t="s">
        <v>82</v>
      </c>
      <c r="U572" t="s">
        <v>61</v>
      </c>
      <c r="V572">
        <v>1.86</v>
      </c>
      <c r="W572">
        <v>2.7</v>
      </c>
      <c r="X572">
        <v>9.2</v>
      </c>
      <c r="Y572">
        <v>15.1</v>
      </c>
      <c r="Z572">
        <v>6.2</v>
      </c>
    </row>
    <row r="573" spans="1:26">
      <c r="A573" t="s">
        <v>1043</v>
      </c>
      <c r="B573">
        <v>56</v>
      </c>
      <c r="C573" t="s">
        <v>70</v>
      </c>
      <c r="D573" t="s">
        <v>41</v>
      </c>
      <c r="E573" t="s">
        <v>255</v>
      </c>
      <c r="F573" t="s">
        <v>150</v>
      </c>
      <c r="G573" t="s">
        <v>349</v>
      </c>
      <c r="H573" t="s">
        <v>34</v>
      </c>
      <c r="I573" t="s">
        <v>18</v>
      </c>
      <c r="J573" s="7">
        <v>45249</v>
      </c>
      <c r="K573" s="7">
        <v>45584</v>
      </c>
      <c r="L573" s="5">
        <v>50</v>
      </c>
      <c r="M573" t="s">
        <v>28</v>
      </c>
      <c r="N573" t="s">
        <v>505</v>
      </c>
      <c r="O573">
        <v>50</v>
      </c>
      <c r="P573" t="s">
        <v>206</v>
      </c>
      <c r="Q573" t="s">
        <v>25</v>
      </c>
      <c r="R573">
        <v>46</v>
      </c>
      <c r="S573">
        <v>1</v>
      </c>
      <c r="T573" t="s">
        <v>80</v>
      </c>
      <c r="U573" t="s">
        <v>61</v>
      </c>
      <c r="V573">
        <v>1.31</v>
      </c>
      <c r="W573">
        <v>3.78</v>
      </c>
      <c r="X573">
        <v>4.4</v>
      </c>
      <c r="Y573">
        <v>20.8</v>
      </c>
      <c r="Z573">
        <v>14.2</v>
      </c>
    </row>
    <row r="574" spans="1:26">
      <c r="A574" t="s">
        <v>1044</v>
      </c>
      <c r="B574">
        <v>38</v>
      </c>
      <c r="C574" t="s">
        <v>44</v>
      </c>
      <c r="D574" t="s">
        <v>41</v>
      </c>
      <c r="E574" t="s">
        <v>259</v>
      </c>
      <c r="F574" t="s">
        <v>150</v>
      </c>
      <c r="G574" t="s">
        <v>288</v>
      </c>
      <c r="H574" t="s">
        <v>30</v>
      </c>
      <c r="I574" t="s">
        <v>16</v>
      </c>
      <c r="J574" s="7">
        <v>44899</v>
      </c>
      <c r="K574" s="7">
        <v>45234</v>
      </c>
      <c r="L574" s="5">
        <v>50</v>
      </c>
      <c r="M574" t="s">
        <v>27</v>
      </c>
      <c r="N574" t="s">
        <v>461</v>
      </c>
      <c r="O574">
        <v>50</v>
      </c>
      <c r="P574" t="s">
        <v>205</v>
      </c>
      <c r="Q574" t="s">
        <v>27</v>
      </c>
      <c r="R574">
        <v>134</v>
      </c>
      <c r="S574">
        <v>0</v>
      </c>
      <c r="T574" t="s">
        <v>82</v>
      </c>
      <c r="U574" t="s">
        <v>61</v>
      </c>
      <c r="V574">
        <v>4.18</v>
      </c>
      <c r="W574">
        <v>2.09</v>
      </c>
      <c r="X574">
        <v>7.2</v>
      </c>
      <c r="Y574">
        <v>10.8</v>
      </c>
      <c r="Z574">
        <v>19</v>
      </c>
    </row>
    <row r="575" spans="1:26">
      <c r="A575" t="s">
        <v>1045</v>
      </c>
      <c r="B575">
        <v>35</v>
      </c>
      <c r="C575" t="s">
        <v>70</v>
      </c>
      <c r="D575" t="s">
        <v>41</v>
      </c>
      <c r="E575" t="s">
        <v>311</v>
      </c>
      <c r="F575" t="s">
        <v>273</v>
      </c>
      <c r="G575" t="s">
        <v>261</v>
      </c>
      <c r="H575" t="s">
        <v>32</v>
      </c>
      <c r="I575" t="s">
        <v>20</v>
      </c>
      <c r="J575" s="7">
        <v>43533</v>
      </c>
      <c r="K575" s="7">
        <v>43899</v>
      </c>
      <c r="L575" s="5">
        <v>100</v>
      </c>
      <c r="M575" t="s">
        <v>150</v>
      </c>
      <c r="N575" t="s">
        <v>292</v>
      </c>
      <c r="O575">
        <v>100</v>
      </c>
      <c r="P575" t="s">
        <v>205</v>
      </c>
      <c r="Q575" t="s">
        <v>28</v>
      </c>
      <c r="R575">
        <v>116</v>
      </c>
      <c r="S575">
        <v>0</v>
      </c>
      <c r="T575" t="s">
        <v>82</v>
      </c>
      <c r="U575" t="s">
        <v>63</v>
      </c>
      <c r="V575">
        <v>3.55</v>
      </c>
      <c r="W575">
        <v>2.3</v>
      </c>
      <c r="X575">
        <v>3.4</v>
      </c>
      <c r="Y575">
        <v>9.4</v>
      </c>
      <c r="Z575">
        <v>14.8</v>
      </c>
    </row>
    <row r="576" spans="1:26">
      <c r="A576" t="s">
        <v>1046</v>
      </c>
      <c r="B576">
        <v>85</v>
      </c>
      <c r="C576" t="s">
        <v>70</v>
      </c>
      <c r="D576" t="s">
        <v>42</v>
      </c>
      <c r="E576" t="s">
        <v>255</v>
      </c>
      <c r="F576" t="s">
        <v>268</v>
      </c>
      <c r="G576" t="s">
        <v>291</v>
      </c>
      <c r="H576" t="s">
        <v>32</v>
      </c>
      <c r="I576" t="s">
        <v>16</v>
      </c>
      <c r="J576" s="7">
        <v>43847</v>
      </c>
      <c r="K576" s="7">
        <v>44029</v>
      </c>
      <c r="L576" s="5">
        <v>50</v>
      </c>
      <c r="M576" t="s">
        <v>27</v>
      </c>
      <c r="N576" t="s">
        <v>581</v>
      </c>
      <c r="O576">
        <v>50</v>
      </c>
      <c r="P576" t="s">
        <v>205</v>
      </c>
      <c r="Q576" t="s">
        <v>25</v>
      </c>
      <c r="R576">
        <v>125</v>
      </c>
      <c r="S576">
        <v>0</v>
      </c>
      <c r="T576" t="s">
        <v>83</v>
      </c>
      <c r="U576" t="s">
        <v>63</v>
      </c>
      <c r="V576">
        <v>1.87</v>
      </c>
      <c r="W576">
        <v>3.38</v>
      </c>
      <c r="X576">
        <v>3.4</v>
      </c>
      <c r="Y576">
        <v>17.9</v>
      </c>
      <c r="Z576">
        <v>16.9</v>
      </c>
    </row>
    <row r="577" spans="1:26">
      <c r="A577" t="s">
        <v>1047</v>
      </c>
      <c r="B577">
        <v>42</v>
      </c>
      <c r="C577" t="s">
        <v>44</v>
      </c>
      <c r="D577" t="s">
        <v>44</v>
      </c>
      <c r="E577" t="s">
        <v>272</v>
      </c>
      <c r="F577" t="s">
        <v>273</v>
      </c>
      <c r="G577" t="s">
        <v>327</v>
      </c>
      <c r="H577" t="s">
        <v>29</v>
      </c>
      <c r="I577" t="s">
        <v>18</v>
      </c>
      <c r="J577" s="7">
        <v>45096</v>
      </c>
      <c r="K577" s="7">
        <v>45341</v>
      </c>
      <c r="L577" s="5">
        <v>200</v>
      </c>
      <c r="M577" t="s">
        <v>26</v>
      </c>
      <c r="N577" t="s">
        <v>581</v>
      </c>
      <c r="O577">
        <v>200</v>
      </c>
      <c r="P577" t="s">
        <v>205</v>
      </c>
      <c r="Q577" t="s">
        <v>28</v>
      </c>
      <c r="R577">
        <v>167</v>
      </c>
      <c r="S577">
        <v>0</v>
      </c>
      <c r="T577" t="s">
        <v>83</v>
      </c>
      <c r="U577" t="s">
        <v>61</v>
      </c>
      <c r="V577">
        <v>4.11</v>
      </c>
      <c r="W577">
        <v>4.04</v>
      </c>
      <c r="X577">
        <v>2.7</v>
      </c>
      <c r="Y577">
        <v>7.6</v>
      </c>
      <c r="Z577">
        <v>14.9</v>
      </c>
    </row>
    <row r="578" spans="1:26">
      <c r="A578" t="s">
        <v>1048</v>
      </c>
      <c r="B578">
        <v>55</v>
      </c>
      <c r="C578" t="s">
        <v>71</v>
      </c>
      <c r="D578" t="s">
        <v>39</v>
      </c>
      <c r="E578" t="s">
        <v>259</v>
      </c>
      <c r="F578" t="s">
        <v>150</v>
      </c>
      <c r="G578" t="s">
        <v>288</v>
      </c>
      <c r="H578" t="s">
        <v>29</v>
      </c>
      <c r="I578" t="s">
        <v>20</v>
      </c>
      <c r="J578" s="7">
        <v>44109</v>
      </c>
      <c r="K578" s="7">
        <v>44566</v>
      </c>
      <c r="L578" s="5">
        <v>150</v>
      </c>
      <c r="M578" t="s">
        <v>25</v>
      </c>
      <c r="N578" t="s">
        <v>554</v>
      </c>
      <c r="O578">
        <v>150</v>
      </c>
      <c r="P578" t="s">
        <v>206</v>
      </c>
      <c r="Q578" t="s">
        <v>25</v>
      </c>
      <c r="R578">
        <v>46</v>
      </c>
      <c r="S578">
        <v>1</v>
      </c>
      <c r="T578" t="s">
        <v>81</v>
      </c>
      <c r="U578" t="s">
        <v>63</v>
      </c>
      <c r="V578">
        <v>2.47</v>
      </c>
      <c r="W578">
        <v>2.73</v>
      </c>
      <c r="X578">
        <v>1.3</v>
      </c>
      <c r="Y578">
        <v>10.7</v>
      </c>
      <c r="Z578">
        <v>3.6</v>
      </c>
    </row>
    <row r="579" spans="1:26">
      <c r="A579" t="s">
        <v>1049</v>
      </c>
      <c r="B579">
        <v>64</v>
      </c>
      <c r="C579" t="s">
        <v>71</v>
      </c>
      <c r="D579" t="s">
        <v>41</v>
      </c>
      <c r="E579" t="s">
        <v>272</v>
      </c>
      <c r="F579" t="s">
        <v>260</v>
      </c>
      <c r="G579" t="s">
        <v>291</v>
      </c>
      <c r="H579" t="s">
        <v>32</v>
      </c>
      <c r="I579" t="s">
        <v>16</v>
      </c>
      <c r="J579" s="7">
        <v>44888</v>
      </c>
      <c r="K579" s="7">
        <v>45435</v>
      </c>
      <c r="L579" s="5">
        <v>50</v>
      </c>
      <c r="M579" t="s">
        <v>28</v>
      </c>
      <c r="N579" t="s">
        <v>343</v>
      </c>
      <c r="O579">
        <v>50</v>
      </c>
      <c r="P579" t="s">
        <v>205</v>
      </c>
      <c r="Q579" t="s">
        <v>25</v>
      </c>
      <c r="R579">
        <v>163</v>
      </c>
      <c r="S579">
        <v>0</v>
      </c>
      <c r="T579" t="s">
        <v>82</v>
      </c>
      <c r="U579" t="s">
        <v>63</v>
      </c>
      <c r="V579">
        <v>4.52</v>
      </c>
      <c r="W579">
        <v>1.97</v>
      </c>
      <c r="X579">
        <v>6</v>
      </c>
      <c r="Y579">
        <v>6.7</v>
      </c>
      <c r="Z579">
        <v>14.3</v>
      </c>
    </row>
    <row r="580" spans="1:26">
      <c r="A580" t="s">
        <v>1050</v>
      </c>
      <c r="B580">
        <v>54</v>
      </c>
      <c r="C580" t="s">
        <v>70</v>
      </c>
      <c r="D580" t="s">
        <v>41</v>
      </c>
      <c r="E580" t="s">
        <v>272</v>
      </c>
      <c r="F580" t="s">
        <v>150</v>
      </c>
      <c r="G580" t="s">
        <v>362</v>
      </c>
      <c r="H580" t="s">
        <v>34</v>
      </c>
      <c r="I580" t="s">
        <v>20</v>
      </c>
      <c r="J580" s="7">
        <v>44745</v>
      </c>
      <c r="K580" s="7">
        <v>45141</v>
      </c>
      <c r="L580" s="5">
        <v>50</v>
      </c>
      <c r="M580" t="s">
        <v>28</v>
      </c>
      <c r="N580" t="s">
        <v>493</v>
      </c>
      <c r="O580">
        <v>50</v>
      </c>
      <c r="P580" t="s">
        <v>211</v>
      </c>
      <c r="Q580" t="s">
        <v>25</v>
      </c>
      <c r="R580">
        <v>129</v>
      </c>
      <c r="S580">
        <v>0</v>
      </c>
      <c r="T580" t="s">
        <v>81</v>
      </c>
      <c r="U580" t="s">
        <v>61</v>
      </c>
      <c r="V580">
        <v>2.29</v>
      </c>
      <c r="W580">
        <v>4.59</v>
      </c>
      <c r="X580">
        <v>9</v>
      </c>
      <c r="Y580">
        <v>11.9</v>
      </c>
      <c r="Z580">
        <v>18.3</v>
      </c>
    </row>
    <row r="581" spans="1:26">
      <c r="A581" t="s">
        <v>1051</v>
      </c>
      <c r="B581">
        <v>54</v>
      </c>
      <c r="C581" t="s">
        <v>44</v>
      </c>
      <c r="D581" t="s">
        <v>42</v>
      </c>
      <c r="E581" t="s">
        <v>255</v>
      </c>
      <c r="F581" t="s">
        <v>150</v>
      </c>
      <c r="G581" t="s">
        <v>278</v>
      </c>
      <c r="H581" t="s">
        <v>29</v>
      </c>
      <c r="I581" t="s">
        <v>19</v>
      </c>
      <c r="J581" s="7">
        <v>45279</v>
      </c>
      <c r="K581" s="7">
        <v>45707</v>
      </c>
      <c r="L581" s="5">
        <v>100</v>
      </c>
      <c r="M581" t="s">
        <v>150</v>
      </c>
      <c r="N581" t="s">
        <v>581</v>
      </c>
      <c r="O581">
        <v>100</v>
      </c>
      <c r="P581" t="s">
        <v>206</v>
      </c>
      <c r="Q581" t="s">
        <v>150</v>
      </c>
      <c r="R581">
        <v>128</v>
      </c>
      <c r="S581">
        <v>1</v>
      </c>
      <c r="T581" t="s">
        <v>78</v>
      </c>
      <c r="U581" t="s">
        <v>61</v>
      </c>
      <c r="V581">
        <v>4.98</v>
      </c>
      <c r="W581">
        <v>4.3</v>
      </c>
      <c r="X581">
        <v>8.6</v>
      </c>
      <c r="Y581">
        <v>10.5</v>
      </c>
      <c r="Z581">
        <v>12.8</v>
      </c>
    </row>
    <row r="582" spans="1:26">
      <c r="A582" t="s">
        <v>1052</v>
      </c>
      <c r="B582">
        <v>24</v>
      </c>
      <c r="C582" t="s">
        <v>44</v>
      </c>
      <c r="D582" t="s">
        <v>43</v>
      </c>
      <c r="E582" t="s">
        <v>255</v>
      </c>
      <c r="F582" t="s">
        <v>150</v>
      </c>
      <c r="G582" t="s">
        <v>288</v>
      </c>
      <c r="H582" t="s">
        <v>32</v>
      </c>
      <c r="I582" t="s">
        <v>16</v>
      </c>
      <c r="J582" s="7">
        <v>43876</v>
      </c>
      <c r="K582" s="7">
        <v>44119</v>
      </c>
      <c r="L582" s="5">
        <v>100</v>
      </c>
      <c r="M582" t="s">
        <v>150</v>
      </c>
      <c r="N582" t="s">
        <v>776</v>
      </c>
      <c r="O582">
        <v>100</v>
      </c>
      <c r="P582" t="s">
        <v>211</v>
      </c>
      <c r="Q582" t="s">
        <v>26</v>
      </c>
      <c r="R582">
        <v>176</v>
      </c>
      <c r="S582">
        <v>0</v>
      </c>
      <c r="T582" t="s">
        <v>80</v>
      </c>
      <c r="U582" t="s">
        <v>63</v>
      </c>
      <c r="V582">
        <v>1.27</v>
      </c>
      <c r="W582">
        <v>1.38</v>
      </c>
      <c r="X582">
        <v>10</v>
      </c>
      <c r="Y582">
        <v>11.9</v>
      </c>
      <c r="Z582">
        <v>15.7</v>
      </c>
    </row>
    <row r="583" spans="1:26">
      <c r="A583" t="s">
        <v>1053</v>
      </c>
      <c r="B583">
        <v>23</v>
      </c>
      <c r="C583" t="s">
        <v>70</v>
      </c>
      <c r="D583" t="s">
        <v>41</v>
      </c>
      <c r="E583" t="s">
        <v>311</v>
      </c>
      <c r="F583" t="s">
        <v>150</v>
      </c>
      <c r="G583" t="s">
        <v>312</v>
      </c>
      <c r="H583" t="s">
        <v>30</v>
      </c>
      <c r="I583" t="s">
        <v>19</v>
      </c>
      <c r="J583" s="7">
        <v>44039</v>
      </c>
      <c r="K583" s="7">
        <v>44313</v>
      </c>
      <c r="L583" s="5">
        <v>150</v>
      </c>
      <c r="M583" t="s">
        <v>28</v>
      </c>
      <c r="N583" t="s">
        <v>286</v>
      </c>
      <c r="O583">
        <v>150</v>
      </c>
      <c r="P583" t="s">
        <v>205</v>
      </c>
      <c r="Q583" t="s">
        <v>26</v>
      </c>
      <c r="R583">
        <v>96</v>
      </c>
      <c r="S583">
        <v>0</v>
      </c>
      <c r="T583" t="s">
        <v>82</v>
      </c>
      <c r="U583" t="s">
        <v>61</v>
      </c>
      <c r="V583">
        <v>4.23</v>
      </c>
      <c r="W583">
        <v>4.43</v>
      </c>
      <c r="X583">
        <v>10</v>
      </c>
      <c r="Y583">
        <v>10.3</v>
      </c>
      <c r="Z583">
        <v>3.7</v>
      </c>
    </row>
    <row r="584" spans="1:26">
      <c r="A584" t="s">
        <v>1054</v>
      </c>
      <c r="B584">
        <v>44</v>
      </c>
      <c r="C584" t="s">
        <v>44</v>
      </c>
      <c r="D584" t="s">
        <v>39</v>
      </c>
      <c r="E584" t="s">
        <v>272</v>
      </c>
      <c r="F584" t="s">
        <v>150</v>
      </c>
      <c r="G584" t="s">
        <v>261</v>
      </c>
      <c r="H584" t="s">
        <v>34</v>
      </c>
      <c r="I584" t="s">
        <v>20</v>
      </c>
      <c r="J584" s="7">
        <v>44313</v>
      </c>
      <c r="K584" s="7">
        <v>44861</v>
      </c>
      <c r="L584" s="5">
        <v>200</v>
      </c>
      <c r="M584" t="s">
        <v>25</v>
      </c>
      <c r="N584" t="s">
        <v>356</v>
      </c>
      <c r="O584">
        <v>200</v>
      </c>
      <c r="P584" t="s">
        <v>205</v>
      </c>
      <c r="Q584" t="s">
        <v>27</v>
      </c>
      <c r="R584">
        <v>40</v>
      </c>
      <c r="S584">
        <v>0</v>
      </c>
      <c r="T584" t="s">
        <v>82</v>
      </c>
      <c r="U584" t="s">
        <v>63</v>
      </c>
      <c r="V584">
        <v>2.64</v>
      </c>
      <c r="W584">
        <v>1.52</v>
      </c>
      <c r="X584">
        <v>1.2</v>
      </c>
      <c r="Y584">
        <v>12.5</v>
      </c>
      <c r="Z584">
        <v>16.3</v>
      </c>
    </row>
    <row r="585" spans="1:26">
      <c r="A585" t="s">
        <v>1055</v>
      </c>
      <c r="B585">
        <v>46</v>
      </c>
      <c r="C585" t="s">
        <v>71</v>
      </c>
      <c r="D585" t="s">
        <v>42</v>
      </c>
      <c r="E585" t="s">
        <v>311</v>
      </c>
      <c r="F585" t="s">
        <v>260</v>
      </c>
      <c r="G585" t="s">
        <v>294</v>
      </c>
      <c r="H585" t="s">
        <v>30</v>
      </c>
      <c r="I585" t="s">
        <v>19</v>
      </c>
      <c r="J585" s="7">
        <v>44174</v>
      </c>
      <c r="K585" s="7">
        <v>44660</v>
      </c>
      <c r="L585" s="5">
        <v>200</v>
      </c>
      <c r="M585" t="s">
        <v>25</v>
      </c>
      <c r="N585" t="s">
        <v>435</v>
      </c>
      <c r="O585">
        <v>200</v>
      </c>
      <c r="P585" t="s">
        <v>205</v>
      </c>
      <c r="Q585" t="s">
        <v>150</v>
      </c>
      <c r="R585">
        <v>57</v>
      </c>
      <c r="S585">
        <v>0</v>
      </c>
      <c r="T585" t="s">
        <v>83</v>
      </c>
      <c r="U585" t="s">
        <v>61</v>
      </c>
      <c r="V585">
        <v>3.26</v>
      </c>
      <c r="W585">
        <v>2.25</v>
      </c>
      <c r="X585">
        <v>6.9</v>
      </c>
      <c r="Y585">
        <v>10.2</v>
      </c>
      <c r="Z585">
        <v>3.2</v>
      </c>
    </row>
    <row r="586" spans="1:26">
      <c r="A586" t="s">
        <v>1056</v>
      </c>
      <c r="B586">
        <v>43</v>
      </c>
      <c r="C586" t="s">
        <v>71</v>
      </c>
      <c r="D586" t="s">
        <v>44</v>
      </c>
      <c r="E586" t="s">
        <v>272</v>
      </c>
      <c r="F586" t="s">
        <v>268</v>
      </c>
      <c r="G586" t="s">
        <v>291</v>
      </c>
      <c r="H586" t="s">
        <v>34</v>
      </c>
      <c r="I586" t="s">
        <v>20</v>
      </c>
      <c r="J586" s="7">
        <v>43504</v>
      </c>
      <c r="K586" s="7">
        <v>43685</v>
      </c>
      <c r="L586" s="5">
        <v>200</v>
      </c>
      <c r="M586" t="s">
        <v>28</v>
      </c>
      <c r="N586" t="s">
        <v>651</v>
      </c>
      <c r="O586">
        <v>200</v>
      </c>
      <c r="P586" t="s">
        <v>205</v>
      </c>
      <c r="Q586" t="s">
        <v>28</v>
      </c>
      <c r="R586">
        <v>91</v>
      </c>
      <c r="S586">
        <v>0</v>
      </c>
      <c r="T586" t="s">
        <v>82</v>
      </c>
      <c r="U586" t="s">
        <v>61</v>
      </c>
      <c r="V586">
        <v>4.06</v>
      </c>
      <c r="W586">
        <v>3.49</v>
      </c>
      <c r="X586">
        <v>7.9</v>
      </c>
      <c r="Y586">
        <v>6.7</v>
      </c>
      <c r="Z586">
        <v>17.2</v>
      </c>
    </row>
    <row r="587" spans="1:26">
      <c r="A587" t="s">
        <v>1057</v>
      </c>
      <c r="B587">
        <v>74</v>
      </c>
      <c r="C587" t="s">
        <v>44</v>
      </c>
      <c r="D587" t="s">
        <v>41</v>
      </c>
      <c r="E587" t="s">
        <v>272</v>
      </c>
      <c r="F587" t="s">
        <v>150</v>
      </c>
      <c r="G587" t="s">
        <v>291</v>
      </c>
      <c r="H587" t="s">
        <v>30</v>
      </c>
      <c r="I587" t="s">
        <v>18</v>
      </c>
      <c r="J587" s="7">
        <v>44215</v>
      </c>
      <c r="K587" s="7">
        <v>44396</v>
      </c>
      <c r="L587" s="5">
        <v>100</v>
      </c>
      <c r="M587" t="s">
        <v>150</v>
      </c>
      <c r="N587" t="s">
        <v>662</v>
      </c>
      <c r="O587">
        <v>100</v>
      </c>
      <c r="P587" t="s">
        <v>211</v>
      </c>
      <c r="Q587" t="s">
        <v>26</v>
      </c>
      <c r="R587">
        <v>44</v>
      </c>
      <c r="S587">
        <v>0</v>
      </c>
      <c r="T587" t="s">
        <v>82</v>
      </c>
      <c r="U587" t="s">
        <v>61</v>
      </c>
      <c r="V587">
        <v>3.48</v>
      </c>
      <c r="W587">
        <v>3.25</v>
      </c>
      <c r="X587">
        <v>6.6</v>
      </c>
      <c r="Y587">
        <v>21.6</v>
      </c>
      <c r="Z587">
        <v>13</v>
      </c>
    </row>
    <row r="588" spans="1:26">
      <c r="A588" t="s">
        <v>1058</v>
      </c>
      <c r="B588">
        <v>37</v>
      </c>
      <c r="C588" t="s">
        <v>70</v>
      </c>
      <c r="D588" t="s">
        <v>44</v>
      </c>
      <c r="E588" t="s">
        <v>311</v>
      </c>
      <c r="F588" t="s">
        <v>273</v>
      </c>
      <c r="G588" t="s">
        <v>256</v>
      </c>
      <c r="H588" t="s">
        <v>34</v>
      </c>
      <c r="I588" t="s">
        <v>16</v>
      </c>
      <c r="J588" s="7">
        <v>44619</v>
      </c>
      <c r="K588" s="7">
        <v>44892</v>
      </c>
      <c r="L588" s="5">
        <v>150</v>
      </c>
      <c r="M588" t="s">
        <v>26</v>
      </c>
      <c r="N588" t="s">
        <v>395</v>
      </c>
      <c r="O588">
        <v>150</v>
      </c>
      <c r="P588" t="s">
        <v>206</v>
      </c>
      <c r="Q588" t="s">
        <v>28</v>
      </c>
      <c r="R588">
        <v>46</v>
      </c>
      <c r="S588">
        <v>1</v>
      </c>
      <c r="T588" t="s">
        <v>82</v>
      </c>
      <c r="U588" t="s">
        <v>63</v>
      </c>
      <c r="V588">
        <v>3.32</v>
      </c>
      <c r="W588">
        <v>4.96</v>
      </c>
      <c r="X588">
        <v>7.8</v>
      </c>
      <c r="Y588">
        <v>14</v>
      </c>
      <c r="Z588">
        <v>15</v>
      </c>
    </row>
    <row r="589" spans="1:26">
      <c r="A589" t="s">
        <v>1059</v>
      </c>
      <c r="B589">
        <v>39</v>
      </c>
      <c r="C589" t="s">
        <v>44</v>
      </c>
      <c r="D589" t="s">
        <v>39</v>
      </c>
      <c r="E589" t="s">
        <v>150</v>
      </c>
      <c r="F589" t="s">
        <v>277</v>
      </c>
      <c r="G589" t="s">
        <v>265</v>
      </c>
      <c r="H589" t="s">
        <v>29</v>
      </c>
      <c r="I589" t="s">
        <v>20</v>
      </c>
      <c r="J589" s="7">
        <v>43740</v>
      </c>
      <c r="K589" s="7">
        <v>44106</v>
      </c>
      <c r="L589" s="5">
        <v>50</v>
      </c>
      <c r="M589" t="s">
        <v>28</v>
      </c>
      <c r="N589" t="s">
        <v>343</v>
      </c>
      <c r="O589">
        <v>50</v>
      </c>
      <c r="P589" t="s">
        <v>205</v>
      </c>
      <c r="Q589" t="s">
        <v>28</v>
      </c>
      <c r="R589">
        <v>35</v>
      </c>
      <c r="S589">
        <v>0</v>
      </c>
      <c r="T589" t="s">
        <v>82</v>
      </c>
      <c r="U589" t="s">
        <v>61</v>
      </c>
      <c r="V589">
        <v>2.56</v>
      </c>
      <c r="W589">
        <v>1.92</v>
      </c>
      <c r="X589">
        <v>6.4</v>
      </c>
      <c r="Y589">
        <v>22.7</v>
      </c>
      <c r="Z589">
        <v>18.8</v>
      </c>
    </row>
    <row r="590" spans="1:26">
      <c r="A590" t="s">
        <v>1060</v>
      </c>
      <c r="B590">
        <v>54</v>
      </c>
      <c r="C590" t="s">
        <v>44</v>
      </c>
      <c r="D590" t="s">
        <v>44</v>
      </c>
      <c r="E590" t="s">
        <v>272</v>
      </c>
      <c r="F590" t="s">
        <v>273</v>
      </c>
      <c r="G590" t="s">
        <v>269</v>
      </c>
      <c r="H590" t="s">
        <v>32</v>
      </c>
      <c r="I590" t="s">
        <v>19</v>
      </c>
      <c r="J590" s="7">
        <v>44778</v>
      </c>
      <c r="K590" s="7">
        <v>45174</v>
      </c>
      <c r="L590" s="5">
        <v>150</v>
      </c>
      <c r="M590" t="s">
        <v>26</v>
      </c>
      <c r="N590" t="s">
        <v>684</v>
      </c>
      <c r="O590">
        <v>150</v>
      </c>
      <c r="P590" t="s">
        <v>205</v>
      </c>
      <c r="Q590" t="s">
        <v>26</v>
      </c>
      <c r="R590">
        <v>129</v>
      </c>
      <c r="S590">
        <v>0</v>
      </c>
      <c r="T590" t="s">
        <v>81</v>
      </c>
      <c r="U590" t="s">
        <v>63</v>
      </c>
      <c r="V590">
        <v>2.37</v>
      </c>
      <c r="W590">
        <v>3.11</v>
      </c>
      <c r="X590">
        <v>2.9</v>
      </c>
      <c r="Y590">
        <v>23.9</v>
      </c>
      <c r="Z590">
        <v>19.7</v>
      </c>
    </row>
    <row r="591" spans="1:26">
      <c r="A591" t="s">
        <v>1061</v>
      </c>
      <c r="B591">
        <v>65</v>
      </c>
      <c r="C591" t="s">
        <v>44</v>
      </c>
      <c r="D591" t="s">
        <v>42</v>
      </c>
      <c r="E591" t="s">
        <v>272</v>
      </c>
      <c r="F591" t="s">
        <v>150</v>
      </c>
      <c r="G591" t="s">
        <v>281</v>
      </c>
      <c r="H591" t="s">
        <v>29</v>
      </c>
      <c r="I591" t="s">
        <v>20</v>
      </c>
      <c r="J591" s="7">
        <v>44913</v>
      </c>
      <c r="K591" s="7">
        <v>45187</v>
      </c>
      <c r="L591" s="5">
        <v>200</v>
      </c>
      <c r="M591" t="s">
        <v>150</v>
      </c>
      <c r="N591" t="s">
        <v>677</v>
      </c>
      <c r="O591">
        <v>200</v>
      </c>
      <c r="P591" t="s">
        <v>211</v>
      </c>
      <c r="Q591" t="s">
        <v>27</v>
      </c>
      <c r="R591">
        <v>136</v>
      </c>
      <c r="S591">
        <v>0</v>
      </c>
      <c r="T591" t="s">
        <v>82</v>
      </c>
      <c r="U591" t="s">
        <v>61</v>
      </c>
      <c r="V591">
        <v>3.6</v>
      </c>
      <c r="W591">
        <v>4.22</v>
      </c>
      <c r="X591">
        <v>7.4</v>
      </c>
      <c r="Y591">
        <v>16.7</v>
      </c>
      <c r="Z591">
        <v>3.9</v>
      </c>
    </row>
    <row r="592" spans="1:26">
      <c r="A592" t="s">
        <v>1062</v>
      </c>
      <c r="B592">
        <v>74</v>
      </c>
      <c r="C592" t="s">
        <v>70</v>
      </c>
      <c r="D592" t="s">
        <v>43</v>
      </c>
      <c r="E592" t="s">
        <v>150</v>
      </c>
      <c r="F592" t="s">
        <v>260</v>
      </c>
      <c r="G592" t="s">
        <v>281</v>
      </c>
      <c r="H592" t="s">
        <v>30</v>
      </c>
      <c r="I592" t="s">
        <v>18</v>
      </c>
      <c r="J592" s="7">
        <v>44172</v>
      </c>
      <c r="K592" s="7">
        <v>44627</v>
      </c>
      <c r="L592" s="5">
        <v>100</v>
      </c>
      <c r="M592" t="s">
        <v>25</v>
      </c>
      <c r="N592" t="s">
        <v>1063</v>
      </c>
      <c r="O592">
        <v>100</v>
      </c>
      <c r="P592" t="s">
        <v>211</v>
      </c>
      <c r="Q592" t="s">
        <v>150</v>
      </c>
      <c r="R592">
        <v>108</v>
      </c>
      <c r="S592">
        <v>0</v>
      </c>
      <c r="T592" t="s">
        <v>78</v>
      </c>
      <c r="U592" t="s">
        <v>61</v>
      </c>
      <c r="V592">
        <v>2.82</v>
      </c>
      <c r="W592">
        <v>3.7</v>
      </c>
      <c r="X592">
        <v>7.1</v>
      </c>
      <c r="Y592">
        <v>12.7</v>
      </c>
      <c r="Z592">
        <v>19</v>
      </c>
    </row>
    <row r="593" spans="1:26">
      <c r="A593" t="s">
        <v>1064</v>
      </c>
      <c r="B593">
        <v>36</v>
      </c>
      <c r="C593" t="s">
        <v>70</v>
      </c>
      <c r="D593" t="s">
        <v>42</v>
      </c>
      <c r="E593" t="s">
        <v>255</v>
      </c>
      <c r="F593" t="s">
        <v>150</v>
      </c>
      <c r="G593" t="s">
        <v>362</v>
      </c>
      <c r="H593" t="s">
        <v>34</v>
      </c>
      <c r="I593" t="s">
        <v>16</v>
      </c>
      <c r="J593" s="7">
        <v>43932</v>
      </c>
      <c r="K593" s="7">
        <v>44358</v>
      </c>
      <c r="L593" s="5">
        <v>100</v>
      </c>
      <c r="M593" t="s">
        <v>27</v>
      </c>
      <c r="N593" t="s">
        <v>962</v>
      </c>
      <c r="O593">
        <v>100</v>
      </c>
      <c r="P593" t="s">
        <v>206</v>
      </c>
      <c r="Q593" t="s">
        <v>26</v>
      </c>
      <c r="R593">
        <v>128</v>
      </c>
      <c r="S593">
        <v>1</v>
      </c>
      <c r="T593" t="s">
        <v>80</v>
      </c>
      <c r="U593" t="s">
        <v>63</v>
      </c>
      <c r="V593">
        <v>1.67</v>
      </c>
      <c r="W593">
        <v>3</v>
      </c>
      <c r="X593">
        <v>7.2</v>
      </c>
      <c r="Y593">
        <v>18.5</v>
      </c>
      <c r="Z593">
        <v>14</v>
      </c>
    </row>
    <row r="594" spans="1:26">
      <c r="A594" t="s">
        <v>1065</v>
      </c>
      <c r="B594">
        <v>52</v>
      </c>
      <c r="C594" t="s">
        <v>44</v>
      </c>
      <c r="D594" t="s">
        <v>44</v>
      </c>
      <c r="E594" t="s">
        <v>259</v>
      </c>
      <c r="F594" t="s">
        <v>150</v>
      </c>
      <c r="G594" t="s">
        <v>274</v>
      </c>
      <c r="H594" t="s">
        <v>30</v>
      </c>
      <c r="I594" t="s">
        <v>18</v>
      </c>
      <c r="J594" s="7">
        <v>44727</v>
      </c>
      <c r="K594" s="7">
        <v>45000</v>
      </c>
      <c r="L594" s="5">
        <v>100</v>
      </c>
      <c r="M594" t="s">
        <v>150</v>
      </c>
      <c r="N594" t="s">
        <v>382</v>
      </c>
      <c r="O594">
        <v>100</v>
      </c>
      <c r="P594" t="s">
        <v>206</v>
      </c>
      <c r="Q594" t="s">
        <v>28</v>
      </c>
      <c r="R594">
        <v>51</v>
      </c>
      <c r="S594">
        <v>1</v>
      </c>
      <c r="T594" t="s">
        <v>83</v>
      </c>
      <c r="U594" t="s">
        <v>63</v>
      </c>
      <c r="V594">
        <v>2.1</v>
      </c>
      <c r="W594">
        <v>1.62</v>
      </c>
      <c r="X594">
        <v>6.7</v>
      </c>
      <c r="Y594">
        <v>16.8</v>
      </c>
      <c r="Z594">
        <v>6</v>
      </c>
    </row>
    <row r="595" spans="1:26">
      <c r="A595" t="s">
        <v>1066</v>
      </c>
      <c r="B595">
        <v>24</v>
      </c>
      <c r="C595" t="s">
        <v>70</v>
      </c>
      <c r="D595" t="s">
        <v>42</v>
      </c>
      <c r="E595" t="s">
        <v>150</v>
      </c>
      <c r="F595" t="s">
        <v>150</v>
      </c>
      <c r="G595" t="s">
        <v>327</v>
      </c>
      <c r="H595" t="s">
        <v>30</v>
      </c>
      <c r="I595" t="s">
        <v>18</v>
      </c>
      <c r="J595" s="7">
        <v>43978</v>
      </c>
      <c r="K595" s="7">
        <v>44192</v>
      </c>
      <c r="L595" s="5">
        <v>150</v>
      </c>
      <c r="M595" t="s">
        <v>150</v>
      </c>
      <c r="N595" t="s">
        <v>666</v>
      </c>
      <c r="O595">
        <v>150</v>
      </c>
      <c r="P595" t="s">
        <v>205</v>
      </c>
      <c r="Q595" t="s">
        <v>26</v>
      </c>
      <c r="R595">
        <v>104</v>
      </c>
      <c r="S595">
        <v>0</v>
      </c>
      <c r="T595" t="s">
        <v>81</v>
      </c>
      <c r="U595" t="s">
        <v>63</v>
      </c>
      <c r="V595">
        <v>3.82</v>
      </c>
      <c r="W595">
        <v>2.82</v>
      </c>
      <c r="X595">
        <v>7</v>
      </c>
      <c r="Y595">
        <v>21.1</v>
      </c>
      <c r="Z595">
        <v>5.9</v>
      </c>
    </row>
    <row r="596" spans="1:26">
      <c r="A596" t="s">
        <v>1067</v>
      </c>
      <c r="B596">
        <v>38</v>
      </c>
      <c r="C596" t="s">
        <v>71</v>
      </c>
      <c r="D596" t="s">
        <v>41</v>
      </c>
      <c r="E596" t="s">
        <v>272</v>
      </c>
      <c r="F596" t="s">
        <v>268</v>
      </c>
      <c r="G596" t="s">
        <v>261</v>
      </c>
      <c r="H596" t="s">
        <v>30</v>
      </c>
      <c r="I596" t="s">
        <v>20</v>
      </c>
      <c r="J596" s="7">
        <v>44558</v>
      </c>
      <c r="K596" s="7">
        <v>44832</v>
      </c>
      <c r="L596" s="5">
        <v>50</v>
      </c>
      <c r="M596" t="s">
        <v>26</v>
      </c>
      <c r="N596" t="s">
        <v>313</v>
      </c>
      <c r="O596">
        <v>50</v>
      </c>
      <c r="P596" t="s">
        <v>206</v>
      </c>
      <c r="Q596" t="s">
        <v>26</v>
      </c>
      <c r="R596">
        <v>127</v>
      </c>
      <c r="S596">
        <v>1</v>
      </c>
      <c r="T596" t="s">
        <v>82</v>
      </c>
      <c r="U596" t="s">
        <v>61</v>
      </c>
      <c r="V596">
        <v>1.08</v>
      </c>
      <c r="W596">
        <v>4.12</v>
      </c>
      <c r="X596">
        <v>6.5</v>
      </c>
      <c r="Y596">
        <v>18.6</v>
      </c>
      <c r="Z596">
        <v>17.2</v>
      </c>
    </row>
    <row r="597" spans="1:26">
      <c r="A597" t="s">
        <v>1068</v>
      </c>
      <c r="B597">
        <v>79</v>
      </c>
      <c r="C597" t="s">
        <v>71</v>
      </c>
      <c r="D597" t="s">
        <v>42</v>
      </c>
      <c r="E597" t="s">
        <v>255</v>
      </c>
      <c r="F597" t="s">
        <v>150</v>
      </c>
      <c r="G597" t="s">
        <v>327</v>
      </c>
      <c r="H597" t="s">
        <v>34</v>
      </c>
      <c r="I597" t="s">
        <v>18</v>
      </c>
      <c r="J597" s="7">
        <v>44577</v>
      </c>
      <c r="K597" s="7">
        <v>45062</v>
      </c>
      <c r="L597" s="5">
        <v>150</v>
      </c>
      <c r="M597" t="s">
        <v>28</v>
      </c>
      <c r="N597" t="s">
        <v>567</v>
      </c>
      <c r="O597">
        <v>150</v>
      </c>
      <c r="P597" t="s">
        <v>206</v>
      </c>
      <c r="Q597" t="s">
        <v>26</v>
      </c>
      <c r="R597">
        <v>106</v>
      </c>
      <c r="S597">
        <v>1</v>
      </c>
      <c r="T597" t="s">
        <v>82</v>
      </c>
      <c r="U597" t="s">
        <v>63</v>
      </c>
      <c r="V597">
        <v>4.21</v>
      </c>
      <c r="W597">
        <v>4.84</v>
      </c>
      <c r="X597">
        <v>5.8</v>
      </c>
      <c r="Y597">
        <v>14.8</v>
      </c>
      <c r="Z597">
        <v>9.8</v>
      </c>
    </row>
    <row r="598" spans="1:26">
      <c r="A598" t="s">
        <v>1069</v>
      </c>
      <c r="B598">
        <v>32</v>
      </c>
      <c r="C598" t="s">
        <v>44</v>
      </c>
      <c r="D598" t="s">
        <v>41</v>
      </c>
      <c r="E598" t="s">
        <v>150</v>
      </c>
      <c r="F598" t="s">
        <v>277</v>
      </c>
      <c r="G598" t="s">
        <v>327</v>
      </c>
      <c r="H598" t="s">
        <v>34</v>
      </c>
      <c r="I598" t="s">
        <v>16</v>
      </c>
      <c r="J598" s="7">
        <v>45213</v>
      </c>
      <c r="K598" s="7">
        <v>45457</v>
      </c>
      <c r="L598" s="5">
        <v>150</v>
      </c>
      <c r="M598" t="s">
        <v>26</v>
      </c>
      <c r="N598" t="s">
        <v>743</v>
      </c>
      <c r="O598">
        <v>150</v>
      </c>
      <c r="P598" t="s">
        <v>206</v>
      </c>
      <c r="Q598" t="s">
        <v>27</v>
      </c>
      <c r="R598">
        <v>111</v>
      </c>
      <c r="S598">
        <v>1</v>
      </c>
      <c r="T598" t="s">
        <v>78</v>
      </c>
      <c r="U598" t="s">
        <v>63</v>
      </c>
      <c r="V598">
        <v>1.61</v>
      </c>
      <c r="W598">
        <v>3.29</v>
      </c>
      <c r="X598">
        <v>3.5</v>
      </c>
      <c r="Y598">
        <v>22.6</v>
      </c>
      <c r="Z598">
        <v>12.9</v>
      </c>
    </row>
    <row r="599" spans="1:26">
      <c r="A599" t="s">
        <v>1070</v>
      </c>
      <c r="B599">
        <v>48</v>
      </c>
      <c r="C599" t="s">
        <v>44</v>
      </c>
      <c r="D599" t="s">
        <v>39</v>
      </c>
      <c r="E599" t="s">
        <v>150</v>
      </c>
      <c r="F599" t="s">
        <v>260</v>
      </c>
      <c r="G599" t="s">
        <v>256</v>
      </c>
      <c r="H599" t="s">
        <v>29</v>
      </c>
      <c r="I599" t="s">
        <v>19</v>
      </c>
      <c r="J599" s="7">
        <v>44868</v>
      </c>
      <c r="K599" s="7">
        <v>45202</v>
      </c>
      <c r="L599" s="5">
        <v>50</v>
      </c>
      <c r="M599" t="s">
        <v>25</v>
      </c>
      <c r="N599" t="s">
        <v>521</v>
      </c>
      <c r="O599">
        <v>50</v>
      </c>
      <c r="P599" t="s">
        <v>205</v>
      </c>
      <c r="Q599" t="s">
        <v>25</v>
      </c>
      <c r="R599">
        <v>34</v>
      </c>
      <c r="S599">
        <v>0</v>
      </c>
      <c r="T599" t="s">
        <v>81</v>
      </c>
      <c r="U599" t="s">
        <v>61</v>
      </c>
      <c r="V599">
        <v>3.37</v>
      </c>
      <c r="W599">
        <v>2.42</v>
      </c>
      <c r="X599">
        <v>1.5</v>
      </c>
      <c r="Y599">
        <v>6.6</v>
      </c>
      <c r="Z599">
        <v>10.2</v>
      </c>
    </row>
    <row r="600" spans="1:26">
      <c r="A600" t="s">
        <v>1071</v>
      </c>
      <c r="B600">
        <v>43</v>
      </c>
      <c r="C600" t="s">
        <v>70</v>
      </c>
      <c r="D600" t="s">
        <v>43</v>
      </c>
      <c r="E600" t="s">
        <v>272</v>
      </c>
      <c r="F600" t="s">
        <v>264</v>
      </c>
      <c r="G600" t="s">
        <v>297</v>
      </c>
      <c r="H600" t="s">
        <v>32</v>
      </c>
      <c r="I600" t="s">
        <v>19</v>
      </c>
      <c r="J600" s="7">
        <v>45121</v>
      </c>
      <c r="K600" s="7">
        <v>45640</v>
      </c>
      <c r="L600" s="5">
        <v>150</v>
      </c>
      <c r="M600" t="s">
        <v>150</v>
      </c>
      <c r="N600" t="s">
        <v>304</v>
      </c>
      <c r="O600">
        <v>150</v>
      </c>
      <c r="P600" t="s">
        <v>211</v>
      </c>
      <c r="Q600" t="s">
        <v>25</v>
      </c>
      <c r="R600">
        <v>79</v>
      </c>
      <c r="S600">
        <v>0</v>
      </c>
      <c r="T600" t="s">
        <v>82</v>
      </c>
      <c r="U600" t="s">
        <v>61</v>
      </c>
      <c r="V600">
        <v>1.34</v>
      </c>
      <c r="W600">
        <v>3.43</v>
      </c>
      <c r="X600">
        <v>8.9</v>
      </c>
      <c r="Y600">
        <v>21.9</v>
      </c>
      <c r="Z600">
        <v>14.2</v>
      </c>
    </row>
    <row r="601" spans="1:26">
      <c r="A601" t="s">
        <v>1072</v>
      </c>
      <c r="B601">
        <v>52</v>
      </c>
      <c r="C601" t="s">
        <v>71</v>
      </c>
      <c r="D601" t="s">
        <v>43</v>
      </c>
      <c r="E601" t="s">
        <v>311</v>
      </c>
      <c r="F601" t="s">
        <v>150</v>
      </c>
      <c r="G601" t="s">
        <v>256</v>
      </c>
      <c r="H601" t="s">
        <v>29</v>
      </c>
      <c r="I601" t="s">
        <v>16</v>
      </c>
      <c r="J601" s="7">
        <v>43869</v>
      </c>
      <c r="K601" s="7">
        <v>44082</v>
      </c>
      <c r="L601" s="5">
        <v>100</v>
      </c>
      <c r="M601" t="s">
        <v>28</v>
      </c>
      <c r="N601" t="s">
        <v>461</v>
      </c>
      <c r="O601">
        <v>100</v>
      </c>
      <c r="P601" t="s">
        <v>206</v>
      </c>
      <c r="Q601" t="s">
        <v>28</v>
      </c>
      <c r="R601">
        <v>49</v>
      </c>
      <c r="S601">
        <v>1</v>
      </c>
      <c r="T601" t="s">
        <v>83</v>
      </c>
      <c r="U601" t="s">
        <v>63</v>
      </c>
      <c r="V601">
        <v>1.84</v>
      </c>
      <c r="W601">
        <v>4.45</v>
      </c>
      <c r="X601">
        <v>9</v>
      </c>
      <c r="Y601">
        <v>9.5</v>
      </c>
      <c r="Z601">
        <v>15.5</v>
      </c>
    </row>
    <row r="602" spans="1:26">
      <c r="A602" t="s">
        <v>1073</v>
      </c>
      <c r="B602">
        <v>61</v>
      </c>
      <c r="C602" t="s">
        <v>44</v>
      </c>
      <c r="D602" t="s">
        <v>42</v>
      </c>
      <c r="E602" t="s">
        <v>259</v>
      </c>
      <c r="F602" t="s">
        <v>150</v>
      </c>
      <c r="G602" t="s">
        <v>431</v>
      </c>
      <c r="H602" t="s">
        <v>32</v>
      </c>
      <c r="I602" t="s">
        <v>16</v>
      </c>
      <c r="J602" s="7">
        <v>44959</v>
      </c>
      <c r="K602" s="7">
        <v>45475</v>
      </c>
      <c r="L602" s="5">
        <v>100</v>
      </c>
      <c r="M602" t="s">
        <v>28</v>
      </c>
      <c r="N602" t="s">
        <v>406</v>
      </c>
      <c r="O602">
        <v>100</v>
      </c>
      <c r="P602" t="s">
        <v>206</v>
      </c>
      <c r="Q602" t="s">
        <v>28</v>
      </c>
      <c r="R602">
        <v>30</v>
      </c>
      <c r="S602">
        <v>1</v>
      </c>
      <c r="T602" t="s">
        <v>82</v>
      </c>
      <c r="U602" t="s">
        <v>63</v>
      </c>
      <c r="V602">
        <v>2.15</v>
      </c>
      <c r="W602">
        <v>4.21</v>
      </c>
      <c r="X602">
        <v>10</v>
      </c>
      <c r="Y602">
        <v>6.5</v>
      </c>
      <c r="Z602">
        <v>18.3</v>
      </c>
    </row>
    <row r="603" spans="1:26">
      <c r="A603" t="s">
        <v>1074</v>
      </c>
      <c r="B603">
        <v>44</v>
      </c>
      <c r="C603" t="s">
        <v>71</v>
      </c>
      <c r="D603" t="s">
        <v>42</v>
      </c>
      <c r="E603" t="s">
        <v>272</v>
      </c>
      <c r="F603" t="s">
        <v>268</v>
      </c>
      <c r="G603" t="s">
        <v>278</v>
      </c>
      <c r="H603" t="s">
        <v>34</v>
      </c>
      <c r="I603" t="s">
        <v>18</v>
      </c>
      <c r="J603" s="7">
        <v>44857</v>
      </c>
      <c r="K603" s="7">
        <v>45100</v>
      </c>
      <c r="L603" s="5">
        <v>200</v>
      </c>
      <c r="M603" t="s">
        <v>25</v>
      </c>
      <c r="N603" t="s">
        <v>962</v>
      </c>
      <c r="O603">
        <v>200</v>
      </c>
      <c r="P603" t="s">
        <v>206</v>
      </c>
      <c r="Q603" t="s">
        <v>25</v>
      </c>
      <c r="R603">
        <v>31</v>
      </c>
      <c r="S603">
        <v>1</v>
      </c>
      <c r="T603" t="s">
        <v>83</v>
      </c>
      <c r="U603" t="s">
        <v>63</v>
      </c>
      <c r="V603">
        <v>3.49</v>
      </c>
      <c r="W603">
        <v>4.89</v>
      </c>
      <c r="X603">
        <v>5.2</v>
      </c>
      <c r="Y603">
        <v>21.3</v>
      </c>
      <c r="Z603">
        <v>4.1</v>
      </c>
    </row>
    <row r="604" spans="1:26">
      <c r="A604" t="s">
        <v>1075</v>
      </c>
      <c r="B604">
        <v>43</v>
      </c>
      <c r="C604" t="s">
        <v>70</v>
      </c>
      <c r="D604" t="s">
        <v>41</v>
      </c>
      <c r="E604" t="s">
        <v>255</v>
      </c>
      <c r="F604" t="s">
        <v>150</v>
      </c>
      <c r="G604" t="s">
        <v>278</v>
      </c>
      <c r="H604" t="s">
        <v>29</v>
      </c>
      <c r="I604" t="s">
        <v>16</v>
      </c>
      <c r="J604" s="7">
        <v>43918</v>
      </c>
      <c r="K604" s="7">
        <v>44255</v>
      </c>
      <c r="L604" s="5">
        <v>100</v>
      </c>
      <c r="M604" t="s">
        <v>27</v>
      </c>
      <c r="N604" t="s">
        <v>365</v>
      </c>
      <c r="O604">
        <v>100</v>
      </c>
      <c r="P604" t="s">
        <v>205</v>
      </c>
      <c r="Q604" t="s">
        <v>150</v>
      </c>
      <c r="R604">
        <v>135</v>
      </c>
      <c r="S604">
        <v>0</v>
      </c>
      <c r="T604" t="s">
        <v>80</v>
      </c>
      <c r="U604" t="s">
        <v>61</v>
      </c>
      <c r="V604">
        <v>2.34</v>
      </c>
      <c r="W604">
        <v>1.27</v>
      </c>
      <c r="X604">
        <v>9.8</v>
      </c>
      <c r="Y604">
        <v>20.7</v>
      </c>
      <c r="Z604">
        <v>17.5</v>
      </c>
    </row>
    <row r="605" spans="1:26">
      <c r="A605" t="s">
        <v>1076</v>
      </c>
      <c r="B605">
        <v>45</v>
      </c>
      <c r="C605" t="s">
        <v>70</v>
      </c>
      <c r="D605" t="s">
        <v>39</v>
      </c>
      <c r="E605" t="s">
        <v>150</v>
      </c>
      <c r="F605" t="s">
        <v>150</v>
      </c>
      <c r="G605" t="s">
        <v>349</v>
      </c>
      <c r="H605" t="s">
        <v>29</v>
      </c>
      <c r="I605" t="s">
        <v>19</v>
      </c>
      <c r="J605" s="7">
        <v>44258</v>
      </c>
      <c r="K605" s="7">
        <v>44442</v>
      </c>
      <c r="L605" s="5">
        <v>50</v>
      </c>
      <c r="M605" t="s">
        <v>150</v>
      </c>
      <c r="N605" t="s">
        <v>1037</v>
      </c>
      <c r="O605">
        <v>50</v>
      </c>
      <c r="P605" t="s">
        <v>211</v>
      </c>
      <c r="Q605" t="s">
        <v>28</v>
      </c>
      <c r="R605">
        <v>144</v>
      </c>
      <c r="S605">
        <v>0</v>
      </c>
      <c r="T605" t="s">
        <v>83</v>
      </c>
      <c r="U605" t="s">
        <v>63</v>
      </c>
      <c r="V605">
        <v>4.75</v>
      </c>
      <c r="W605">
        <v>1.34</v>
      </c>
      <c r="X605">
        <v>4.5</v>
      </c>
      <c r="Y605">
        <v>7.3</v>
      </c>
      <c r="Z605">
        <v>6.6</v>
      </c>
    </row>
    <row r="606" spans="1:26">
      <c r="A606" t="s">
        <v>1077</v>
      </c>
      <c r="B606">
        <v>58</v>
      </c>
      <c r="C606" t="s">
        <v>44</v>
      </c>
      <c r="D606" t="s">
        <v>39</v>
      </c>
      <c r="E606" t="s">
        <v>255</v>
      </c>
      <c r="F606" t="s">
        <v>150</v>
      </c>
      <c r="G606" t="s">
        <v>294</v>
      </c>
      <c r="H606" t="s">
        <v>32</v>
      </c>
      <c r="I606" t="s">
        <v>19</v>
      </c>
      <c r="J606" s="7">
        <v>44736</v>
      </c>
      <c r="K606" s="7">
        <v>45284</v>
      </c>
      <c r="L606" s="5">
        <v>200</v>
      </c>
      <c r="M606" t="s">
        <v>27</v>
      </c>
      <c r="N606" t="s">
        <v>651</v>
      </c>
      <c r="O606">
        <v>200</v>
      </c>
      <c r="P606" t="s">
        <v>211</v>
      </c>
      <c r="Q606" t="s">
        <v>150</v>
      </c>
      <c r="R606">
        <v>169</v>
      </c>
      <c r="S606">
        <v>0</v>
      </c>
      <c r="T606" t="s">
        <v>78</v>
      </c>
      <c r="U606" t="s">
        <v>63</v>
      </c>
      <c r="V606">
        <v>1.92</v>
      </c>
      <c r="W606">
        <v>2.88</v>
      </c>
      <c r="X606">
        <v>3.4</v>
      </c>
      <c r="Y606">
        <v>7.8</v>
      </c>
      <c r="Z606">
        <v>5.8</v>
      </c>
    </row>
    <row r="607" spans="1:26">
      <c r="A607" t="s">
        <v>1078</v>
      </c>
      <c r="B607">
        <v>39</v>
      </c>
      <c r="C607" t="s">
        <v>71</v>
      </c>
      <c r="D607" t="s">
        <v>39</v>
      </c>
      <c r="E607" t="s">
        <v>272</v>
      </c>
      <c r="F607" t="s">
        <v>260</v>
      </c>
      <c r="G607" t="s">
        <v>256</v>
      </c>
      <c r="H607" t="s">
        <v>34</v>
      </c>
      <c r="I607" t="s">
        <v>20</v>
      </c>
      <c r="J607" s="7">
        <v>44778</v>
      </c>
      <c r="K607" s="7">
        <v>45021</v>
      </c>
      <c r="L607" s="5">
        <v>200</v>
      </c>
      <c r="M607" t="s">
        <v>28</v>
      </c>
      <c r="N607" t="s">
        <v>395</v>
      </c>
      <c r="O607">
        <v>200</v>
      </c>
      <c r="P607" t="s">
        <v>211</v>
      </c>
      <c r="Q607" t="s">
        <v>26</v>
      </c>
      <c r="R607">
        <v>132</v>
      </c>
      <c r="S607">
        <v>0</v>
      </c>
      <c r="T607" t="s">
        <v>81</v>
      </c>
      <c r="U607" t="s">
        <v>63</v>
      </c>
      <c r="V607">
        <v>1.59</v>
      </c>
      <c r="W607">
        <v>4.89</v>
      </c>
      <c r="X607">
        <v>7.8</v>
      </c>
      <c r="Y607">
        <v>23.4</v>
      </c>
      <c r="Z607">
        <v>10.5</v>
      </c>
    </row>
    <row r="608" spans="1:26">
      <c r="A608" t="s">
        <v>1079</v>
      </c>
      <c r="B608">
        <v>73</v>
      </c>
      <c r="C608" t="s">
        <v>44</v>
      </c>
      <c r="D608" t="s">
        <v>41</v>
      </c>
      <c r="E608" t="s">
        <v>259</v>
      </c>
      <c r="F608" t="s">
        <v>150</v>
      </c>
      <c r="G608" t="s">
        <v>288</v>
      </c>
      <c r="H608" t="s">
        <v>30</v>
      </c>
      <c r="I608" t="s">
        <v>16</v>
      </c>
      <c r="J608" s="7">
        <v>43662</v>
      </c>
      <c r="K608" s="7">
        <v>43906</v>
      </c>
      <c r="L608" s="5">
        <v>150</v>
      </c>
      <c r="M608" t="s">
        <v>26</v>
      </c>
      <c r="N608" t="s">
        <v>997</v>
      </c>
      <c r="O608">
        <v>150</v>
      </c>
      <c r="P608" t="s">
        <v>211</v>
      </c>
      <c r="Q608" t="s">
        <v>26</v>
      </c>
      <c r="R608">
        <v>107</v>
      </c>
      <c r="S608">
        <v>0</v>
      </c>
      <c r="T608" t="s">
        <v>80</v>
      </c>
      <c r="U608" t="s">
        <v>61</v>
      </c>
      <c r="V608">
        <v>2.11</v>
      </c>
      <c r="W608">
        <v>4.19</v>
      </c>
      <c r="X608">
        <v>3.9</v>
      </c>
      <c r="Y608">
        <v>11.4</v>
      </c>
      <c r="Z608">
        <v>7</v>
      </c>
    </row>
    <row r="609" spans="1:26">
      <c r="A609" t="s">
        <v>1080</v>
      </c>
      <c r="B609">
        <v>47</v>
      </c>
      <c r="C609" t="s">
        <v>71</v>
      </c>
      <c r="D609" t="s">
        <v>43</v>
      </c>
      <c r="E609" t="s">
        <v>255</v>
      </c>
      <c r="F609" t="s">
        <v>150</v>
      </c>
      <c r="G609" t="s">
        <v>261</v>
      </c>
      <c r="H609" t="s">
        <v>34</v>
      </c>
      <c r="I609" t="s">
        <v>18</v>
      </c>
      <c r="J609" s="7">
        <v>44867</v>
      </c>
      <c r="K609" s="7">
        <v>45201</v>
      </c>
      <c r="L609" s="5">
        <v>50</v>
      </c>
      <c r="M609" t="s">
        <v>150</v>
      </c>
      <c r="N609" t="s">
        <v>562</v>
      </c>
      <c r="O609">
        <v>50</v>
      </c>
      <c r="P609" t="s">
        <v>211</v>
      </c>
      <c r="Q609" t="s">
        <v>25</v>
      </c>
      <c r="R609">
        <v>104</v>
      </c>
      <c r="S609">
        <v>0</v>
      </c>
      <c r="T609" t="s">
        <v>78</v>
      </c>
      <c r="U609" t="s">
        <v>63</v>
      </c>
      <c r="V609">
        <v>1.52</v>
      </c>
      <c r="W609">
        <v>2.03</v>
      </c>
      <c r="X609">
        <v>4.2</v>
      </c>
      <c r="Y609">
        <v>18.1</v>
      </c>
      <c r="Z609">
        <v>4.1</v>
      </c>
    </row>
    <row r="610" spans="1:26">
      <c r="A610" t="s">
        <v>1081</v>
      </c>
      <c r="B610">
        <v>84</v>
      </c>
      <c r="C610" t="s">
        <v>70</v>
      </c>
      <c r="D610" t="s">
        <v>41</v>
      </c>
      <c r="E610" t="s">
        <v>272</v>
      </c>
      <c r="F610" t="s">
        <v>264</v>
      </c>
      <c r="G610" t="s">
        <v>288</v>
      </c>
      <c r="H610" t="s">
        <v>32</v>
      </c>
      <c r="I610" t="s">
        <v>19</v>
      </c>
      <c r="J610" s="7">
        <v>45127</v>
      </c>
      <c r="K610" s="7">
        <v>45342</v>
      </c>
      <c r="L610" s="5">
        <v>100</v>
      </c>
      <c r="M610" t="s">
        <v>150</v>
      </c>
      <c r="N610" t="s">
        <v>332</v>
      </c>
      <c r="O610">
        <v>100</v>
      </c>
      <c r="P610" t="s">
        <v>205</v>
      </c>
      <c r="Q610" t="s">
        <v>26</v>
      </c>
      <c r="R610">
        <v>124</v>
      </c>
      <c r="S610">
        <v>0</v>
      </c>
      <c r="T610" t="s">
        <v>80</v>
      </c>
      <c r="U610" t="s">
        <v>61</v>
      </c>
      <c r="V610">
        <v>1.84</v>
      </c>
      <c r="W610">
        <v>4.24</v>
      </c>
      <c r="X610">
        <v>2.3</v>
      </c>
      <c r="Y610">
        <v>12.2</v>
      </c>
      <c r="Z610">
        <v>17.7</v>
      </c>
    </row>
    <row r="611" spans="1:26">
      <c r="A611" t="s">
        <v>1082</v>
      </c>
      <c r="B611">
        <v>26</v>
      </c>
      <c r="C611" t="s">
        <v>71</v>
      </c>
      <c r="D611" t="s">
        <v>43</v>
      </c>
      <c r="E611" t="s">
        <v>150</v>
      </c>
      <c r="F611" t="s">
        <v>273</v>
      </c>
      <c r="G611" t="s">
        <v>256</v>
      </c>
      <c r="H611" t="s">
        <v>30</v>
      </c>
      <c r="I611" t="s">
        <v>19</v>
      </c>
      <c r="J611" s="7">
        <v>44699</v>
      </c>
      <c r="K611" s="7">
        <v>45034</v>
      </c>
      <c r="L611" s="5">
        <v>150</v>
      </c>
      <c r="M611" t="s">
        <v>26</v>
      </c>
      <c r="N611" t="s">
        <v>388</v>
      </c>
      <c r="O611">
        <v>150</v>
      </c>
      <c r="P611" t="s">
        <v>205</v>
      </c>
      <c r="Q611" t="s">
        <v>26</v>
      </c>
      <c r="R611">
        <v>90</v>
      </c>
      <c r="S611">
        <v>0</v>
      </c>
      <c r="T611" t="s">
        <v>78</v>
      </c>
      <c r="U611" t="s">
        <v>61</v>
      </c>
      <c r="V611">
        <v>1.62</v>
      </c>
      <c r="W611">
        <v>1.33</v>
      </c>
      <c r="X611">
        <v>5.4</v>
      </c>
      <c r="Y611">
        <v>11.4</v>
      </c>
      <c r="Z611">
        <v>12.6</v>
      </c>
    </row>
    <row r="612" spans="1:26">
      <c r="A612" t="s">
        <v>1083</v>
      </c>
      <c r="B612">
        <v>78</v>
      </c>
      <c r="C612" t="s">
        <v>71</v>
      </c>
      <c r="D612" t="s">
        <v>39</v>
      </c>
      <c r="E612" t="s">
        <v>255</v>
      </c>
      <c r="F612" t="s">
        <v>150</v>
      </c>
      <c r="G612" t="s">
        <v>297</v>
      </c>
      <c r="H612" t="s">
        <v>30</v>
      </c>
      <c r="I612" t="s">
        <v>19</v>
      </c>
      <c r="J612" s="7">
        <v>43724</v>
      </c>
      <c r="K612" s="7">
        <v>44120</v>
      </c>
      <c r="L612" s="5">
        <v>150</v>
      </c>
      <c r="M612" t="s">
        <v>27</v>
      </c>
      <c r="N612" t="s">
        <v>495</v>
      </c>
      <c r="O612">
        <v>150</v>
      </c>
      <c r="P612" t="s">
        <v>206</v>
      </c>
      <c r="Q612" t="s">
        <v>150</v>
      </c>
      <c r="R612">
        <v>66</v>
      </c>
      <c r="S612">
        <v>1</v>
      </c>
      <c r="T612" t="s">
        <v>81</v>
      </c>
      <c r="U612" t="s">
        <v>63</v>
      </c>
      <c r="V612">
        <v>4.22</v>
      </c>
      <c r="W612">
        <v>1.55</v>
      </c>
      <c r="X612">
        <v>6.2</v>
      </c>
      <c r="Y612">
        <v>15.1</v>
      </c>
      <c r="Z612">
        <v>5.4</v>
      </c>
    </row>
    <row r="613" spans="1:26">
      <c r="A613" t="s">
        <v>1084</v>
      </c>
      <c r="B613">
        <v>78</v>
      </c>
      <c r="C613" t="s">
        <v>71</v>
      </c>
      <c r="D613" t="s">
        <v>41</v>
      </c>
      <c r="E613" t="s">
        <v>311</v>
      </c>
      <c r="F613" t="s">
        <v>268</v>
      </c>
      <c r="G613" t="s">
        <v>269</v>
      </c>
      <c r="H613" t="s">
        <v>30</v>
      </c>
      <c r="I613" t="s">
        <v>19</v>
      </c>
      <c r="J613" s="7">
        <v>44419</v>
      </c>
      <c r="K613" s="7">
        <v>44876</v>
      </c>
      <c r="L613" s="5">
        <v>100</v>
      </c>
      <c r="M613" t="s">
        <v>26</v>
      </c>
      <c r="N613" t="s">
        <v>810</v>
      </c>
      <c r="O613">
        <v>100</v>
      </c>
      <c r="P613" t="s">
        <v>206</v>
      </c>
      <c r="Q613" t="s">
        <v>26</v>
      </c>
      <c r="R613">
        <v>164</v>
      </c>
      <c r="S613">
        <v>1</v>
      </c>
      <c r="T613" t="s">
        <v>80</v>
      </c>
      <c r="U613" t="s">
        <v>61</v>
      </c>
      <c r="V613">
        <v>3.5</v>
      </c>
      <c r="W613">
        <v>2.09</v>
      </c>
      <c r="X613">
        <v>5.4</v>
      </c>
      <c r="Y613">
        <v>7.5</v>
      </c>
      <c r="Z613">
        <v>10.8</v>
      </c>
    </row>
    <row r="614" spans="1:26">
      <c r="A614" t="s">
        <v>1085</v>
      </c>
      <c r="B614">
        <v>49</v>
      </c>
      <c r="C614" t="s">
        <v>70</v>
      </c>
      <c r="D614" t="s">
        <v>43</v>
      </c>
      <c r="E614" t="s">
        <v>311</v>
      </c>
      <c r="F614" t="s">
        <v>273</v>
      </c>
      <c r="G614" t="s">
        <v>281</v>
      </c>
      <c r="H614" t="s">
        <v>32</v>
      </c>
      <c r="I614" t="s">
        <v>16</v>
      </c>
      <c r="J614" s="7">
        <v>43790</v>
      </c>
      <c r="K614" s="7">
        <v>44337</v>
      </c>
      <c r="L614" s="5">
        <v>200</v>
      </c>
      <c r="M614" t="s">
        <v>150</v>
      </c>
      <c r="N614" t="s">
        <v>373</v>
      </c>
      <c r="O614">
        <v>200</v>
      </c>
      <c r="P614" t="s">
        <v>206</v>
      </c>
      <c r="Q614" t="s">
        <v>27</v>
      </c>
      <c r="R614">
        <v>127</v>
      </c>
      <c r="S614">
        <v>1</v>
      </c>
      <c r="T614" t="s">
        <v>80</v>
      </c>
      <c r="U614" t="s">
        <v>63</v>
      </c>
      <c r="V614">
        <v>2.23</v>
      </c>
      <c r="W614">
        <v>4.29</v>
      </c>
      <c r="X614">
        <v>1.5</v>
      </c>
      <c r="Y614">
        <v>13.5</v>
      </c>
      <c r="Z614">
        <v>10.8</v>
      </c>
    </row>
    <row r="615" spans="1:26">
      <c r="A615" t="s">
        <v>1086</v>
      </c>
      <c r="B615">
        <v>74</v>
      </c>
      <c r="C615" t="s">
        <v>70</v>
      </c>
      <c r="D615" t="s">
        <v>42</v>
      </c>
      <c r="E615" t="s">
        <v>150</v>
      </c>
      <c r="F615" t="s">
        <v>273</v>
      </c>
      <c r="G615" t="s">
        <v>306</v>
      </c>
      <c r="H615" t="s">
        <v>34</v>
      </c>
      <c r="I615" t="s">
        <v>19</v>
      </c>
      <c r="J615" s="7">
        <v>44109</v>
      </c>
      <c r="K615" s="7">
        <v>44444</v>
      </c>
      <c r="L615" s="5">
        <v>50</v>
      </c>
      <c r="M615" t="s">
        <v>28</v>
      </c>
      <c r="N615" t="s">
        <v>338</v>
      </c>
      <c r="O615">
        <v>50</v>
      </c>
      <c r="P615" t="s">
        <v>205</v>
      </c>
      <c r="Q615" t="s">
        <v>27</v>
      </c>
      <c r="R615">
        <v>124</v>
      </c>
      <c r="S615">
        <v>0</v>
      </c>
      <c r="T615" t="s">
        <v>78</v>
      </c>
      <c r="U615" t="s">
        <v>61</v>
      </c>
      <c r="V615">
        <v>3.9</v>
      </c>
      <c r="W615">
        <v>3.3</v>
      </c>
      <c r="X615">
        <v>7</v>
      </c>
      <c r="Y615">
        <v>20</v>
      </c>
      <c r="Z615">
        <v>17.7</v>
      </c>
    </row>
    <row r="616" spans="1:26">
      <c r="A616" t="s">
        <v>1087</v>
      </c>
      <c r="B616">
        <v>66</v>
      </c>
      <c r="C616" t="s">
        <v>44</v>
      </c>
      <c r="D616" t="s">
        <v>42</v>
      </c>
      <c r="E616" t="s">
        <v>272</v>
      </c>
      <c r="F616" t="s">
        <v>150</v>
      </c>
      <c r="G616" t="s">
        <v>297</v>
      </c>
      <c r="H616" t="s">
        <v>30</v>
      </c>
      <c r="I616" t="s">
        <v>19</v>
      </c>
      <c r="J616" s="7">
        <v>44947</v>
      </c>
      <c r="K616" s="7">
        <v>45251</v>
      </c>
      <c r="L616" s="5">
        <v>150</v>
      </c>
      <c r="M616" t="s">
        <v>25</v>
      </c>
      <c r="N616" t="s">
        <v>369</v>
      </c>
      <c r="O616">
        <v>150</v>
      </c>
      <c r="P616" t="s">
        <v>205</v>
      </c>
      <c r="Q616" t="s">
        <v>26</v>
      </c>
      <c r="R616">
        <v>157</v>
      </c>
      <c r="S616">
        <v>0</v>
      </c>
      <c r="T616" t="s">
        <v>83</v>
      </c>
      <c r="U616" t="s">
        <v>63</v>
      </c>
      <c r="V616">
        <v>2.26</v>
      </c>
      <c r="W616">
        <v>3.15</v>
      </c>
      <c r="X616">
        <v>8.6</v>
      </c>
      <c r="Y616">
        <v>23.8</v>
      </c>
      <c r="Z616">
        <v>18.1</v>
      </c>
    </row>
    <row r="617" spans="1:26">
      <c r="A617" t="s">
        <v>1088</v>
      </c>
      <c r="B617">
        <v>35</v>
      </c>
      <c r="C617" t="s">
        <v>71</v>
      </c>
      <c r="D617" t="s">
        <v>42</v>
      </c>
      <c r="E617" t="s">
        <v>255</v>
      </c>
      <c r="F617" t="s">
        <v>273</v>
      </c>
      <c r="G617" t="s">
        <v>294</v>
      </c>
      <c r="H617" t="s">
        <v>32</v>
      </c>
      <c r="I617" t="s">
        <v>19</v>
      </c>
      <c r="J617" s="7">
        <v>44241</v>
      </c>
      <c r="K617" s="7">
        <v>44575</v>
      </c>
      <c r="L617" s="5">
        <v>50</v>
      </c>
      <c r="M617" t="s">
        <v>27</v>
      </c>
      <c r="N617" t="s">
        <v>538</v>
      </c>
      <c r="O617">
        <v>50</v>
      </c>
      <c r="P617" t="s">
        <v>211</v>
      </c>
      <c r="Q617" t="s">
        <v>27</v>
      </c>
      <c r="R617">
        <v>69</v>
      </c>
      <c r="S617">
        <v>0</v>
      </c>
      <c r="T617" t="s">
        <v>80</v>
      </c>
      <c r="U617" t="s">
        <v>63</v>
      </c>
      <c r="V617">
        <v>2.49</v>
      </c>
      <c r="W617">
        <v>1.78</v>
      </c>
      <c r="X617">
        <v>5.4</v>
      </c>
      <c r="Y617">
        <v>19.3</v>
      </c>
      <c r="Z617">
        <v>11.4</v>
      </c>
    </row>
    <row r="618" spans="1:26">
      <c r="A618" t="s">
        <v>1089</v>
      </c>
      <c r="B618">
        <v>44</v>
      </c>
      <c r="C618" t="s">
        <v>70</v>
      </c>
      <c r="D618" t="s">
        <v>41</v>
      </c>
      <c r="E618" t="s">
        <v>311</v>
      </c>
      <c r="F618" t="s">
        <v>150</v>
      </c>
      <c r="G618" t="s">
        <v>322</v>
      </c>
      <c r="H618" t="s">
        <v>30</v>
      </c>
      <c r="I618" t="s">
        <v>18</v>
      </c>
      <c r="J618" s="7">
        <v>43791</v>
      </c>
      <c r="K618" s="7">
        <v>44218</v>
      </c>
      <c r="L618" s="5">
        <v>50</v>
      </c>
      <c r="M618" t="s">
        <v>26</v>
      </c>
      <c r="N618" t="s">
        <v>325</v>
      </c>
      <c r="O618">
        <v>50</v>
      </c>
      <c r="P618" t="s">
        <v>206</v>
      </c>
      <c r="Q618" t="s">
        <v>28</v>
      </c>
      <c r="R618">
        <v>86</v>
      </c>
      <c r="S618">
        <v>1</v>
      </c>
      <c r="T618" t="s">
        <v>78</v>
      </c>
      <c r="U618" t="s">
        <v>63</v>
      </c>
      <c r="V618">
        <v>2.93</v>
      </c>
      <c r="W618">
        <v>4.35</v>
      </c>
      <c r="X618">
        <v>4.3</v>
      </c>
      <c r="Y618">
        <v>21.5</v>
      </c>
      <c r="Z618">
        <v>9.9</v>
      </c>
    </row>
    <row r="619" spans="1:26">
      <c r="A619" t="s">
        <v>1090</v>
      </c>
      <c r="B619">
        <v>35</v>
      </c>
      <c r="C619" t="s">
        <v>44</v>
      </c>
      <c r="D619" t="s">
        <v>39</v>
      </c>
      <c r="E619" t="s">
        <v>150</v>
      </c>
      <c r="F619" t="s">
        <v>260</v>
      </c>
      <c r="G619" t="s">
        <v>312</v>
      </c>
      <c r="H619" t="s">
        <v>32</v>
      </c>
      <c r="I619" t="s">
        <v>20</v>
      </c>
      <c r="J619" s="7">
        <v>43792</v>
      </c>
      <c r="K619" s="7">
        <v>44309</v>
      </c>
      <c r="L619" s="5">
        <v>200</v>
      </c>
      <c r="M619" t="s">
        <v>28</v>
      </c>
      <c r="N619" t="s">
        <v>501</v>
      </c>
      <c r="O619">
        <v>200</v>
      </c>
      <c r="P619" t="s">
        <v>206</v>
      </c>
      <c r="Q619" t="s">
        <v>26</v>
      </c>
      <c r="R619">
        <v>88</v>
      </c>
      <c r="S619">
        <v>1</v>
      </c>
      <c r="T619" t="s">
        <v>80</v>
      </c>
      <c r="U619" t="s">
        <v>61</v>
      </c>
      <c r="V619">
        <v>2.31</v>
      </c>
      <c r="W619">
        <v>2.82</v>
      </c>
      <c r="X619">
        <v>7.9</v>
      </c>
      <c r="Y619">
        <v>8.3</v>
      </c>
      <c r="Z619">
        <v>6.3</v>
      </c>
    </row>
    <row r="620" spans="1:26">
      <c r="A620" t="s">
        <v>1091</v>
      </c>
      <c r="B620">
        <v>18</v>
      </c>
      <c r="C620" t="s">
        <v>70</v>
      </c>
      <c r="D620" t="s">
        <v>42</v>
      </c>
      <c r="E620" t="s">
        <v>255</v>
      </c>
      <c r="F620" t="s">
        <v>150</v>
      </c>
      <c r="G620" t="s">
        <v>349</v>
      </c>
      <c r="H620" t="s">
        <v>30</v>
      </c>
      <c r="I620" t="s">
        <v>20</v>
      </c>
      <c r="J620" s="7">
        <v>43908</v>
      </c>
      <c r="K620" s="7">
        <v>44092</v>
      </c>
      <c r="L620" s="5">
        <v>150</v>
      </c>
      <c r="M620" t="s">
        <v>25</v>
      </c>
      <c r="N620" t="s">
        <v>785</v>
      </c>
      <c r="O620">
        <v>150</v>
      </c>
      <c r="P620" t="s">
        <v>211</v>
      </c>
      <c r="Q620" t="s">
        <v>26</v>
      </c>
      <c r="R620">
        <v>81</v>
      </c>
      <c r="S620">
        <v>0</v>
      </c>
      <c r="T620" t="s">
        <v>80</v>
      </c>
      <c r="U620" t="s">
        <v>61</v>
      </c>
      <c r="V620">
        <v>4.81</v>
      </c>
      <c r="W620">
        <v>1.7</v>
      </c>
      <c r="X620">
        <v>6.1</v>
      </c>
      <c r="Y620">
        <v>16.4</v>
      </c>
      <c r="Z620">
        <v>11.3</v>
      </c>
    </row>
    <row r="621" spans="1:26">
      <c r="A621" t="s">
        <v>1092</v>
      </c>
      <c r="B621">
        <v>60</v>
      </c>
      <c r="C621" t="s">
        <v>71</v>
      </c>
      <c r="D621" t="s">
        <v>39</v>
      </c>
      <c r="E621" t="s">
        <v>150</v>
      </c>
      <c r="F621" t="s">
        <v>264</v>
      </c>
      <c r="G621" t="s">
        <v>431</v>
      </c>
      <c r="H621" t="s">
        <v>29</v>
      </c>
      <c r="I621" t="s">
        <v>20</v>
      </c>
      <c r="J621" s="7">
        <v>45252</v>
      </c>
      <c r="K621" s="7">
        <v>45679</v>
      </c>
      <c r="L621" s="5">
        <v>200</v>
      </c>
      <c r="M621" t="s">
        <v>26</v>
      </c>
      <c r="N621" t="s">
        <v>270</v>
      </c>
      <c r="O621">
        <v>200</v>
      </c>
      <c r="P621" t="s">
        <v>206</v>
      </c>
      <c r="Q621" t="s">
        <v>27</v>
      </c>
      <c r="R621">
        <v>57</v>
      </c>
      <c r="S621">
        <v>1</v>
      </c>
      <c r="T621" t="s">
        <v>78</v>
      </c>
      <c r="U621" t="s">
        <v>63</v>
      </c>
      <c r="V621">
        <v>3.58</v>
      </c>
      <c r="W621">
        <v>1.92</v>
      </c>
      <c r="X621">
        <v>6</v>
      </c>
      <c r="Y621">
        <v>12.7</v>
      </c>
      <c r="Z621">
        <v>14.2</v>
      </c>
    </row>
    <row r="622" spans="1:26">
      <c r="A622" t="s">
        <v>1093</v>
      </c>
      <c r="B622">
        <v>56</v>
      </c>
      <c r="C622" t="s">
        <v>44</v>
      </c>
      <c r="D622" t="s">
        <v>41</v>
      </c>
      <c r="E622" t="s">
        <v>255</v>
      </c>
      <c r="F622" t="s">
        <v>150</v>
      </c>
      <c r="G622" t="s">
        <v>327</v>
      </c>
      <c r="H622" t="s">
        <v>34</v>
      </c>
      <c r="I622" t="s">
        <v>16</v>
      </c>
      <c r="J622" s="7">
        <v>44131</v>
      </c>
      <c r="K622" s="7">
        <v>44435</v>
      </c>
      <c r="L622" s="5">
        <v>100</v>
      </c>
      <c r="M622" t="s">
        <v>28</v>
      </c>
      <c r="N622" t="s">
        <v>345</v>
      </c>
      <c r="O622">
        <v>100</v>
      </c>
      <c r="P622" t="s">
        <v>206</v>
      </c>
      <c r="Q622" t="s">
        <v>150</v>
      </c>
      <c r="R622">
        <v>82</v>
      </c>
      <c r="S622">
        <v>1</v>
      </c>
      <c r="T622" t="s">
        <v>82</v>
      </c>
      <c r="U622" t="s">
        <v>61</v>
      </c>
      <c r="V622">
        <v>1.56</v>
      </c>
      <c r="W622">
        <v>3.28</v>
      </c>
      <c r="X622">
        <v>2.7</v>
      </c>
      <c r="Y622">
        <v>11</v>
      </c>
      <c r="Z622">
        <v>6.7</v>
      </c>
    </row>
    <row r="623" spans="1:26">
      <c r="A623" t="s">
        <v>1094</v>
      </c>
      <c r="B623">
        <v>59</v>
      </c>
      <c r="C623" t="s">
        <v>70</v>
      </c>
      <c r="D623" t="s">
        <v>43</v>
      </c>
      <c r="E623" t="s">
        <v>255</v>
      </c>
      <c r="F623" t="s">
        <v>150</v>
      </c>
      <c r="G623" t="s">
        <v>269</v>
      </c>
      <c r="H623" t="s">
        <v>34</v>
      </c>
      <c r="I623" t="s">
        <v>19</v>
      </c>
      <c r="J623" s="7">
        <v>43881</v>
      </c>
      <c r="K623" s="7">
        <v>44094</v>
      </c>
      <c r="L623" s="5">
        <v>50</v>
      </c>
      <c r="M623" t="s">
        <v>25</v>
      </c>
      <c r="N623" t="s">
        <v>1095</v>
      </c>
      <c r="O623">
        <v>50</v>
      </c>
      <c r="P623" t="s">
        <v>206</v>
      </c>
      <c r="Q623" t="s">
        <v>150</v>
      </c>
      <c r="R623">
        <v>30</v>
      </c>
      <c r="S623">
        <v>1</v>
      </c>
      <c r="T623" t="s">
        <v>81</v>
      </c>
      <c r="U623" t="s">
        <v>61</v>
      </c>
      <c r="V623">
        <v>1.73</v>
      </c>
      <c r="W623">
        <v>4.3</v>
      </c>
      <c r="X623">
        <v>3.6</v>
      </c>
      <c r="Y623">
        <v>22.7</v>
      </c>
      <c r="Z623">
        <v>19.5</v>
      </c>
    </row>
    <row r="624" spans="1:26">
      <c r="A624" t="s">
        <v>1096</v>
      </c>
      <c r="B624">
        <v>66</v>
      </c>
      <c r="C624" t="s">
        <v>44</v>
      </c>
      <c r="D624" t="s">
        <v>44</v>
      </c>
      <c r="E624" t="s">
        <v>259</v>
      </c>
      <c r="F624" t="s">
        <v>264</v>
      </c>
      <c r="G624" t="s">
        <v>278</v>
      </c>
      <c r="H624" t="s">
        <v>30</v>
      </c>
      <c r="I624" t="s">
        <v>20</v>
      </c>
      <c r="J624" s="7">
        <v>44236</v>
      </c>
      <c r="K624" s="7">
        <v>44601</v>
      </c>
      <c r="L624" s="5">
        <v>50</v>
      </c>
      <c r="M624" t="s">
        <v>28</v>
      </c>
      <c r="N624" t="s">
        <v>702</v>
      </c>
      <c r="O624">
        <v>50</v>
      </c>
      <c r="P624" t="s">
        <v>206</v>
      </c>
      <c r="Q624" t="s">
        <v>150</v>
      </c>
      <c r="R624">
        <v>146</v>
      </c>
      <c r="S624">
        <v>1</v>
      </c>
      <c r="T624" t="s">
        <v>78</v>
      </c>
      <c r="U624" t="s">
        <v>63</v>
      </c>
      <c r="V624">
        <v>3.29</v>
      </c>
      <c r="W624">
        <v>1.57</v>
      </c>
      <c r="X624">
        <v>4.4</v>
      </c>
      <c r="Y624">
        <v>20.4</v>
      </c>
      <c r="Z624">
        <v>9.2</v>
      </c>
    </row>
    <row r="625" spans="1:26">
      <c r="A625" t="s">
        <v>1097</v>
      </c>
      <c r="B625">
        <v>21</v>
      </c>
      <c r="C625" t="s">
        <v>70</v>
      </c>
      <c r="D625" t="s">
        <v>41</v>
      </c>
      <c r="E625" t="s">
        <v>311</v>
      </c>
      <c r="F625" t="s">
        <v>273</v>
      </c>
      <c r="G625" t="s">
        <v>431</v>
      </c>
      <c r="H625" t="s">
        <v>32</v>
      </c>
      <c r="I625" t="s">
        <v>19</v>
      </c>
      <c r="J625" s="7">
        <v>43818</v>
      </c>
      <c r="K625" s="7">
        <v>44215</v>
      </c>
      <c r="L625" s="5">
        <v>50</v>
      </c>
      <c r="M625" t="s">
        <v>26</v>
      </c>
      <c r="N625" t="s">
        <v>469</v>
      </c>
      <c r="O625">
        <v>50</v>
      </c>
      <c r="P625" t="s">
        <v>205</v>
      </c>
      <c r="Q625" t="s">
        <v>27</v>
      </c>
      <c r="R625">
        <v>37</v>
      </c>
      <c r="S625">
        <v>0</v>
      </c>
      <c r="T625" t="s">
        <v>83</v>
      </c>
      <c r="U625" t="s">
        <v>61</v>
      </c>
      <c r="V625">
        <v>1.35</v>
      </c>
      <c r="W625">
        <v>3.23</v>
      </c>
      <c r="X625">
        <v>8.6</v>
      </c>
      <c r="Y625">
        <v>20.3</v>
      </c>
      <c r="Z625">
        <v>6</v>
      </c>
    </row>
    <row r="626" spans="1:26">
      <c r="A626" t="s">
        <v>1098</v>
      </c>
      <c r="B626">
        <v>73</v>
      </c>
      <c r="C626" t="s">
        <v>70</v>
      </c>
      <c r="D626" t="s">
        <v>43</v>
      </c>
      <c r="E626" t="s">
        <v>259</v>
      </c>
      <c r="F626" t="s">
        <v>150</v>
      </c>
      <c r="G626" t="s">
        <v>274</v>
      </c>
      <c r="H626" t="s">
        <v>29</v>
      </c>
      <c r="I626" t="s">
        <v>16</v>
      </c>
      <c r="J626" s="7">
        <v>44540</v>
      </c>
      <c r="K626" s="7">
        <v>45056</v>
      </c>
      <c r="L626" s="5">
        <v>200</v>
      </c>
      <c r="M626" t="s">
        <v>150</v>
      </c>
      <c r="N626" t="s">
        <v>464</v>
      </c>
      <c r="O626">
        <v>200</v>
      </c>
      <c r="P626" t="s">
        <v>205</v>
      </c>
      <c r="Q626" t="s">
        <v>150</v>
      </c>
      <c r="R626">
        <v>78</v>
      </c>
      <c r="S626">
        <v>0</v>
      </c>
      <c r="T626" t="s">
        <v>78</v>
      </c>
      <c r="U626" t="s">
        <v>61</v>
      </c>
      <c r="V626">
        <v>3.69</v>
      </c>
      <c r="W626">
        <v>1.88</v>
      </c>
      <c r="X626">
        <v>3</v>
      </c>
      <c r="Y626">
        <v>21.7</v>
      </c>
      <c r="Z626">
        <v>7.2</v>
      </c>
    </row>
    <row r="627" spans="1:26">
      <c r="A627" t="s">
        <v>1099</v>
      </c>
      <c r="B627">
        <v>18</v>
      </c>
      <c r="C627" t="s">
        <v>44</v>
      </c>
      <c r="D627" t="s">
        <v>42</v>
      </c>
      <c r="E627" t="s">
        <v>255</v>
      </c>
      <c r="F627" t="s">
        <v>150</v>
      </c>
      <c r="G627" t="s">
        <v>261</v>
      </c>
      <c r="H627" t="s">
        <v>34</v>
      </c>
      <c r="I627" t="s">
        <v>18</v>
      </c>
      <c r="J627" s="7">
        <v>43597</v>
      </c>
      <c r="K627" s="7">
        <v>43811</v>
      </c>
      <c r="L627" s="5">
        <v>150</v>
      </c>
      <c r="M627" t="s">
        <v>27</v>
      </c>
      <c r="N627" t="s">
        <v>332</v>
      </c>
      <c r="O627">
        <v>150</v>
      </c>
      <c r="P627" t="s">
        <v>205</v>
      </c>
      <c r="Q627" t="s">
        <v>150</v>
      </c>
      <c r="R627">
        <v>171</v>
      </c>
      <c r="S627">
        <v>0</v>
      </c>
      <c r="T627" t="s">
        <v>80</v>
      </c>
      <c r="U627" t="s">
        <v>63</v>
      </c>
      <c r="V627">
        <v>2.05</v>
      </c>
      <c r="W627">
        <v>1</v>
      </c>
      <c r="X627">
        <v>8.8</v>
      </c>
      <c r="Y627">
        <v>20.3</v>
      </c>
      <c r="Z627">
        <v>13.7</v>
      </c>
    </row>
    <row r="628" spans="1:26">
      <c r="A628" t="s">
        <v>1100</v>
      </c>
      <c r="B628">
        <v>59</v>
      </c>
      <c r="C628" t="s">
        <v>44</v>
      </c>
      <c r="D628" t="s">
        <v>39</v>
      </c>
      <c r="E628" t="s">
        <v>272</v>
      </c>
      <c r="F628" t="s">
        <v>260</v>
      </c>
      <c r="G628" t="s">
        <v>327</v>
      </c>
      <c r="H628" t="s">
        <v>34</v>
      </c>
      <c r="I628" t="s">
        <v>19</v>
      </c>
      <c r="J628" s="7">
        <v>44282</v>
      </c>
      <c r="K628" s="7">
        <v>44769</v>
      </c>
      <c r="L628" s="5">
        <v>200</v>
      </c>
      <c r="M628" t="s">
        <v>25</v>
      </c>
      <c r="N628" t="s">
        <v>658</v>
      </c>
      <c r="O628">
        <v>200</v>
      </c>
      <c r="P628" t="s">
        <v>206</v>
      </c>
      <c r="Q628" t="s">
        <v>25</v>
      </c>
      <c r="R628">
        <v>94</v>
      </c>
      <c r="S628">
        <v>1</v>
      </c>
      <c r="T628" t="s">
        <v>78</v>
      </c>
      <c r="U628" t="s">
        <v>61</v>
      </c>
      <c r="V628">
        <v>4</v>
      </c>
      <c r="W628">
        <v>1.61</v>
      </c>
      <c r="X628">
        <v>5.1</v>
      </c>
      <c r="Y628">
        <v>12.3</v>
      </c>
      <c r="Z628">
        <v>4.6</v>
      </c>
    </row>
    <row r="629" spans="1:26">
      <c r="A629" t="s">
        <v>1101</v>
      </c>
      <c r="B629">
        <v>63</v>
      </c>
      <c r="C629" t="s">
        <v>44</v>
      </c>
      <c r="D629" t="s">
        <v>43</v>
      </c>
      <c r="E629" t="s">
        <v>272</v>
      </c>
      <c r="F629" t="s">
        <v>150</v>
      </c>
      <c r="G629" t="s">
        <v>288</v>
      </c>
      <c r="H629" t="s">
        <v>29</v>
      </c>
      <c r="I629" t="s">
        <v>19</v>
      </c>
      <c r="J629" s="7">
        <v>45235</v>
      </c>
      <c r="K629" s="7">
        <v>45693</v>
      </c>
      <c r="L629" s="5">
        <v>150</v>
      </c>
      <c r="M629" t="s">
        <v>26</v>
      </c>
      <c r="N629" t="s">
        <v>309</v>
      </c>
      <c r="O629">
        <v>150</v>
      </c>
      <c r="P629" t="s">
        <v>211</v>
      </c>
      <c r="Q629" t="s">
        <v>28</v>
      </c>
      <c r="R629">
        <v>137</v>
      </c>
      <c r="S629">
        <v>0</v>
      </c>
      <c r="T629" t="s">
        <v>83</v>
      </c>
      <c r="U629" t="s">
        <v>63</v>
      </c>
      <c r="V629">
        <v>2.94</v>
      </c>
      <c r="W629">
        <v>4.68</v>
      </c>
      <c r="X629">
        <v>1.4</v>
      </c>
      <c r="Y629">
        <v>11.2</v>
      </c>
      <c r="Z629">
        <v>6.5</v>
      </c>
    </row>
    <row r="630" spans="1:26">
      <c r="A630" t="s">
        <v>1102</v>
      </c>
      <c r="B630">
        <v>84</v>
      </c>
      <c r="C630" t="s">
        <v>71</v>
      </c>
      <c r="D630" t="s">
        <v>44</v>
      </c>
      <c r="E630" t="s">
        <v>311</v>
      </c>
      <c r="F630" t="s">
        <v>268</v>
      </c>
      <c r="G630" t="s">
        <v>288</v>
      </c>
      <c r="H630" t="s">
        <v>30</v>
      </c>
      <c r="I630" t="s">
        <v>19</v>
      </c>
      <c r="J630" s="7">
        <v>44603</v>
      </c>
      <c r="K630" s="7">
        <v>45118</v>
      </c>
      <c r="L630" s="5">
        <v>150</v>
      </c>
      <c r="M630" t="s">
        <v>27</v>
      </c>
      <c r="N630" t="s">
        <v>509</v>
      </c>
      <c r="O630">
        <v>150</v>
      </c>
      <c r="P630" t="s">
        <v>211</v>
      </c>
      <c r="Q630" t="s">
        <v>27</v>
      </c>
      <c r="R630">
        <v>57</v>
      </c>
      <c r="S630">
        <v>0</v>
      </c>
      <c r="T630" t="s">
        <v>78</v>
      </c>
      <c r="U630" t="s">
        <v>61</v>
      </c>
      <c r="V630">
        <v>1.95</v>
      </c>
      <c r="W630">
        <v>4.63</v>
      </c>
      <c r="X630">
        <v>5.2</v>
      </c>
      <c r="Y630">
        <v>14.4</v>
      </c>
      <c r="Z630">
        <v>15.9</v>
      </c>
    </row>
    <row r="631" spans="1:26">
      <c r="A631" t="s">
        <v>1103</v>
      </c>
      <c r="B631">
        <v>37</v>
      </c>
      <c r="C631" t="s">
        <v>44</v>
      </c>
      <c r="D631" t="s">
        <v>41</v>
      </c>
      <c r="E631" t="s">
        <v>311</v>
      </c>
      <c r="F631" t="s">
        <v>150</v>
      </c>
      <c r="G631" t="s">
        <v>349</v>
      </c>
      <c r="H631" t="s">
        <v>29</v>
      </c>
      <c r="I631" t="s">
        <v>20</v>
      </c>
      <c r="J631" s="7">
        <v>43884</v>
      </c>
      <c r="K631" s="7">
        <v>44188</v>
      </c>
      <c r="L631" s="5">
        <v>100</v>
      </c>
      <c r="M631" t="s">
        <v>150</v>
      </c>
      <c r="N631" t="s">
        <v>718</v>
      </c>
      <c r="O631">
        <v>100</v>
      </c>
      <c r="P631" t="s">
        <v>205</v>
      </c>
      <c r="Q631" t="s">
        <v>28</v>
      </c>
      <c r="R631">
        <v>78</v>
      </c>
      <c r="S631">
        <v>0</v>
      </c>
      <c r="T631" t="s">
        <v>83</v>
      </c>
      <c r="U631" t="s">
        <v>63</v>
      </c>
      <c r="V631">
        <v>1.62</v>
      </c>
      <c r="W631">
        <v>2.95</v>
      </c>
      <c r="X631">
        <v>4.9</v>
      </c>
      <c r="Y631">
        <v>16.7</v>
      </c>
      <c r="Z631">
        <v>20</v>
      </c>
    </row>
    <row r="632" spans="1:26">
      <c r="A632" t="s">
        <v>1104</v>
      </c>
      <c r="B632">
        <v>21</v>
      </c>
      <c r="C632" t="s">
        <v>70</v>
      </c>
      <c r="D632" t="s">
        <v>42</v>
      </c>
      <c r="E632" t="s">
        <v>259</v>
      </c>
      <c r="F632" t="s">
        <v>277</v>
      </c>
      <c r="G632" t="s">
        <v>294</v>
      </c>
      <c r="H632" t="s">
        <v>32</v>
      </c>
      <c r="I632" t="s">
        <v>20</v>
      </c>
      <c r="J632" s="7">
        <v>43658</v>
      </c>
      <c r="K632" s="7">
        <v>44147</v>
      </c>
      <c r="L632" s="5">
        <v>200</v>
      </c>
      <c r="M632" t="s">
        <v>25</v>
      </c>
      <c r="N632" t="s">
        <v>282</v>
      </c>
      <c r="O632">
        <v>200</v>
      </c>
      <c r="P632" t="s">
        <v>211</v>
      </c>
      <c r="Q632" t="s">
        <v>27</v>
      </c>
      <c r="R632">
        <v>125</v>
      </c>
      <c r="S632">
        <v>0</v>
      </c>
      <c r="T632" t="s">
        <v>78</v>
      </c>
      <c r="U632" t="s">
        <v>61</v>
      </c>
      <c r="V632">
        <v>4.08</v>
      </c>
      <c r="W632">
        <v>2.59</v>
      </c>
      <c r="X632">
        <v>8.4</v>
      </c>
      <c r="Y632">
        <v>9.1</v>
      </c>
      <c r="Z632">
        <v>3.5</v>
      </c>
    </row>
    <row r="633" spans="1:26">
      <c r="A633" t="s">
        <v>1105</v>
      </c>
      <c r="B633">
        <v>72</v>
      </c>
      <c r="C633" t="s">
        <v>44</v>
      </c>
      <c r="D633" t="s">
        <v>44</v>
      </c>
      <c r="E633" t="s">
        <v>272</v>
      </c>
      <c r="F633" t="s">
        <v>150</v>
      </c>
      <c r="G633" t="s">
        <v>274</v>
      </c>
      <c r="H633" t="s">
        <v>29</v>
      </c>
      <c r="I633" t="s">
        <v>20</v>
      </c>
      <c r="J633" s="7">
        <v>43688</v>
      </c>
      <c r="K633" s="7">
        <v>44023</v>
      </c>
      <c r="L633" s="5">
        <v>50</v>
      </c>
      <c r="M633" t="s">
        <v>27</v>
      </c>
      <c r="N633" t="s">
        <v>791</v>
      </c>
      <c r="O633">
        <v>50</v>
      </c>
      <c r="P633" t="s">
        <v>205</v>
      </c>
      <c r="Q633" t="s">
        <v>28</v>
      </c>
      <c r="R633">
        <v>138</v>
      </c>
      <c r="S633">
        <v>0</v>
      </c>
      <c r="T633" t="s">
        <v>80</v>
      </c>
      <c r="U633" t="s">
        <v>61</v>
      </c>
      <c r="V633">
        <v>1.82</v>
      </c>
      <c r="W633">
        <v>2.36</v>
      </c>
      <c r="X633">
        <v>5.6</v>
      </c>
      <c r="Y633">
        <v>17.1</v>
      </c>
      <c r="Z633">
        <v>18.5</v>
      </c>
    </row>
    <row r="634" spans="1:26">
      <c r="A634" t="s">
        <v>1106</v>
      </c>
      <c r="B634">
        <v>80</v>
      </c>
      <c r="C634" t="s">
        <v>71</v>
      </c>
      <c r="D634" t="s">
        <v>43</v>
      </c>
      <c r="E634" t="s">
        <v>311</v>
      </c>
      <c r="F634" t="s">
        <v>150</v>
      </c>
      <c r="G634" t="s">
        <v>294</v>
      </c>
      <c r="H634" t="s">
        <v>34</v>
      </c>
      <c r="I634" t="s">
        <v>19</v>
      </c>
      <c r="J634" s="7">
        <v>44960</v>
      </c>
      <c r="K634" s="7">
        <v>45233</v>
      </c>
      <c r="L634" s="5">
        <v>50</v>
      </c>
      <c r="M634" t="s">
        <v>27</v>
      </c>
      <c r="N634" t="s">
        <v>620</v>
      </c>
      <c r="O634">
        <v>50</v>
      </c>
      <c r="P634" t="s">
        <v>205</v>
      </c>
      <c r="Q634" t="s">
        <v>27</v>
      </c>
      <c r="R634">
        <v>38</v>
      </c>
      <c r="S634">
        <v>0</v>
      </c>
      <c r="T634" t="s">
        <v>81</v>
      </c>
      <c r="U634" t="s">
        <v>61</v>
      </c>
      <c r="V634">
        <v>3.04</v>
      </c>
      <c r="W634">
        <v>3.01</v>
      </c>
      <c r="X634">
        <v>1.5</v>
      </c>
      <c r="Y634">
        <v>6.6</v>
      </c>
      <c r="Z634">
        <v>12.4</v>
      </c>
    </row>
    <row r="635" spans="1:26">
      <c r="A635" t="s">
        <v>1107</v>
      </c>
      <c r="B635">
        <v>75</v>
      </c>
      <c r="C635" t="s">
        <v>71</v>
      </c>
      <c r="D635" t="s">
        <v>44</v>
      </c>
      <c r="E635" t="s">
        <v>272</v>
      </c>
      <c r="F635" t="s">
        <v>273</v>
      </c>
      <c r="G635" t="s">
        <v>274</v>
      </c>
      <c r="H635" t="s">
        <v>29</v>
      </c>
      <c r="I635" t="s">
        <v>20</v>
      </c>
      <c r="J635" s="7">
        <v>43714</v>
      </c>
      <c r="K635" s="7">
        <v>44110</v>
      </c>
      <c r="L635" s="5">
        <v>150</v>
      </c>
      <c r="M635" t="s">
        <v>25</v>
      </c>
      <c r="N635" t="s">
        <v>300</v>
      </c>
      <c r="O635">
        <v>150</v>
      </c>
      <c r="P635" t="s">
        <v>205</v>
      </c>
      <c r="Q635" t="s">
        <v>28</v>
      </c>
      <c r="R635">
        <v>94</v>
      </c>
      <c r="S635">
        <v>0</v>
      </c>
      <c r="T635" t="s">
        <v>80</v>
      </c>
      <c r="U635" t="s">
        <v>63</v>
      </c>
      <c r="V635">
        <v>2.75</v>
      </c>
      <c r="W635">
        <v>4.36</v>
      </c>
      <c r="X635">
        <v>2.4</v>
      </c>
      <c r="Y635">
        <v>6.4</v>
      </c>
      <c r="Z635">
        <v>10.6</v>
      </c>
    </row>
    <row r="636" spans="1:26">
      <c r="A636" t="s">
        <v>1108</v>
      </c>
      <c r="B636">
        <v>84</v>
      </c>
      <c r="C636" t="s">
        <v>70</v>
      </c>
      <c r="D636" t="s">
        <v>41</v>
      </c>
      <c r="E636" t="s">
        <v>272</v>
      </c>
      <c r="F636" t="s">
        <v>273</v>
      </c>
      <c r="G636" t="s">
        <v>291</v>
      </c>
      <c r="H636" t="s">
        <v>32</v>
      </c>
      <c r="I636" t="s">
        <v>19</v>
      </c>
      <c r="J636" s="7">
        <v>44614</v>
      </c>
      <c r="K636" s="7">
        <v>44856</v>
      </c>
      <c r="L636" s="5">
        <v>50</v>
      </c>
      <c r="M636" t="s">
        <v>27</v>
      </c>
      <c r="N636" t="s">
        <v>938</v>
      </c>
      <c r="O636">
        <v>50</v>
      </c>
      <c r="P636" t="s">
        <v>206</v>
      </c>
      <c r="Q636" t="s">
        <v>28</v>
      </c>
      <c r="R636">
        <v>129</v>
      </c>
      <c r="S636">
        <v>1</v>
      </c>
      <c r="T636" t="s">
        <v>78</v>
      </c>
      <c r="U636" t="s">
        <v>61</v>
      </c>
      <c r="V636">
        <v>1.95</v>
      </c>
      <c r="W636">
        <v>1.2</v>
      </c>
      <c r="X636">
        <v>7.5</v>
      </c>
      <c r="Y636">
        <v>8</v>
      </c>
      <c r="Z636">
        <v>13.3</v>
      </c>
    </row>
    <row r="637" spans="1:26">
      <c r="A637" t="s">
        <v>1109</v>
      </c>
      <c r="B637">
        <v>23</v>
      </c>
      <c r="C637" t="s">
        <v>70</v>
      </c>
      <c r="D637" t="s">
        <v>41</v>
      </c>
      <c r="E637" t="s">
        <v>259</v>
      </c>
      <c r="F637" t="s">
        <v>268</v>
      </c>
      <c r="G637" t="s">
        <v>269</v>
      </c>
      <c r="H637" t="s">
        <v>30</v>
      </c>
      <c r="I637" t="s">
        <v>20</v>
      </c>
      <c r="J637" s="7">
        <v>43502</v>
      </c>
      <c r="K637" s="7">
        <v>43744</v>
      </c>
      <c r="L637" s="5">
        <v>100</v>
      </c>
      <c r="M637" t="s">
        <v>25</v>
      </c>
      <c r="N637" t="s">
        <v>997</v>
      </c>
      <c r="O637">
        <v>100</v>
      </c>
      <c r="P637" t="s">
        <v>211</v>
      </c>
      <c r="Q637" t="s">
        <v>27</v>
      </c>
      <c r="R637">
        <v>35</v>
      </c>
      <c r="S637">
        <v>0</v>
      </c>
      <c r="T637" t="s">
        <v>80</v>
      </c>
      <c r="U637" t="s">
        <v>61</v>
      </c>
      <c r="V637">
        <v>2.12</v>
      </c>
      <c r="W637">
        <v>1.69</v>
      </c>
      <c r="X637">
        <v>4.4</v>
      </c>
      <c r="Y637">
        <v>20.4</v>
      </c>
      <c r="Z637">
        <v>9.7</v>
      </c>
    </row>
    <row r="638" spans="1:26">
      <c r="A638" t="s">
        <v>1110</v>
      </c>
      <c r="B638">
        <v>31</v>
      </c>
      <c r="C638" t="s">
        <v>70</v>
      </c>
      <c r="D638" t="s">
        <v>43</v>
      </c>
      <c r="E638" t="s">
        <v>311</v>
      </c>
      <c r="F638" t="s">
        <v>268</v>
      </c>
      <c r="G638" t="s">
        <v>261</v>
      </c>
      <c r="H638" t="s">
        <v>29</v>
      </c>
      <c r="I638" t="s">
        <v>16</v>
      </c>
      <c r="J638" s="7">
        <v>43607</v>
      </c>
      <c r="K638" s="7">
        <v>43943</v>
      </c>
      <c r="L638" s="5">
        <v>200</v>
      </c>
      <c r="M638" t="s">
        <v>25</v>
      </c>
      <c r="N638" t="s">
        <v>302</v>
      </c>
      <c r="O638">
        <v>200</v>
      </c>
      <c r="P638" t="s">
        <v>206</v>
      </c>
      <c r="Q638" t="s">
        <v>28</v>
      </c>
      <c r="R638">
        <v>71</v>
      </c>
      <c r="S638">
        <v>1</v>
      </c>
      <c r="T638" t="s">
        <v>83</v>
      </c>
      <c r="U638" t="s">
        <v>63</v>
      </c>
      <c r="V638">
        <v>4</v>
      </c>
      <c r="W638">
        <v>1.5</v>
      </c>
      <c r="X638">
        <v>8</v>
      </c>
      <c r="Y638">
        <v>10.3</v>
      </c>
      <c r="Z638">
        <v>14.5</v>
      </c>
    </row>
    <row r="639" spans="1:26">
      <c r="A639" t="s">
        <v>1111</v>
      </c>
      <c r="B639">
        <v>43</v>
      </c>
      <c r="C639" t="s">
        <v>70</v>
      </c>
      <c r="D639" t="s">
        <v>44</v>
      </c>
      <c r="E639" t="s">
        <v>150</v>
      </c>
      <c r="F639" t="s">
        <v>150</v>
      </c>
      <c r="G639" t="s">
        <v>269</v>
      </c>
      <c r="H639" t="s">
        <v>29</v>
      </c>
      <c r="I639" t="s">
        <v>18</v>
      </c>
      <c r="J639" s="7">
        <v>45111</v>
      </c>
      <c r="K639" s="7">
        <v>45539</v>
      </c>
      <c r="L639" s="5">
        <v>50</v>
      </c>
      <c r="M639" t="s">
        <v>26</v>
      </c>
      <c r="N639" t="s">
        <v>556</v>
      </c>
      <c r="O639">
        <v>50</v>
      </c>
      <c r="P639" t="s">
        <v>211</v>
      </c>
      <c r="Q639" t="s">
        <v>26</v>
      </c>
      <c r="R639">
        <v>130</v>
      </c>
      <c r="S639">
        <v>0</v>
      </c>
      <c r="T639" t="s">
        <v>83</v>
      </c>
      <c r="U639" t="s">
        <v>61</v>
      </c>
      <c r="V639">
        <v>3.26</v>
      </c>
      <c r="W639">
        <v>4.72</v>
      </c>
      <c r="X639">
        <v>4.5</v>
      </c>
      <c r="Y639">
        <v>7.2</v>
      </c>
      <c r="Z639">
        <v>3.3</v>
      </c>
    </row>
    <row r="640" spans="1:26">
      <c r="A640" t="s">
        <v>1112</v>
      </c>
      <c r="B640">
        <v>25</v>
      </c>
      <c r="C640" t="s">
        <v>44</v>
      </c>
      <c r="D640" t="s">
        <v>42</v>
      </c>
      <c r="E640" t="s">
        <v>311</v>
      </c>
      <c r="F640" t="s">
        <v>150</v>
      </c>
      <c r="G640" t="s">
        <v>322</v>
      </c>
      <c r="H640" t="s">
        <v>29</v>
      </c>
      <c r="I640" t="s">
        <v>19</v>
      </c>
      <c r="J640" s="7">
        <v>43990</v>
      </c>
      <c r="K640" s="7">
        <v>44385</v>
      </c>
      <c r="L640" s="5">
        <v>100</v>
      </c>
      <c r="M640" t="s">
        <v>27</v>
      </c>
      <c r="N640" t="s">
        <v>325</v>
      </c>
      <c r="O640">
        <v>100</v>
      </c>
      <c r="P640" t="s">
        <v>211</v>
      </c>
      <c r="Q640" t="s">
        <v>26</v>
      </c>
      <c r="R640">
        <v>55</v>
      </c>
      <c r="S640">
        <v>0</v>
      </c>
      <c r="T640" t="s">
        <v>78</v>
      </c>
      <c r="U640" t="s">
        <v>61</v>
      </c>
      <c r="V640">
        <v>4.31</v>
      </c>
      <c r="W640">
        <v>3.1</v>
      </c>
      <c r="X640">
        <v>8</v>
      </c>
      <c r="Y640">
        <v>10.2</v>
      </c>
      <c r="Z640">
        <v>8.9</v>
      </c>
    </row>
    <row r="641" spans="1:26">
      <c r="A641" t="s">
        <v>1113</v>
      </c>
      <c r="B641">
        <v>27</v>
      </c>
      <c r="C641" t="s">
        <v>71</v>
      </c>
      <c r="D641" t="s">
        <v>41</v>
      </c>
      <c r="E641" t="s">
        <v>255</v>
      </c>
      <c r="F641" t="s">
        <v>277</v>
      </c>
      <c r="G641" t="s">
        <v>269</v>
      </c>
      <c r="H641" t="s">
        <v>29</v>
      </c>
      <c r="I641" t="s">
        <v>18</v>
      </c>
      <c r="J641" s="7">
        <v>44160</v>
      </c>
      <c r="K641" s="7">
        <v>44525</v>
      </c>
      <c r="L641" s="5">
        <v>150</v>
      </c>
      <c r="M641" t="s">
        <v>150</v>
      </c>
      <c r="N641" t="s">
        <v>927</v>
      </c>
      <c r="O641">
        <v>150</v>
      </c>
      <c r="P641" t="s">
        <v>206</v>
      </c>
      <c r="Q641" t="s">
        <v>27</v>
      </c>
      <c r="R641">
        <v>40</v>
      </c>
      <c r="S641">
        <v>1</v>
      </c>
      <c r="T641" t="s">
        <v>81</v>
      </c>
      <c r="U641" t="s">
        <v>61</v>
      </c>
      <c r="V641">
        <v>1.12</v>
      </c>
      <c r="W641">
        <v>4.85</v>
      </c>
      <c r="X641">
        <v>7</v>
      </c>
      <c r="Y641">
        <v>22.8</v>
      </c>
      <c r="Z641">
        <v>7.5</v>
      </c>
    </row>
    <row r="642" spans="1:26">
      <c r="A642" t="s">
        <v>1114</v>
      </c>
      <c r="B642">
        <v>21</v>
      </c>
      <c r="C642" t="s">
        <v>71</v>
      </c>
      <c r="D642" t="s">
        <v>39</v>
      </c>
      <c r="E642" t="s">
        <v>272</v>
      </c>
      <c r="F642" t="s">
        <v>273</v>
      </c>
      <c r="G642" t="s">
        <v>281</v>
      </c>
      <c r="H642" t="s">
        <v>34</v>
      </c>
      <c r="I642" t="s">
        <v>20</v>
      </c>
      <c r="J642" s="7">
        <v>43941</v>
      </c>
      <c r="K642" s="7">
        <v>44367</v>
      </c>
      <c r="L642" s="5">
        <v>150</v>
      </c>
      <c r="M642" t="s">
        <v>28</v>
      </c>
      <c r="N642" t="s">
        <v>735</v>
      </c>
      <c r="O642">
        <v>150</v>
      </c>
      <c r="P642" t="s">
        <v>206</v>
      </c>
      <c r="Q642" t="s">
        <v>27</v>
      </c>
      <c r="R642">
        <v>46</v>
      </c>
      <c r="S642">
        <v>1</v>
      </c>
      <c r="T642" t="s">
        <v>80</v>
      </c>
      <c r="U642" t="s">
        <v>63</v>
      </c>
      <c r="V642">
        <v>3.45</v>
      </c>
      <c r="W642">
        <v>3.71</v>
      </c>
      <c r="X642">
        <v>3.9</v>
      </c>
      <c r="Y642">
        <v>21.3</v>
      </c>
      <c r="Z642">
        <v>19.1</v>
      </c>
    </row>
    <row r="643" spans="1:26">
      <c r="A643" t="s">
        <v>1115</v>
      </c>
      <c r="B643">
        <v>36</v>
      </c>
      <c r="C643" t="s">
        <v>44</v>
      </c>
      <c r="D643" t="s">
        <v>42</v>
      </c>
      <c r="E643" t="s">
        <v>150</v>
      </c>
      <c r="F643" t="s">
        <v>264</v>
      </c>
      <c r="G643" t="s">
        <v>431</v>
      </c>
      <c r="H643" t="s">
        <v>32</v>
      </c>
      <c r="I643" t="s">
        <v>19</v>
      </c>
      <c r="J643" s="7">
        <v>45210</v>
      </c>
      <c r="K643" s="7">
        <v>45515</v>
      </c>
      <c r="L643" s="5">
        <v>200</v>
      </c>
      <c r="M643" t="s">
        <v>27</v>
      </c>
      <c r="N643" t="s">
        <v>501</v>
      </c>
      <c r="O643">
        <v>200</v>
      </c>
      <c r="P643" t="s">
        <v>205</v>
      </c>
      <c r="Q643" t="s">
        <v>25</v>
      </c>
      <c r="R643">
        <v>176</v>
      </c>
      <c r="S643">
        <v>0</v>
      </c>
      <c r="T643" t="s">
        <v>78</v>
      </c>
      <c r="U643" t="s">
        <v>61</v>
      </c>
      <c r="V643">
        <v>4.54</v>
      </c>
      <c r="W643">
        <v>3.96</v>
      </c>
      <c r="X643">
        <v>3.5</v>
      </c>
      <c r="Y643">
        <v>11.1</v>
      </c>
      <c r="Z643">
        <v>19.4</v>
      </c>
    </row>
    <row r="644" spans="1:26">
      <c r="A644" t="s">
        <v>1116</v>
      </c>
      <c r="B644">
        <v>61</v>
      </c>
      <c r="C644" t="s">
        <v>71</v>
      </c>
      <c r="D644" t="s">
        <v>43</v>
      </c>
      <c r="E644" t="s">
        <v>150</v>
      </c>
      <c r="F644" t="s">
        <v>150</v>
      </c>
      <c r="G644" t="s">
        <v>306</v>
      </c>
      <c r="H644" t="s">
        <v>29</v>
      </c>
      <c r="I644" t="s">
        <v>19</v>
      </c>
      <c r="J644" s="7">
        <v>44344</v>
      </c>
      <c r="K644" s="7">
        <v>44648</v>
      </c>
      <c r="L644" s="5">
        <v>100</v>
      </c>
      <c r="M644" t="s">
        <v>150</v>
      </c>
      <c r="N644" t="s">
        <v>343</v>
      </c>
      <c r="O644">
        <v>100</v>
      </c>
      <c r="P644" t="s">
        <v>206</v>
      </c>
      <c r="Q644" t="s">
        <v>150</v>
      </c>
      <c r="R644">
        <v>108</v>
      </c>
      <c r="S644">
        <v>1</v>
      </c>
      <c r="T644" t="s">
        <v>78</v>
      </c>
      <c r="U644" t="s">
        <v>61</v>
      </c>
      <c r="V644">
        <v>1.04</v>
      </c>
      <c r="W644">
        <v>3.86</v>
      </c>
      <c r="X644">
        <v>7.4</v>
      </c>
      <c r="Y644">
        <v>17.2</v>
      </c>
      <c r="Z644">
        <v>19.8</v>
      </c>
    </row>
    <row r="645" spans="1:26">
      <c r="A645" t="s">
        <v>1117</v>
      </c>
      <c r="B645">
        <v>84</v>
      </c>
      <c r="C645" t="s">
        <v>44</v>
      </c>
      <c r="D645" t="s">
        <v>43</v>
      </c>
      <c r="E645" t="s">
        <v>150</v>
      </c>
      <c r="F645" t="s">
        <v>260</v>
      </c>
      <c r="G645" t="s">
        <v>278</v>
      </c>
      <c r="H645" t="s">
        <v>30</v>
      </c>
      <c r="I645" t="s">
        <v>19</v>
      </c>
      <c r="J645" s="7">
        <v>44157</v>
      </c>
      <c r="K645" s="7">
        <v>44491</v>
      </c>
      <c r="L645" s="5">
        <v>150</v>
      </c>
      <c r="M645" t="s">
        <v>27</v>
      </c>
      <c r="N645" t="s">
        <v>590</v>
      </c>
      <c r="O645">
        <v>150</v>
      </c>
      <c r="P645" t="s">
        <v>205</v>
      </c>
      <c r="Q645" t="s">
        <v>26</v>
      </c>
      <c r="R645">
        <v>60</v>
      </c>
      <c r="S645">
        <v>0</v>
      </c>
      <c r="T645" t="s">
        <v>81</v>
      </c>
      <c r="U645" t="s">
        <v>63</v>
      </c>
      <c r="V645">
        <v>2.25</v>
      </c>
      <c r="W645">
        <v>2.36</v>
      </c>
      <c r="X645">
        <v>1.7</v>
      </c>
      <c r="Y645">
        <v>14</v>
      </c>
      <c r="Z645">
        <v>7.4</v>
      </c>
    </row>
    <row r="646" spans="1:26">
      <c r="A646" t="s">
        <v>1118</v>
      </c>
      <c r="B646">
        <v>44</v>
      </c>
      <c r="C646" t="s">
        <v>44</v>
      </c>
      <c r="D646" t="s">
        <v>39</v>
      </c>
      <c r="E646" t="s">
        <v>259</v>
      </c>
      <c r="F646" t="s">
        <v>150</v>
      </c>
      <c r="G646" t="s">
        <v>269</v>
      </c>
      <c r="H646" t="s">
        <v>32</v>
      </c>
      <c r="I646" t="s">
        <v>18</v>
      </c>
      <c r="J646" s="7">
        <v>44796</v>
      </c>
      <c r="K646" s="7">
        <v>45100</v>
      </c>
      <c r="L646" s="5">
        <v>200</v>
      </c>
      <c r="M646" t="s">
        <v>150</v>
      </c>
      <c r="N646" t="s">
        <v>488</v>
      </c>
      <c r="O646">
        <v>200</v>
      </c>
      <c r="P646" t="s">
        <v>206</v>
      </c>
      <c r="Q646" t="s">
        <v>150</v>
      </c>
      <c r="R646">
        <v>61</v>
      </c>
      <c r="S646">
        <v>1</v>
      </c>
      <c r="T646" t="s">
        <v>82</v>
      </c>
      <c r="U646" t="s">
        <v>61</v>
      </c>
      <c r="V646">
        <v>2.37</v>
      </c>
      <c r="W646">
        <v>4.34</v>
      </c>
      <c r="X646">
        <v>9.4</v>
      </c>
      <c r="Y646">
        <v>9.3</v>
      </c>
      <c r="Z646">
        <v>9.3</v>
      </c>
    </row>
    <row r="647" spans="1:26">
      <c r="A647" t="s">
        <v>1119</v>
      </c>
      <c r="B647">
        <v>18</v>
      </c>
      <c r="C647" t="s">
        <v>71</v>
      </c>
      <c r="D647" t="s">
        <v>41</v>
      </c>
      <c r="E647" t="s">
        <v>150</v>
      </c>
      <c r="F647" t="s">
        <v>150</v>
      </c>
      <c r="G647" t="s">
        <v>431</v>
      </c>
      <c r="H647" t="s">
        <v>32</v>
      </c>
      <c r="I647" t="s">
        <v>20</v>
      </c>
      <c r="J647" s="7">
        <v>43953</v>
      </c>
      <c r="K647" s="7">
        <v>44318</v>
      </c>
      <c r="L647" s="5">
        <v>200</v>
      </c>
      <c r="M647" t="s">
        <v>28</v>
      </c>
      <c r="N647" t="s">
        <v>495</v>
      </c>
      <c r="O647">
        <v>200</v>
      </c>
      <c r="P647" t="s">
        <v>211</v>
      </c>
      <c r="Q647" t="s">
        <v>28</v>
      </c>
      <c r="R647">
        <v>65</v>
      </c>
      <c r="S647">
        <v>0</v>
      </c>
      <c r="T647" t="s">
        <v>78</v>
      </c>
      <c r="U647" t="s">
        <v>63</v>
      </c>
      <c r="V647">
        <v>4.71</v>
      </c>
      <c r="W647">
        <v>1.25</v>
      </c>
      <c r="X647">
        <v>1.8</v>
      </c>
      <c r="Y647">
        <v>8.9</v>
      </c>
      <c r="Z647">
        <v>13.1</v>
      </c>
    </row>
    <row r="648" spans="1:26">
      <c r="A648" t="s">
        <v>1120</v>
      </c>
      <c r="B648">
        <v>64</v>
      </c>
      <c r="C648" t="s">
        <v>71</v>
      </c>
      <c r="D648" t="s">
        <v>42</v>
      </c>
      <c r="E648" t="s">
        <v>311</v>
      </c>
      <c r="F648" t="s">
        <v>268</v>
      </c>
      <c r="G648" t="s">
        <v>319</v>
      </c>
      <c r="H648" t="s">
        <v>32</v>
      </c>
      <c r="I648" t="s">
        <v>18</v>
      </c>
      <c r="J648" s="7">
        <v>43821</v>
      </c>
      <c r="K648" s="7">
        <v>44187</v>
      </c>
      <c r="L648" s="5">
        <v>100</v>
      </c>
      <c r="M648" t="s">
        <v>25</v>
      </c>
      <c r="N648" t="s">
        <v>347</v>
      </c>
      <c r="O648">
        <v>100</v>
      </c>
      <c r="P648" t="s">
        <v>206</v>
      </c>
      <c r="Q648" t="s">
        <v>28</v>
      </c>
      <c r="R648">
        <v>116</v>
      </c>
      <c r="S648">
        <v>1</v>
      </c>
      <c r="T648" t="s">
        <v>80</v>
      </c>
      <c r="U648" t="s">
        <v>61</v>
      </c>
      <c r="V648">
        <v>1.6</v>
      </c>
      <c r="W648">
        <v>4.87</v>
      </c>
      <c r="X648">
        <v>5</v>
      </c>
      <c r="Y648">
        <v>15</v>
      </c>
      <c r="Z648">
        <v>7.2</v>
      </c>
    </row>
    <row r="649" spans="1:26">
      <c r="A649" t="s">
        <v>1121</v>
      </c>
      <c r="B649">
        <v>54</v>
      </c>
      <c r="C649" t="s">
        <v>70</v>
      </c>
      <c r="D649" t="s">
        <v>41</v>
      </c>
      <c r="E649" t="s">
        <v>259</v>
      </c>
      <c r="F649" t="s">
        <v>268</v>
      </c>
      <c r="G649" t="s">
        <v>274</v>
      </c>
      <c r="H649" t="s">
        <v>32</v>
      </c>
      <c r="I649" t="s">
        <v>19</v>
      </c>
      <c r="J649" s="7">
        <v>43891</v>
      </c>
      <c r="K649" s="7">
        <v>44317</v>
      </c>
      <c r="L649" s="5">
        <v>150</v>
      </c>
      <c r="M649" t="s">
        <v>26</v>
      </c>
      <c r="N649" t="s">
        <v>966</v>
      </c>
      <c r="O649">
        <v>150</v>
      </c>
      <c r="P649" t="s">
        <v>206</v>
      </c>
      <c r="Q649" t="s">
        <v>25</v>
      </c>
      <c r="R649">
        <v>34</v>
      </c>
      <c r="S649">
        <v>1</v>
      </c>
      <c r="T649" t="s">
        <v>78</v>
      </c>
      <c r="U649" t="s">
        <v>63</v>
      </c>
      <c r="V649">
        <v>2.88</v>
      </c>
      <c r="W649">
        <v>3.65</v>
      </c>
      <c r="X649">
        <v>7.8</v>
      </c>
      <c r="Y649">
        <v>19.6</v>
      </c>
      <c r="Z649">
        <v>12.8</v>
      </c>
    </row>
    <row r="650" spans="1:26">
      <c r="A650" t="s">
        <v>1122</v>
      </c>
      <c r="B650">
        <v>52</v>
      </c>
      <c r="C650" t="s">
        <v>70</v>
      </c>
      <c r="D650" t="s">
        <v>42</v>
      </c>
      <c r="E650" t="s">
        <v>311</v>
      </c>
      <c r="F650" t="s">
        <v>260</v>
      </c>
      <c r="G650" t="s">
        <v>265</v>
      </c>
      <c r="H650" t="s">
        <v>30</v>
      </c>
      <c r="I650" t="s">
        <v>20</v>
      </c>
      <c r="J650" s="7">
        <v>44991</v>
      </c>
      <c r="K650" s="7">
        <v>45266</v>
      </c>
      <c r="L650" s="5">
        <v>150</v>
      </c>
      <c r="M650" t="s">
        <v>28</v>
      </c>
      <c r="N650" t="s">
        <v>620</v>
      </c>
      <c r="O650">
        <v>150</v>
      </c>
      <c r="P650" t="s">
        <v>205</v>
      </c>
      <c r="Q650" t="s">
        <v>150</v>
      </c>
      <c r="R650">
        <v>141</v>
      </c>
      <c r="S650">
        <v>0</v>
      </c>
      <c r="T650" t="s">
        <v>80</v>
      </c>
      <c r="U650" t="s">
        <v>61</v>
      </c>
      <c r="V650">
        <v>4.62</v>
      </c>
      <c r="W650">
        <v>4.27</v>
      </c>
      <c r="X650">
        <v>7.8</v>
      </c>
      <c r="Y650">
        <v>7</v>
      </c>
      <c r="Z650">
        <v>3.1</v>
      </c>
    </row>
    <row r="651" spans="1:26">
      <c r="A651" t="s">
        <v>1123</v>
      </c>
      <c r="B651">
        <v>75</v>
      </c>
      <c r="C651" t="s">
        <v>71</v>
      </c>
      <c r="D651" t="s">
        <v>41</v>
      </c>
      <c r="E651" t="s">
        <v>311</v>
      </c>
      <c r="F651" t="s">
        <v>150</v>
      </c>
      <c r="G651" t="s">
        <v>261</v>
      </c>
      <c r="H651" t="s">
        <v>34</v>
      </c>
      <c r="I651" t="s">
        <v>20</v>
      </c>
      <c r="J651" s="7">
        <v>44178</v>
      </c>
      <c r="K651" s="7">
        <v>44633</v>
      </c>
      <c r="L651" s="5">
        <v>200</v>
      </c>
      <c r="M651" t="s">
        <v>25</v>
      </c>
      <c r="N651" t="s">
        <v>651</v>
      </c>
      <c r="O651">
        <v>200</v>
      </c>
      <c r="P651" t="s">
        <v>211</v>
      </c>
      <c r="Q651" t="s">
        <v>26</v>
      </c>
      <c r="R651">
        <v>155</v>
      </c>
      <c r="S651">
        <v>0</v>
      </c>
      <c r="T651" t="s">
        <v>82</v>
      </c>
      <c r="U651" t="s">
        <v>61</v>
      </c>
      <c r="V651">
        <v>1.85</v>
      </c>
      <c r="W651">
        <v>3.65</v>
      </c>
      <c r="X651">
        <v>4.7</v>
      </c>
      <c r="Y651">
        <v>13.2</v>
      </c>
      <c r="Z651">
        <v>18</v>
      </c>
    </row>
    <row r="652" spans="1:26">
      <c r="A652" t="s">
        <v>1124</v>
      </c>
      <c r="B652">
        <v>59</v>
      </c>
      <c r="C652" t="s">
        <v>71</v>
      </c>
      <c r="D652" t="s">
        <v>43</v>
      </c>
      <c r="E652" t="s">
        <v>255</v>
      </c>
      <c r="F652" t="s">
        <v>150</v>
      </c>
      <c r="G652" t="s">
        <v>431</v>
      </c>
      <c r="H652" t="s">
        <v>30</v>
      </c>
      <c r="I652" t="s">
        <v>19</v>
      </c>
      <c r="J652" s="7">
        <v>44168</v>
      </c>
      <c r="K652" s="7">
        <v>44623</v>
      </c>
      <c r="L652" s="5">
        <v>200</v>
      </c>
      <c r="M652" t="s">
        <v>27</v>
      </c>
      <c r="N652" t="s">
        <v>677</v>
      </c>
      <c r="O652">
        <v>200</v>
      </c>
      <c r="P652" t="s">
        <v>206</v>
      </c>
      <c r="Q652" t="s">
        <v>150</v>
      </c>
      <c r="R652">
        <v>120</v>
      </c>
      <c r="S652">
        <v>1</v>
      </c>
      <c r="T652" t="s">
        <v>82</v>
      </c>
      <c r="U652" t="s">
        <v>61</v>
      </c>
      <c r="V652">
        <v>4.58</v>
      </c>
      <c r="W652">
        <v>4.64</v>
      </c>
      <c r="X652">
        <v>3.8</v>
      </c>
      <c r="Y652">
        <v>18.4</v>
      </c>
      <c r="Z652">
        <v>7.6</v>
      </c>
    </row>
    <row r="653" spans="1:26">
      <c r="A653" t="s">
        <v>1125</v>
      </c>
      <c r="B653">
        <v>49</v>
      </c>
      <c r="C653" t="s">
        <v>44</v>
      </c>
      <c r="D653" t="s">
        <v>39</v>
      </c>
      <c r="E653" t="s">
        <v>259</v>
      </c>
      <c r="F653" t="s">
        <v>260</v>
      </c>
      <c r="G653" t="s">
        <v>312</v>
      </c>
      <c r="H653" t="s">
        <v>30</v>
      </c>
      <c r="I653" t="s">
        <v>16</v>
      </c>
      <c r="J653" s="7">
        <v>44921</v>
      </c>
      <c r="K653" s="7">
        <v>45103</v>
      </c>
      <c r="L653" s="5">
        <v>200</v>
      </c>
      <c r="M653" t="s">
        <v>150</v>
      </c>
      <c r="N653" t="s">
        <v>516</v>
      </c>
      <c r="O653">
        <v>200</v>
      </c>
      <c r="P653" t="s">
        <v>211</v>
      </c>
      <c r="Q653" t="s">
        <v>27</v>
      </c>
      <c r="R653">
        <v>144</v>
      </c>
      <c r="S653">
        <v>0</v>
      </c>
      <c r="T653" t="s">
        <v>82</v>
      </c>
      <c r="U653" t="s">
        <v>63</v>
      </c>
      <c r="V653">
        <v>1.76</v>
      </c>
      <c r="W653">
        <v>1.74</v>
      </c>
      <c r="X653">
        <v>4.1</v>
      </c>
      <c r="Y653">
        <v>13.7</v>
      </c>
      <c r="Z653">
        <v>17.1</v>
      </c>
    </row>
    <row r="654" spans="1:26">
      <c r="A654" t="s">
        <v>1126</v>
      </c>
      <c r="B654">
        <v>73</v>
      </c>
      <c r="C654" t="s">
        <v>70</v>
      </c>
      <c r="D654" t="s">
        <v>39</v>
      </c>
      <c r="E654" t="s">
        <v>259</v>
      </c>
      <c r="F654" t="s">
        <v>264</v>
      </c>
      <c r="G654" t="s">
        <v>269</v>
      </c>
      <c r="H654" t="s">
        <v>30</v>
      </c>
      <c r="I654" t="s">
        <v>18</v>
      </c>
      <c r="J654" s="7">
        <v>44125</v>
      </c>
      <c r="K654" s="7">
        <v>44551</v>
      </c>
      <c r="L654" s="5">
        <v>100</v>
      </c>
      <c r="M654" t="s">
        <v>27</v>
      </c>
      <c r="N654" t="s">
        <v>534</v>
      </c>
      <c r="O654">
        <v>100</v>
      </c>
      <c r="P654" t="s">
        <v>206</v>
      </c>
      <c r="Q654" t="s">
        <v>26</v>
      </c>
      <c r="R654">
        <v>53</v>
      </c>
      <c r="S654">
        <v>1</v>
      </c>
      <c r="T654" t="s">
        <v>78</v>
      </c>
      <c r="U654" t="s">
        <v>63</v>
      </c>
      <c r="V654">
        <v>1.48</v>
      </c>
      <c r="W654">
        <v>3.94</v>
      </c>
      <c r="X654">
        <v>5.8</v>
      </c>
      <c r="Y654">
        <v>11.2</v>
      </c>
      <c r="Z654">
        <v>11.4</v>
      </c>
    </row>
    <row r="655" spans="1:26">
      <c r="A655" t="s">
        <v>1127</v>
      </c>
      <c r="B655">
        <v>24</v>
      </c>
      <c r="C655" t="s">
        <v>70</v>
      </c>
      <c r="D655" t="s">
        <v>42</v>
      </c>
      <c r="E655" t="s">
        <v>255</v>
      </c>
      <c r="F655" t="s">
        <v>150</v>
      </c>
      <c r="G655" t="s">
        <v>431</v>
      </c>
      <c r="H655" t="s">
        <v>30</v>
      </c>
      <c r="I655" t="s">
        <v>19</v>
      </c>
      <c r="J655" s="7">
        <v>44021</v>
      </c>
      <c r="K655" s="7">
        <v>44264</v>
      </c>
      <c r="L655" s="5">
        <v>100</v>
      </c>
      <c r="M655" t="s">
        <v>150</v>
      </c>
      <c r="N655" t="s">
        <v>743</v>
      </c>
      <c r="O655">
        <v>100</v>
      </c>
      <c r="P655" t="s">
        <v>206</v>
      </c>
      <c r="Q655" t="s">
        <v>26</v>
      </c>
      <c r="R655">
        <v>53</v>
      </c>
      <c r="S655">
        <v>1</v>
      </c>
      <c r="T655" t="s">
        <v>80</v>
      </c>
      <c r="U655" t="s">
        <v>63</v>
      </c>
      <c r="V655">
        <v>2.2</v>
      </c>
      <c r="W655">
        <v>3.38</v>
      </c>
      <c r="X655">
        <v>4.9</v>
      </c>
      <c r="Y655">
        <v>9</v>
      </c>
      <c r="Z655">
        <v>5</v>
      </c>
    </row>
    <row r="656" spans="1:26">
      <c r="A656" t="s">
        <v>1128</v>
      </c>
      <c r="B656">
        <v>40</v>
      </c>
      <c r="C656" t="s">
        <v>70</v>
      </c>
      <c r="D656" t="s">
        <v>44</v>
      </c>
      <c r="E656" t="s">
        <v>272</v>
      </c>
      <c r="F656" t="s">
        <v>150</v>
      </c>
      <c r="G656" t="s">
        <v>288</v>
      </c>
      <c r="H656" t="s">
        <v>30</v>
      </c>
      <c r="I656" t="s">
        <v>16</v>
      </c>
      <c r="J656" s="7">
        <v>44127</v>
      </c>
      <c r="K656" s="7">
        <v>44339</v>
      </c>
      <c r="L656" s="5">
        <v>50</v>
      </c>
      <c r="M656" t="s">
        <v>150</v>
      </c>
      <c r="N656" t="s">
        <v>503</v>
      </c>
      <c r="O656">
        <v>50</v>
      </c>
      <c r="P656" t="s">
        <v>205</v>
      </c>
      <c r="Q656" t="s">
        <v>28</v>
      </c>
      <c r="R656">
        <v>148</v>
      </c>
      <c r="S656">
        <v>0</v>
      </c>
      <c r="T656" t="s">
        <v>80</v>
      </c>
      <c r="U656" t="s">
        <v>61</v>
      </c>
      <c r="V656">
        <v>3.19</v>
      </c>
      <c r="W656">
        <v>4.61</v>
      </c>
      <c r="X656">
        <v>4.1</v>
      </c>
      <c r="Y656">
        <v>19.2</v>
      </c>
      <c r="Z656">
        <v>14.2</v>
      </c>
    </row>
    <row r="657" spans="1:26">
      <c r="A657" t="s">
        <v>1129</v>
      </c>
      <c r="B657">
        <v>40</v>
      </c>
      <c r="C657" t="s">
        <v>71</v>
      </c>
      <c r="D657" t="s">
        <v>44</v>
      </c>
      <c r="E657" t="s">
        <v>259</v>
      </c>
      <c r="F657" t="s">
        <v>277</v>
      </c>
      <c r="G657" t="s">
        <v>256</v>
      </c>
      <c r="H657" t="s">
        <v>30</v>
      </c>
      <c r="I657" t="s">
        <v>19</v>
      </c>
      <c r="J657" s="7">
        <v>44943</v>
      </c>
      <c r="K657" s="7">
        <v>45368</v>
      </c>
      <c r="L657" s="5">
        <v>50</v>
      </c>
      <c r="M657" t="s">
        <v>26</v>
      </c>
      <c r="N657" t="s">
        <v>1095</v>
      </c>
      <c r="O657">
        <v>50</v>
      </c>
      <c r="P657" t="s">
        <v>211</v>
      </c>
      <c r="Q657" t="s">
        <v>26</v>
      </c>
      <c r="R657">
        <v>63</v>
      </c>
      <c r="S657">
        <v>0</v>
      </c>
      <c r="T657" t="s">
        <v>78</v>
      </c>
      <c r="U657" t="s">
        <v>61</v>
      </c>
      <c r="V657">
        <v>4.73</v>
      </c>
      <c r="W657">
        <v>4.28</v>
      </c>
      <c r="X657">
        <v>6.1</v>
      </c>
      <c r="Y657">
        <v>17.8</v>
      </c>
      <c r="Z657">
        <v>18.3</v>
      </c>
    </row>
    <row r="658" spans="1:26">
      <c r="A658" t="s">
        <v>1130</v>
      </c>
      <c r="B658">
        <v>53</v>
      </c>
      <c r="C658" t="s">
        <v>70</v>
      </c>
      <c r="D658" t="s">
        <v>41</v>
      </c>
      <c r="E658" t="s">
        <v>272</v>
      </c>
      <c r="F658" t="s">
        <v>277</v>
      </c>
      <c r="G658" t="s">
        <v>265</v>
      </c>
      <c r="H658" t="s">
        <v>30</v>
      </c>
      <c r="I658" t="s">
        <v>16</v>
      </c>
      <c r="J658" s="7">
        <v>43651</v>
      </c>
      <c r="K658" s="7">
        <v>43835</v>
      </c>
      <c r="L658" s="5">
        <v>150</v>
      </c>
      <c r="M658" t="s">
        <v>25</v>
      </c>
      <c r="N658" t="s">
        <v>382</v>
      </c>
      <c r="O658">
        <v>150</v>
      </c>
      <c r="P658" t="s">
        <v>211</v>
      </c>
      <c r="Q658" t="s">
        <v>25</v>
      </c>
      <c r="R658">
        <v>168</v>
      </c>
      <c r="S658">
        <v>0</v>
      </c>
      <c r="T658" t="s">
        <v>82</v>
      </c>
      <c r="U658" t="s">
        <v>61</v>
      </c>
      <c r="V658">
        <v>2.6</v>
      </c>
      <c r="W658">
        <v>2.31</v>
      </c>
      <c r="X658">
        <v>1.1</v>
      </c>
      <c r="Y658">
        <v>20.9</v>
      </c>
      <c r="Z658">
        <v>16.6</v>
      </c>
    </row>
    <row r="659" spans="1:26">
      <c r="A659" t="s">
        <v>1131</v>
      </c>
      <c r="B659">
        <v>84</v>
      </c>
      <c r="C659" t="s">
        <v>70</v>
      </c>
      <c r="D659" t="s">
        <v>44</v>
      </c>
      <c r="E659" t="s">
        <v>255</v>
      </c>
      <c r="F659" t="s">
        <v>150</v>
      </c>
      <c r="G659" t="s">
        <v>297</v>
      </c>
      <c r="H659" t="s">
        <v>32</v>
      </c>
      <c r="I659" t="s">
        <v>20</v>
      </c>
      <c r="J659" s="7">
        <v>44102</v>
      </c>
      <c r="K659" s="7">
        <v>44497</v>
      </c>
      <c r="L659" s="5">
        <v>100</v>
      </c>
      <c r="M659" t="s">
        <v>26</v>
      </c>
      <c r="N659" t="s">
        <v>514</v>
      </c>
      <c r="O659">
        <v>100</v>
      </c>
      <c r="P659" t="s">
        <v>205</v>
      </c>
      <c r="Q659" t="s">
        <v>150</v>
      </c>
      <c r="R659">
        <v>106</v>
      </c>
      <c r="S659">
        <v>0</v>
      </c>
      <c r="T659" t="s">
        <v>83</v>
      </c>
      <c r="U659" t="s">
        <v>61</v>
      </c>
      <c r="V659">
        <v>1.42</v>
      </c>
      <c r="W659">
        <v>3.31</v>
      </c>
      <c r="X659">
        <v>5.2</v>
      </c>
      <c r="Y659">
        <v>8.1</v>
      </c>
      <c r="Z659">
        <v>19.7</v>
      </c>
    </row>
    <row r="660" spans="1:26">
      <c r="A660" t="s">
        <v>1132</v>
      </c>
      <c r="B660">
        <v>66</v>
      </c>
      <c r="C660" t="s">
        <v>70</v>
      </c>
      <c r="D660" t="s">
        <v>39</v>
      </c>
      <c r="E660" t="s">
        <v>150</v>
      </c>
      <c r="F660" t="s">
        <v>260</v>
      </c>
      <c r="G660" t="s">
        <v>278</v>
      </c>
      <c r="H660" t="s">
        <v>29</v>
      </c>
      <c r="I660" t="s">
        <v>18</v>
      </c>
      <c r="J660" s="7">
        <v>44890</v>
      </c>
      <c r="K660" s="7">
        <v>45132</v>
      </c>
      <c r="L660" s="5">
        <v>200</v>
      </c>
      <c r="M660" t="s">
        <v>26</v>
      </c>
      <c r="N660" t="s">
        <v>616</v>
      </c>
      <c r="O660">
        <v>200</v>
      </c>
      <c r="P660" t="s">
        <v>206</v>
      </c>
      <c r="Q660" t="s">
        <v>28</v>
      </c>
      <c r="R660">
        <v>88</v>
      </c>
      <c r="S660">
        <v>1</v>
      </c>
      <c r="T660" t="s">
        <v>82</v>
      </c>
      <c r="U660" t="s">
        <v>61</v>
      </c>
      <c r="V660">
        <v>1.86</v>
      </c>
      <c r="W660">
        <v>1.27</v>
      </c>
      <c r="X660">
        <v>6.4</v>
      </c>
      <c r="Y660">
        <v>19.3</v>
      </c>
      <c r="Z660">
        <v>3.6</v>
      </c>
    </row>
    <row r="661" spans="1:26">
      <c r="A661" t="s">
        <v>1133</v>
      </c>
      <c r="B661">
        <v>80</v>
      </c>
      <c r="C661" t="s">
        <v>70</v>
      </c>
      <c r="D661" t="s">
        <v>43</v>
      </c>
      <c r="E661" t="s">
        <v>272</v>
      </c>
      <c r="F661" t="s">
        <v>273</v>
      </c>
      <c r="G661" t="s">
        <v>431</v>
      </c>
      <c r="H661" t="s">
        <v>30</v>
      </c>
      <c r="I661" t="s">
        <v>20</v>
      </c>
      <c r="J661" s="7">
        <v>43560</v>
      </c>
      <c r="K661" s="7">
        <v>44048</v>
      </c>
      <c r="L661" s="5">
        <v>50</v>
      </c>
      <c r="M661" t="s">
        <v>150</v>
      </c>
      <c r="N661" t="s">
        <v>662</v>
      </c>
      <c r="O661">
        <v>50</v>
      </c>
      <c r="P661" t="s">
        <v>211</v>
      </c>
      <c r="Q661" t="s">
        <v>27</v>
      </c>
      <c r="R661">
        <v>140</v>
      </c>
      <c r="S661">
        <v>0</v>
      </c>
      <c r="T661" t="s">
        <v>83</v>
      </c>
      <c r="U661" t="s">
        <v>61</v>
      </c>
      <c r="V661">
        <v>3.63</v>
      </c>
      <c r="W661">
        <v>3.13</v>
      </c>
      <c r="X661">
        <v>1.9</v>
      </c>
      <c r="Y661">
        <v>9.1</v>
      </c>
      <c r="Z661">
        <v>12.7</v>
      </c>
    </row>
    <row r="662" spans="1:26">
      <c r="A662" t="s">
        <v>1134</v>
      </c>
      <c r="B662">
        <v>63</v>
      </c>
      <c r="C662" t="s">
        <v>44</v>
      </c>
      <c r="D662" t="s">
        <v>44</v>
      </c>
      <c r="E662" t="s">
        <v>272</v>
      </c>
      <c r="F662" t="s">
        <v>260</v>
      </c>
      <c r="G662" t="s">
        <v>294</v>
      </c>
      <c r="H662" t="s">
        <v>32</v>
      </c>
      <c r="I662" t="s">
        <v>19</v>
      </c>
      <c r="J662" s="7">
        <v>43968</v>
      </c>
      <c r="K662" s="7">
        <v>44213</v>
      </c>
      <c r="L662" s="5">
        <v>50</v>
      </c>
      <c r="M662" t="s">
        <v>26</v>
      </c>
      <c r="N662" t="s">
        <v>573</v>
      </c>
      <c r="O662">
        <v>50</v>
      </c>
      <c r="P662" t="s">
        <v>205</v>
      </c>
      <c r="Q662" t="s">
        <v>25</v>
      </c>
      <c r="R662">
        <v>99</v>
      </c>
      <c r="S662">
        <v>0</v>
      </c>
      <c r="T662" t="s">
        <v>83</v>
      </c>
      <c r="U662" t="s">
        <v>63</v>
      </c>
      <c r="V662">
        <v>2.19</v>
      </c>
      <c r="W662">
        <v>4.75</v>
      </c>
      <c r="X662">
        <v>8.4</v>
      </c>
      <c r="Y662">
        <v>23.7</v>
      </c>
      <c r="Z662">
        <v>7.4</v>
      </c>
    </row>
    <row r="663" spans="1:26">
      <c r="A663" t="s">
        <v>1135</v>
      </c>
      <c r="B663">
        <v>83</v>
      </c>
      <c r="C663" t="s">
        <v>71</v>
      </c>
      <c r="D663" t="s">
        <v>44</v>
      </c>
      <c r="E663" t="s">
        <v>150</v>
      </c>
      <c r="F663" t="s">
        <v>260</v>
      </c>
      <c r="G663" t="s">
        <v>256</v>
      </c>
      <c r="H663" t="s">
        <v>34</v>
      </c>
      <c r="I663" t="s">
        <v>19</v>
      </c>
      <c r="J663" s="7">
        <v>45087</v>
      </c>
      <c r="K663" s="7">
        <v>45422</v>
      </c>
      <c r="L663" s="5">
        <v>50</v>
      </c>
      <c r="M663" t="s">
        <v>25</v>
      </c>
      <c r="N663" t="s">
        <v>298</v>
      </c>
      <c r="O663">
        <v>50</v>
      </c>
      <c r="P663" t="s">
        <v>211</v>
      </c>
      <c r="Q663" t="s">
        <v>27</v>
      </c>
      <c r="R663">
        <v>161</v>
      </c>
      <c r="S663">
        <v>0</v>
      </c>
      <c r="T663" t="s">
        <v>83</v>
      </c>
      <c r="U663" t="s">
        <v>63</v>
      </c>
      <c r="V663">
        <v>4.88</v>
      </c>
      <c r="W663">
        <v>2.72</v>
      </c>
      <c r="X663">
        <v>4.1</v>
      </c>
      <c r="Y663">
        <v>6.9</v>
      </c>
      <c r="Z663">
        <v>3.9</v>
      </c>
    </row>
    <row r="664" spans="1:26">
      <c r="A664" t="s">
        <v>1136</v>
      </c>
      <c r="B664">
        <v>37</v>
      </c>
      <c r="C664" t="s">
        <v>70</v>
      </c>
      <c r="D664" t="s">
        <v>39</v>
      </c>
      <c r="E664" t="s">
        <v>272</v>
      </c>
      <c r="F664" t="s">
        <v>150</v>
      </c>
      <c r="G664" t="s">
        <v>322</v>
      </c>
      <c r="H664" t="s">
        <v>30</v>
      </c>
      <c r="I664" t="s">
        <v>18</v>
      </c>
      <c r="J664" s="7">
        <v>43881</v>
      </c>
      <c r="K664" s="7">
        <v>44247</v>
      </c>
      <c r="L664" s="5">
        <v>150</v>
      </c>
      <c r="M664" t="s">
        <v>26</v>
      </c>
      <c r="N664" t="s">
        <v>1137</v>
      </c>
      <c r="O664">
        <v>150</v>
      </c>
      <c r="P664" t="s">
        <v>211</v>
      </c>
      <c r="Q664" t="s">
        <v>28</v>
      </c>
      <c r="R664">
        <v>64</v>
      </c>
      <c r="S664">
        <v>0</v>
      </c>
      <c r="T664" t="s">
        <v>78</v>
      </c>
      <c r="U664" t="s">
        <v>61</v>
      </c>
      <c r="V664">
        <v>3.77</v>
      </c>
      <c r="W664">
        <v>2.83</v>
      </c>
      <c r="X664">
        <v>3</v>
      </c>
      <c r="Y664">
        <v>17.1</v>
      </c>
      <c r="Z664">
        <v>7.3</v>
      </c>
    </row>
    <row r="665" spans="1:26">
      <c r="A665" t="s">
        <v>1138</v>
      </c>
      <c r="B665">
        <v>42</v>
      </c>
      <c r="C665" t="s">
        <v>70</v>
      </c>
      <c r="D665" t="s">
        <v>41</v>
      </c>
      <c r="E665" t="s">
        <v>272</v>
      </c>
      <c r="F665" t="s">
        <v>150</v>
      </c>
      <c r="G665" t="s">
        <v>322</v>
      </c>
      <c r="H665" t="s">
        <v>30</v>
      </c>
      <c r="I665" t="s">
        <v>16</v>
      </c>
      <c r="J665" s="7">
        <v>43552</v>
      </c>
      <c r="K665" s="7">
        <v>43736</v>
      </c>
      <c r="L665" s="5">
        <v>150</v>
      </c>
      <c r="M665" t="s">
        <v>27</v>
      </c>
      <c r="N665" t="s">
        <v>373</v>
      </c>
      <c r="O665">
        <v>150</v>
      </c>
      <c r="P665" t="s">
        <v>206</v>
      </c>
      <c r="Q665" t="s">
        <v>27</v>
      </c>
      <c r="R665">
        <v>59</v>
      </c>
      <c r="S665">
        <v>1</v>
      </c>
      <c r="T665" t="s">
        <v>83</v>
      </c>
      <c r="U665" t="s">
        <v>61</v>
      </c>
      <c r="V665">
        <v>3.31</v>
      </c>
      <c r="W665">
        <v>2.44</v>
      </c>
      <c r="X665">
        <v>8.4</v>
      </c>
      <c r="Y665">
        <v>20.8</v>
      </c>
      <c r="Z665">
        <v>11.1</v>
      </c>
    </row>
    <row r="666" spans="1:26">
      <c r="A666" t="s">
        <v>1139</v>
      </c>
      <c r="B666">
        <v>61</v>
      </c>
      <c r="C666" t="s">
        <v>44</v>
      </c>
      <c r="D666" t="s">
        <v>39</v>
      </c>
      <c r="E666" t="s">
        <v>272</v>
      </c>
      <c r="F666" t="s">
        <v>150</v>
      </c>
      <c r="G666" t="s">
        <v>322</v>
      </c>
      <c r="H666" t="s">
        <v>32</v>
      </c>
      <c r="I666" t="s">
        <v>19</v>
      </c>
      <c r="J666" s="7">
        <v>45007</v>
      </c>
      <c r="K666" s="7">
        <v>45495</v>
      </c>
      <c r="L666" s="5">
        <v>150</v>
      </c>
      <c r="M666" t="s">
        <v>26</v>
      </c>
      <c r="N666" t="s">
        <v>913</v>
      </c>
      <c r="O666">
        <v>150</v>
      </c>
      <c r="P666" t="s">
        <v>211</v>
      </c>
      <c r="Q666" t="s">
        <v>150</v>
      </c>
      <c r="R666">
        <v>114</v>
      </c>
      <c r="S666">
        <v>0</v>
      </c>
      <c r="T666" t="s">
        <v>80</v>
      </c>
      <c r="U666" t="s">
        <v>61</v>
      </c>
      <c r="V666">
        <v>2.4</v>
      </c>
      <c r="W666">
        <v>2.45</v>
      </c>
      <c r="X666">
        <v>8.3</v>
      </c>
      <c r="Y666">
        <v>11.9</v>
      </c>
      <c r="Z666">
        <v>6.6</v>
      </c>
    </row>
    <row r="667" spans="1:26">
      <c r="A667" t="s">
        <v>1140</v>
      </c>
      <c r="B667">
        <v>81</v>
      </c>
      <c r="C667" t="s">
        <v>44</v>
      </c>
      <c r="D667" t="s">
        <v>43</v>
      </c>
      <c r="E667" t="s">
        <v>311</v>
      </c>
      <c r="F667" t="s">
        <v>150</v>
      </c>
      <c r="G667" t="s">
        <v>362</v>
      </c>
      <c r="H667" t="s">
        <v>32</v>
      </c>
      <c r="I667" t="s">
        <v>16</v>
      </c>
      <c r="J667" s="7">
        <v>44082</v>
      </c>
      <c r="K667" s="7">
        <v>44628</v>
      </c>
      <c r="L667" s="5">
        <v>100</v>
      </c>
      <c r="M667" t="s">
        <v>27</v>
      </c>
      <c r="N667" t="s">
        <v>545</v>
      </c>
      <c r="O667">
        <v>100</v>
      </c>
      <c r="P667" t="s">
        <v>206</v>
      </c>
      <c r="Q667" t="s">
        <v>25</v>
      </c>
      <c r="R667">
        <v>159</v>
      </c>
      <c r="S667">
        <v>1</v>
      </c>
      <c r="T667" t="s">
        <v>81</v>
      </c>
      <c r="U667" t="s">
        <v>61</v>
      </c>
      <c r="V667">
        <v>1.34</v>
      </c>
      <c r="W667">
        <v>2.87</v>
      </c>
      <c r="X667">
        <v>5.3</v>
      </c>
      <c r="Y667">
        <v>21.1</v>
      </c>
      <c r="Z667">
        <v>6.8</v>
      </c>
    </row>
    <row r="668" spans="1:26">
      <c r="A668" t="s">
        <v>1141</v>
      </c>
      <c r="B668">
        <v>69</v>
      </c>
      <c r="C668" t="s">
        <v>70</v>
      </c>
      <c r="D668" t="s">
        <v>44</v>
      </c>
      <c r="E668" t="s">
        <v>150</v>
      </c>
      <c r="F668" t="s">
        <v>273</v>
      </c>
      <c r="G668" t="s">
        <v>288</v>
      </c>
      <c r="H668" t="s">
        <v>34</v>
      </c>
      <c r="I668" t="s">
        <v>16</v>
      </c>
      <c r="J668" s="7">
        <v>44210</v>
      </c>
      <c r="K668" s="7">
        <v>44575</v>
      </c>
      <c r="L668" s="5">
        <v>200</v>
      </c>
      <c r="M668" t="s">
        <v>27</v>
      </c>
      <c r="N668" t="s">
        <v>982</v>
      </c>
      <c r="O668">
        <v>200</v>
      </c>
      <c r="P668" t="s">
        <v>206</v>
      </c>
      <c r="Q668" t="s">
        <v>150</v>
      </c>
      <c r="R668">
        <v>124</v>
      </c>
      <c r="S668">
        <v>1</v>
      </c>
      <c r="T668" t="s">
        <v>83</v>
      </c>
      <c r="U668" t="s">
        <v>61</v>
      </c>
      <c r="V668">
        <v>2.52</v>
      </c>
      <c r="W668">
        <v>4.23</v>
      </c>
      <c r="X668">
        <v>8.4</v>
      </c>
      <c r="Y668">
        <v>12.9</v>
      </c>
      <c r="Z668">
        <v>10.8</v>
      </c>
    </row>
    <row r="669" spans="1:26">
      <c r="A669" t="s">
        <v>1142</v>
      </c>
      <c r="B669">
        <v>48</v>
      </c>
      <c r="C669" t="s">
        <v>70</v>
      </c>
      <c r="D669" t="s">
        <v>43</v>
      </c>
      <c r="E669" t="s">
        <v>272</v>
      </c>
      <c r="F669" t="s">
        <v>150</v>
      </c>
      <c r="G669" t="s">
        <v>297</v>
      </c>
      <c r="H669" t="s">
        <v>34</v>
      </c>
      <c r="I669" t="s">
        <v>18</v>
      </c>
      <c r="J669" s="7">
        <v>44306</v>
      </c>
      <c r="K669" s="7">
        <v>44854</v>
      </c>
      <c r="L669" s="5">
        <v>100</v>
      </c>
      <c r="M669" t="s">
        <v>26</v>
      </c>
      <c r="N669" t="s">
        <v>588</v>
      </c>
      <c r="O669">
        <v>100</v>
      </c>
      <c r="P669" t="s">
        <v>211</v>
      </c>
      <c r="Q669" t="s">
        <v>28</v>
      </c>
      <c r="R669">
        <v>55</v>
      </c>
      <c r="S669">
        <v>0</v>
      </c>
      <c r="T669" t="s">
        <v>83</v>
      </c>
      <c r="U669" t="s">
        <v>63</v>
      </c>
      <c r="V669">
        <v>2.21</v>
      </c>
      <c r="W669">
        <v>4.73</v>
      </c>
      <c r="X669">
        <v>2.1</v>
      </c>
      <c r="Y669">
        <v>22.8</v>
      </c>
      <c r="Z669">
        <v>14.6</v>
      </c>
    </row>
    <row r="670" spans="1:26">
      <c r="A670" t="s">
        <v>1143</v>
      </c>
      <c r="B670">
        <v>19</v>
      </c>
      <c r="C670" t="s">
        <v>71</v>
      </c>
      <c r="D670" t="s">
        <v>44</v>
      </c>
      <c r="E670" t="s">
        <v>272</v>
      </c>
      <c r="F670" t="s">
        <v>277</v>
      </c>
      <c r="G670" t="s">
        <v>281</v>
      </c>
      <c r="H670" t="s">
        <v>29</v>
      </c>
      <c r="I670" t="s">
        <v>16</v>
      </c>
      <c r="J670" s="7">
        <v>44622</v>
      </c>
      <c r="K670" s="7">
        <v>44867</v>
      </c>
      <c r="L670" s="5">
        <v>150</v>
      </c>
      <c r="M670" t="s">
        <v>150</v>
      </c>
      <c r="N670" t="s">
        <v>438</v>
      </c>
      <c r="O670">
        <v>150</v>
      </c>
      <c r="P670" t="s">
        <v>206</v>
      </c>
      <c r="Q670" t="s">
        <v>150</v>
      </c>
      <c r="R670">
        <v>114</v>
      </c>
      <c r="S670">
        <v>1</v>
      </c>
      <c r="T670" t="s">
        <v>83</v>
      </c>
      <c r="U670" t="s">
        <v>63</v>
      </c>
      <c r="V670">
        <v>3.13</v>
      </c>
      <c r="W670">
        <v>1.13</v>
      </c>
      <c r="X670">
        <v>5.3</v>
      </c>
      <c r="Y670">
        <v>13.3</v>
      </c>
      <c r="Z670">
        <v>5.7</v>
      </c>
    </row>
    <row r="671" spans="1:26">
      <c r="A671" t="s">
        <v>1144</v>
      </c>
      <c r="B671">
        <v>28</v>
      </c>
      <c r="C671" t="s">
        <v>71</v>
      </c>
      <c r="D671" t="s">
        <v>44</v>
      </c>
      <c r="E671" t="s">
        <v>311</v>
      </c>
      <c r="F671" t="s">
        <v>150</v>
      </c>
      <c r="G671" t="s">
        <v>278</v>
      </c>
      <c r="H671" t="s">
        <v>30</v>
      </c>
      <c r="I671" t="s">
        <v>20</v>
      </c>
      <c r="J671" s="7">
        <v>44601</v>
      </c>
      <c r="K671" s="7">
        <v>45055</v>
      </c>
      <c r="L671" s="5">
        <v>150</v>
      </c>
      <c r="M671" t="s">
        <v>25</v>
      </c>
      <c r="N671" t="s">
        <v>435</v>
      </c>
      <c r="O671">
        <v>150</v>
      </c>
      <c r="P671" t="s">
        <v>206</v>
      </c>
      <c r="Q671" t="s">
        <v>28</v>
      </c>
      <c r="R671">
        <v>148</v>
      </c>
      <c r="S671">
        <v>1</v>
      </c>
      <c r="T671" t="s">
        <v>80</v>
      </c>
      <c r="U671" t="s">
        <v>61</v>
      </c>
      <c r="V671">
        <v>3.63</v>
      </c>
      <c r="W671">
        <v>4.88</v>
      </c>
      <c r="X671">
        <v>6.1</v>
      </c>
      <c r="Y671">
        <v>18.9</v>
      </c>
      <c r="Z671">
        <v>4.2</v>
      </c>
    </row>
    <row r="672" spans="1:26">
      <c r="A672" t="s">
        <v>1145</v>
      </c>
      <c r="B672">
        <v>38</v>
      </c>
      <c r="C672" t="s">
        <v>44</v>
      </c>
      <c r="D672" t="s">
        <v>44</v>
      </c>
      <c r="E672" t="s">
        <v>311</v>
      </c>
      <c r="F672" t="s">
        <v>273</v>
      </c>
      <c r="G672" t="s">
        <v>362</v>
      </c>
      <c r="H672" t="s">
        <v>29</v>
      </c>
      <c r="I672" t="s">
        <v>20</v>
      </c>
      <c r="J672" s="7">
        <v>44506</v>
      </c>
      <c r="K672" s="7">
        <v>45022</v>
      </c>
      <c r="L672" s="5">
        <v>200</v>
      </c>
      <c r="M672" t="s">
        <v>150</v>
      </c>
      <c r="N672" t="s">
        <v>453</v>
      </c>
      <c r="O672">
        <v>200</v>
      </c>
      <c r="P672" t="s">
        <v>205</v>
      </c>
      <c r="Q672" t="s">
        <v>27</v>
      </c>
      <c r="R672">
        <v>137</v>
      </c>
      <c r="S672">
        <v>0</v>
      </c>
      <c r="T672" t="s">
        <v>78</v>
      </c>
      <c r="U672" t="s">
        <v>61</v>
      </c>
      <c r="V672">
        <v>2.67</v>
      </c>
      <c r="W672">
        <v>1.47</v>
      </c>
      <c r="X672">
        <v>6.5</v>
      </c>
      <c r="Y672">
        <v>22.9</v>
      </c>
      <c r="Z672">
        <v>14.3</v>
      </c>
    </row>
    <row r="673" spans="1:26">
      <c r="A673" t="s">
        <v>1146</v>
      </c>
      <c r="B673">
        <v>59</v>
      </c>
      <c r="C673" t="s">
        <v>71</v>
      </c>
      <c r="D673" t="s">
        <v>41</v>
      </c>
      <c r="E673" t="s">
        <v>272</v>
      </c>
      <c r="F673" t="s">
        <v>273</v>
      </c>
      <c r="G673" t="s">
        <v>291</v>
      </c>
      <c r="H673" t="s">
        <v>29</v>
      </c>
      <c r="I673" t="s">
        <v>16</v>
      </c>
      <c r="J673" s="7">
        <v>44962</v>
      </c>
      <c r="K673" s="7">
        <v>45174</v>
      </c>
      <c r="L673" s="5">
        <v>200</v>
      </c>
      <c r="M673" t="s">
        <v>26</v>
      </c>
      <c r="N673" t="s">
        <v>603</v>
      </c>
      <c r="O673">
        <v>200</v>
      </c>
      <c r="P673" t="s">
        <v>206</v>
      </c>
      <c r="Q673" t="s">
        <v>150</v>
      </c>
      <c r="R673">
        <v>115</v>
      </c>
      <c r="S673">
        <v>1</v>
      </c>
      <c r="T673" t="s">
        <v>81</v>
      </c>
      <c r="U673" t="s">
        <v>63</v>
      </c>
      <c r="V673">
        <v>1.31</v>
      </c>
      <c r="W673">
        <v>2.42</v>
      </c>
      <c r="X673">
        <v>6</v>
      </c>
      <c r="Y673">
        <v>13.3</v>
      </c>
      <c r="Z673">
        <v>17.2</v>
      </c>
    </row>
    <row r="674" spans="1:26">
      <c r="A674" t="s">
        <v>1147</v>
      </c>
      <c r="B674">
        <v>79</v>
      </c>
      <c r="C674" t="s">
        <v>70</v>
      </c>
      <c r="D674" t="s">
        <v>43</v>
      </c>
      <c r="E674" t="s">
        <v>311</v>
      </c>
      <c r="F674" t="s">
        <v>150</v>
      </c>
      <c r="G674" t="s">
        <v>319</v>
      </c>
      <c r="H674" t="s">
        <v>32</v>
      </c>
      <c r="I674" t="s">
        <v>18</v>
      </c>
      <c r="J674" s="7">
        <v>44867</v>
      </c>
      <c r="K674" s="7">
        <v>45201</v>
      </c>
      <c r="L674" s="5">
        <v>100</v>
      </c>
      <c r="M674" t="s">
        <v>26</v>
      </c>
      <c r="N674" t="s">
        <v>584</v>
      </c>
      <c r="O674">
        <v>100</v>
      </c>
      <c r="P674" t="s">
        <v>206</v>
      </c>
      <c r="Q674" t="s">
        <v>28</v>
      </c>
      <c r="R674">
        <v>94</v>
      </c>
      <c r="S674">
        <v>1</v>
      </c>
      <c r="T674" t="s">
        <v>82</v>
      </c>
      <c r="U674" t="s">
        <v>63</v>
      </c>
      <c r="V674">
        <v>4.26</v>
      </c>
      <c r="W674">
        <v>3.45</v>
      </c>
      <c r="X674">
        <v>4.4</v>
      </c>
      <c r="Y674">
        <v>10.6</v>
      </c>
      <c r="Z674">
        <v>4.8</v>
      </c>
    </row>
    <row r="675" spans="1:26">
      <c r="A675" t="s">
        <v>1148</v>
      </c>
      <c r="B675">
        <v>81</v>
      </c>
      <c r="C675" t="s">
        <v>70</v>
      </c>
      <c r="D675" t="s">
        <v>43</v>
      </c>
      <c r="E675" t="s">
        <v>150</v>
      </c>
      <c r="F675" t="s">
        <v>264</v>
      </c>
      <c r="G675" t="s">
        <v>261</v>
      </c>
      <c r="H675" t="s">
        <v>32</v>
      </c>
      <c r="I675" t="s">
        <v>18</v>
      </c>
      <c r="J675" s="7">
        <v>43533</v>
      </c>
      <c r="K675" s="7">
        <v>43899</v>
      </c>
      <c r="L675" s="5">
        <v>50</v>
      </c>
      <c r="M675" t="s">
        <v>150</v>
      </c>
      <c r="N675" t="s">
        <v>438</v>
      </c>
      <c r="O675">
        <v>50</v>
      </c>
      <c r="P675" t="s">
        <v>206</v>
      </c>
      <c r="Q675" t="s">
        <v>26</v>
      </c>
      <c r="R675">
        <v>161</v>
      </c>
      <c r="S675">
        <v>1</v>
      </c>
      <c r="T675" t="s">
        <v>80</v>
      </c>
      <c r="U675" t="s">
        <v>61</v>
      </c>
      <c r="V675">
        <v>2.42</v>
      </c>
      <c r="W675">
        <v>2.65</v>
      </c>
      <c r="X675">
        <v>7.1</v>
      </c>
      <c r="Y675">
        <v>17.8</v>
      </c>
      <c r="Z675">
        <v>4.2</v>
      </c>
    </row>
    <row r="676" spans="1:26">
      <c r="A676" t="s">
        <v>1149</v>
      </c>
      <c r="B676">
        <v>53</v>
      </c>
      <c r="C676" t="s">
        <v>71</v>
      </c>
      <c r="D676" t="s">
        <v>41</v>
      </c>
      <c r="E676" t="s">
        <v>272</v>
      </c>
      <c r="F676" t="s">
        <v>277</v>
      </c>
      <c r="G676" t="s">
        <v>327</v>
      </c>
      <c r="H676" t="s">
        <v>32</v>
      </c>
      <c r="I676" t="s">
        <v>19</v>
      </c>
      <c r="J676" s="7">
        <v>44200</v>
      </c>
      <c r="K676" s="7">
        <v>44596</v>
      </c>
      <c r="L676" s="5">
        <v>100</v>
      </c>
      <c r="M676" t="s">
        <v>26</v>
      </c>
      <c r="N676" t="s">
        <v>712</v>
      </c>
      <c r="O676">
        <v>100</v>
      </c>
      <c r="P676" t="s">
        <v>205</v>
      </c>
      <c r="Q676" t="s">
        <v>25</v>
      </c>
      <c r="R676">
        <v>100</v>
      </c>
      <c r="S676">
        <v>0</v>
      </c>
      <c r="T676" t="s">
        <v>80</v>
      </c>
      <c r="U676" t="s">
        <v>61</v>
      </c>
      <c r="V676">
        <v>2.58</v>
      </c>
      <c r="W676">
        <v>1.73</v>
      </c>
      <c r="X676">
        <v>2.4</v>
      </c>
      <c r="Y676">
        <v>20.9</v>
      </c>
      <c r="Z676">
        <v>3.7</v>
      </c>
    </row>
    <row r="677" spans="1:26">
      <c r="A677" t="s">
        <v>1150</v>
      </c>
      <c r="B677">
        <v>85</v>
      </c>
      <c r="C677" t="s">
        <v>44</v>
      </c>
      <c r="D677" t="s">
        <v>44</v>
      </c>
      <c r="E677" t="s">
        <v>255</v>
      </c>
      <c r="F677" t="s">
        <v>277</v>
      </c>
      <c r="G677" t="s">
        <v>431</v>
      </c>
      <c r="H677" t="s">
        <v>32</v>
      </c>
      <c r="I677" t="s">
        <v>20</v>
      </c>
      <c r="J677" s="7">
        <v>43596</v>
      </c>
      <c r="K677" s="7">
        <v>43780</v>
      </c>
      <c r="L677" s="5">
        <v>200</v>
      </c>
      <c r="M677" t="s">
        <v>28</v>
      </c>
      <c r="N677" t="s">
        <v>670</v>
      </c>
      <c r="O677">
        <v>200</v>
      </c>
      <c r="P677" t="s">
        <v>205</v>
      </c>
      <c r="Q677" t="s">
        <v>25</v>
      </c>
      <c r="R677">
        <v>89</v>
      </c>
      <c r="S677">
        <v>0</v>
      </c>
      <c r="T677" t="s">
        <v>81</v>
      </c>
      <c r="U677" t="s">
        <v>63</v>
      </c>
      <c r="V677">
        <v>2.68</v>
      </c>
      <c r="W677">
        <v>1.67</v>
      </c>
      <c r="X677">
        <v>8.9</v>
      </c>
      <c r="Y677">
        <v>16</v>
      </c>
      <c r="Z677">
        <v>6.9</v>
      </c>
    </row>
    <row r="678" spans="1:26">
      <c r="A678" t="s">
        <v>1151</v>
      </c>
      <c r="B678">
        <v>75</v>
      </c>
      <c r="C678" t="s">
        <v>70</v>
      </c>
      <c r="D678" t="s">
        <v>39</v>
      </c>
      <c r="E678" t="s">
        <v>311</v>
      </c>
      <c r="F678" t="s">
        <v>150</v>
      </c>
      <c r="G678" t="s">
        <v>274</v>
      </c>
      <c r="H678" t="s">
        <v>32</v>
      </c>
      <c r="I678" t="s">
        <v>20</v>
      </c>
      <c r="J678" s="7">
        <v>44213</v>
      </c>
      <c r="K678" s="7">
        <v>44486</v>
      </c>
      <c r="L678" s="5">
        <v>50</v>
      </c>
      <c r="M678" t="s">
        <v>27</v>
      </c>
      <c r="N678" t="s">
        <v>620</v>
      </c>
      <c r="O678">
        <v>50</v>
      </c>
      <c r="P678" t="s">
        <v>211</v>
      </c>
      <c r="Q678" t="s">
        <v>28</v>
      </c>
      <c r="R678">
        <v>140</v>
      </c>
      <c r="S678">
        <v>0</v>
      </c>
      <c r="T678" t="s">
        <v>83</v>
      </c>
      <c r="U678" t="s">
        <v>63</v>
      </c>
      <c r="V678">
        <v>3.01</v>
      </c>
      <c r="W678">
        <v>3.93</v>
      </c>
      <c r="X678">
        <v>9.6</v>
      </c>
      <c r="Y678">
        <v>10</v>
      </c>
      <c r="Z678">
        <v>18.1</v>
      </c>
    </row>
    <row r="679" spans="1:26">
      <c r="A679" t="s">
        <v>1152</v>
      </c>
      <c r="B679">
        <v>53</v>
      </c>
      <c r="C679" t="s">
        <v>44</v>
      </c>
      <c r="D679" t="s">
        <v>44</v>
      </c>
      <c r="E679" t="s">
        <v>272</v>
      </c>
      <c r="F679" t="s">
        <v>264</v>
      </c>
      <c r="G679" t="s">
        <v>306</v>
      </c>
      <c r="H679" t="s">
        <v>29</v>
      </c>
      <c r="I679" t="s">
        <v>20</v>
      </c>
      <c r="J679" s="7">
        <v>45034</v>
      </c>
      <c r="K679" s="7">
        <v>45522</v>
      </c>
      <c r="L679" s="5">
        <v>150</v>
      </c>
      <c r="M679" t="s">
        <v>26</v>
      </c>
      <c r="N679" t="s">
        <v>495</v>
      </c>
      <c r="O679">
        <v>150</v>
      </c>
      <c r="P679" t="s">
        <v>205</v>
      </c>
      <c r="Q679" t="s">
        <v>150</v>
      </c>
      <c r="R679">
        <v>75</v>
      </c>
      <c r="S679">
        <v>0</v>
      </c>
      <c r="T679" t="s">
        <v>80</v>
      </c>
      <c r="U679" t="s">
        <v>63</v>
      </c>
      <c r="V679">
        <v>4.74</v>
      </c>
      <c r="W679">
        <v>4.67</v>
      </c>
      <c r="X679">
        <v>6.7</v>
      </c>
      <c r="Y679">
        <v>17.3</v>
      </c>
      <c r="Z679">
        <v>9.9</v>
      </c>
    </row>
    <row r="680" spans="1:26">
      <c r="A680" t="s">
        <v>1153</v>
      </c>
      <c r="B680">
        <v>19</v>
      </c>
      <c r="C680" t="s">
        <v>44</v>
      </c>
      <c r="D680" t="s">
        <v>43</v>
      </c>
      <c r="E680" t="s">
        <v>311</v>
      </c>
      <c r="F680" t="s">
        <v>273</v>
      </c>
      <c r="G680" t="s">
        <v>269</v>
      </c>
      <c r="H680" t="s">
        <v>29</v>
      </c>
      <c r="I680" t="s">
        <v>16</v>
      </c>
      <c r="J680" s="7">
        <v>44189</v>
      </c>
      <c r="K680" s="7">
        <v>44493</v>
      </c>
      <c r="L680" s="5">
        <v>100</v>
      </c>
      <c r="M680" t="s">
        <v>150</v>
      </c>
      <c r="N680" t="s">
        <v>722</v>
      </c>
      <c r="O680">
        <v>100</v>
      </c>
      <c r="P680" t="s">
        <v>211</v>
      </c>
      <c r="Q680" t="s">
        <v>26</v>
      </c>
      <c r="R680">
        <v>71</v>
      </c>
      <c r="S680">
        <v>0</v>
      </c>
      <c r="T680" t="s">
        <v>81</v>
      </c>
      <c r="U680" t="s">
        <v>63</v>
      </c>
      <c r="V680">
        <v>4.01</v>
      </c>
      <c r="W680">
        <v>3.13</v>
      </c>
      <c r="X680">
        <v>7.1</v>
      </c>
      <c r="Y680">
        <v>13.7</v>
      </c>
      <c r="Z680">
        <v>15.4</v>
      </c>
    </row>
    <row r="681" spans="1:26">
      <c r="A681" t="s">
        <v>1154</v>
      </c>
      <c r="B681">
        <v>54</v>
      </c>
      <c r="C681" t="s">
        <v>70</v>
      </c>
      <c r="D681" t="s">
        <v>44</v>
      </c>
      <c r="E681" t="s">
        <v>255</v>
      </c>
      <c r="F681" t="s">
        <v>150</v>
      </c>
      <c r="G681" t="s">
        <v>294</v>
      </c>
      <c r="H681" t="s">
        <v>30</v>
      </c>
      <c r="I681" t="s">
        <v>16</v>
      </c>
      <c r="J681" s="7">
        <v>43558</v>
      </c>
      <c r="K681" s="7">
        <v>44107</v>
      </c>
      <c r="L681" s="5">
        <v>150</v>
      </c>
      <c r="M681" t="s">
        <v>28</v>
      </c>
      <c r="N681" t="s">
        <v>651</v>
      </c>
      <c r="O681">
        <v>150</v>
      </c>
      <c r="P681" t="s">
        <v>211</v>
      </c>
      <c r="Q681" t="s">
        <v>150</v>
      </c>
      <c r="R681">
        <v>61</v>
      </c>
      <c r="S681">
        <v>0</v>
      </c>
      <c r="T681" t="s">
        <v>80</v>
      </c>
      <c r="U681" t="s">
        <v>61</v>
      </c>
      <c r="V681">
        <v>4.3</v>
      </c>
      <c r="W681">
        <v>1.59</v>
      </c>
      <c r="X681">
        <v>8.5</v>
      </c>
      <c r="Y681">
        <v>15.7</v>
      </c>
      <c r="Z681">
        <v>17.4</v>
      </c>
    </row>
    <row r="682" spans="1:26">
      <c r="A682" t="s">
        <v>1155</v>
      </c>
      <c r="B682">
        <v>83</v>
      </c>
      <c r="C682" t="s">
        <v>71</v>
      </c>
      <c r="D682" t="s">
        <v>43</v>
      </c>
      <c r="E682" t="s">
        <v>255</v>
      </c>
      <c r="F682" t="s">
        <v>277</v>
      </c>
      <c r="G682" t="s">
        <v>327</v>
      </c>
      <c r="H682" t="s">
        <v>29</v>
      </c>
      <c r="I682" t="s">
        <v>19</v>
      </c>
      <c r="J682" s="7">
        <v>44038</v>
      </c>
      <c r="K682" s="7">
        <v>44312</v>
      </c>
      <c r="L682" s="5">
        <v>150</v>
      </c>
      <c r="M682" t="s">
        <v>28</v>
      </c>
      <c r="N682" t="s">
        <v>722</v>
      </c>
      <c r="O682">
        <v>150</v>
      </c>
      <c r="P682" t="s">
        <v>206</v>
      </c>
      <c r="Q682" t="s">
        <v>150</v>
      </c>
      <c r="R682">
        <v>71</v>
      </c>
      <c r="S682">
        <v>1</v>
      </c>
      <c r="T682" t="s">
        <v>80</v>
      </c>
      <c r="U682" t="s">
        <v>63</v>
      </c>
      <c r="V682">
        <v>2.73</v>
      </c>
      <c r="W682">
        <v>2.52</v>
      </c>
      <c r="X682">
        <v>9.2</v>
      </c>
      <c r="Y682">
        <v>10.5</v>
      </c>
      <c r="Z682">
        <v>17.4</v>
      </c>
    </row>
    <row r="683" spans="1:26">
      <c r="A683" t="s">
        <v>1156</v>
      </c>
      <c r="B683">
        <v>79</v>
      </c>
      <c r="C683" t="s">
        <v>44</v>
      </c>
      <c r="D683" t="s">
        <v>39</v>
      </c>
      <c r="E683" t="s">
        <v>311</v>
      </c>
      <c r="F683" t="s">
        <v>260</v>
      </c>
      <c r="G683" t="s">
        <v>261</v>
      </c>
      <c r="H683" t="s">
        <v>29</v>
      </c>
      <c r="I683" t="s">
        <v>20</v>
      </c>
      <c r="J683" s="7">
        <v>43897</v>
      </c>
      <c r="K683" s="7">
        <v>44354</v>
      </c>
      <c r="L683" s="5">
        <v>200</v>
      </c>
      <c r="M683" t="s">
        <v>28</v>
      </c>
      <c r="N683" t="s">
        <v>419</v>
      </c>
      <c r="O683">
        <v>200</v>
      </c>
      <c r="P683" t="s">
        <v>211</v>
      </c>
      <c r="Q683" t="s">
        <v>25</v>
      </c>
      <c r="R683">
        <v>147</v>
      </c>
      <c r="S683">
        <v>0</v>
      </c>
      <c r="T683" t="s">
        <v>82</v>
      </c>
      <c r="U683" t="s">
        <v>61</v>
      </c>
      <c r="V683">
        <v>2.94</v>
      </c>
      <c r="W683">
        <v>3.06</v>
      </c>
      <c r="X683">
        <v>3.8</v>
      </c>
      <c r="Y683">
        <v>16.3</v>
      </c>
      <c r="Z683">
        <v>8.5</v>
      </c>
    </row>
    <row r="684" spans="1:26">
      <c r="A684" t="s">
        <v>1157</v>
      </c>
      <c r="B684">
        <v>65</v>
      </c>
      <c r="C684" t="s">
        <v>71</v>
      </c>
      <c r="D684" t="s">
        <v>42</v>
      </c>
      <c r="E684" t="s">
        <v>311</v>
      </c>
      <c r="F684" t="s">
        <v>277</v>
      </c>
      <c r="G684" t="s">
        <v>274</v>
      </c>
      <c r="H684" t="s">
        <v>32</v>
      </c>
      <c r="I684" t="s">
        <v>16</v>
      </c>
      <c r="J684" s="7">
        <v>44511</v>
      </c>
      <c r="K684" s="7">
        <v>44876</v>
      </c>
      <c r="L684" s="5">
        <v>50</v>
      </c>
      <c r="M684" t="s">
        <v>27</v>
      </c>
      <c r="N684" t="s">
        <v>340</v>
      </c>
      <c r="O684">
        <v>50</v>
      </c>
      <c r="P684" t="s">
        <v>206</v>
      </c>
      <c r="Q684" t="s">
        <v>25</v>
      </c>
      <c r="R684">
        <v>163</v>
      </c>
      <c r="S684">
        <v>1</v>
      </c>
      <c r="T684" t="s">
        <v>80</v>
      </c>
      <c r="U684" t="s">
        <v>63</v>
      </c>
      <c r="V684">
        <v>1.16</v>
      </c>
      <c r="W684">
        <v>2.09</v>
      </c>
      <c r="X684">
        <v>1.1</v>
      </c>
      <c r="Y684">
        <v>23.6</v>
      </c>
      <c r="Z684">
        <v>19.4</v>
      </c>
    </row>
    <row r="685" spans="1:26">
      <c r="A685" t="s">
        <v>1158</v>
      </c>
      <c r="B685">
        <v>35</v>
      </c>
      <c r="C685" t="s">
        <v>70</v>
      </c>
      <c r="D685" t="s">
        <v>43</v>
      </c>
      <c r="E685" t="s">
        <v>255</v>
      </c>
      <c r="F685" t="s">
        <v>150</v>
      </c>
      <c r="G685" t="s">
        <v>256</v>
      </c>
      <c r="H685" t="s">
        <v>29</v>
      </c>
      <c r="I685" t="s">
        <v>16</v>
      </c>
      <c r="J685" s="7">
        <v>44296</v>
      </c>
      <c r="K685" s="7">
        <v>44722</v>
      </c>
      <c r="L685" s="5">
        <v>200</v>
      </c>
      <c r="M685" t="s">
        <v>28</v>
      </c>
      <c r="N685" t="s">
        <v>369</v>
      </c>
      <c r="O685">
        <v>200</v>
      </c>
      <c r="P685" t="s">
        <v>211</v>
      </c>
      <c r="Q685" t="s">
        <v>26</v>
      </c>
      <c r="R685">
        <v>96</v>
      </c>
      <c r="S685">
        <v>0</v>
      </c>
      <c r="T685" t="s">
        <v>82</v>
      </c>
      <c r="U685" t="s">
        <v>63</v>
      </c>
      <c r="V685">
        <v>2.58</v>
      </c>
      <c r="W685">
        <v>3.91</v>
      </c>
      <c r="X685">
        <v>4.1</v>
      </c>
      <c r="Y685">
        <v>18.1</v>
      </c>
      <c r="Z685">
        <v>16.7</v>
      </c>
    </row>
    <row r="686" spans="1:26">
      <c r="A686" t="s">
        <v>1159</v>
      </c>
      <c r="B686">
        <v>53</v>
      </c>
      <c r="C686" t="s">
        <v>70</v>
      </c>
      <c r="D686" t="s">
        <v>43</v>
      </c>
      <c r="E686" t="s">
        <v>311</v>
      </c>
      <c r="F686" t="s">
        <v>150</v>
      </c>
      <c r="G686" t="s">
        <v>327</v>
      </c>
      <c r="H686" t="s">
        <v>29</v>
      </c>
      <c r="I686" t="s">
        <v>20</v>
      </c>
      <c r="J686" s="7">
        <v>44540</v>
      </c>
      <c r="K686" s="7">
        <v>44905</v>
      </c>
      <c r="L686" s="5">
        <v>50</v>
      </c>
      <c r="M686" t="s">
        <v>150</v>
      </c>
      <c r="N686" t="s">
        <v>338</v>
      </c>
      <c r="O686">
        <v>50</v>
      </c>
      <c r="P686" t="s">
        <v>206</v>
      </c>
      <c r="Q686" t="s">
        <v>28</v>
      </c>
      <c r="R686">
        <v>65</v>
      </c>
      <c r="S686">
        <v>1</v>
      </c>
      <c r="T686" t="s">
        <v>80</v>
      </c>
      <c r="U686" t="s">
        <v>63</v>
      </c>
      <c r="V686">
        <v>4.79</v>
      </c>
      <c r="W686">
        <v>2.6</v>
      </c>
      <c r="X686">
        <v>8</v>
      </c>
      <c r="Y686">
        <v>10.8</v>
      </c>
      <c r="Z686">
        <v>19.8</v>
      </c>
    </row>
    <row r="687" spans="1:26">
      <c r="A687" t="s">
        <v>1160</v>
      </c>
      <c r="B687">
        <v>64</v>
      </c>
      <c r="C687" t="s">
        <v>71</v>
      </c>
      <c r="D687" t="s">
        <v>42</v>
      </c>
      <c r="E687" t="s">
        <v>150</v>
      </c>
      <c r="F687" t="s">
        <v>150</v>
      </c>
      <c r="G687" t="s">
        <v>256</v>
      </c>
      <c r="H687" t="s">
        <v>29</v>
      </c>
      <c r="I687" t="s">
        <v>18</v>
      </c>
      <c r="J687" s="7">
        <v>45035</v>
      </c>
      <c r="K687" s="7">
        <v>45584</v>
      </c>
      <c r="L687" s="5">
        <v>50</v>
      </c>
      <c r="M687" t="s">
        <v>28</v>
      </c>
      <c r="N687" t="s">
        <v>413</v>
      </c>
      <c r="O687">
        <v>50</v>
      </c>
      <c r="P687" t="s">
        <v>211</v>
      </c>
      <c r="Q687" t="s">
        <v>25</v>
      </c>
      <c r="R687">
        <v>168</v>
      </c>
      <c r="S687">
        <v>0</v>
      </c>
      <c r="T687" t="s">
        <v>83</v>
      </c>
      <c r="U687" t="s">
        <v>61</v>
      </c>
      <c r="V687">
        <v>1.1</v>
      </c>
      <c r="W687">
        <v>3.41</v>
      </c>
      <c r="X687">
        <v>6.9</v>
      </c>
      <c r="Y687">
        <v>18.4</v>
      </c>
      <c r="Z687">
        <v>5</v>
      </c>
    </row>
    <row r="688" spans="1:26">
      <c r="A688" t="s">
        <v>1161</v>
      </c>
      <c r="B688">
        <v>56</v>
      </c>
      <c r="C688" t="s">
        <v>71</v>
      </c>
      <c r="D688" t="s">
        <v>43</v>
      </c>
      <c r="E688" t="s">
        <v>311</v>
      </c>
      <c r="F688" t="s">
        <v>260</v>
      </c>
      <c r="G688" t="s">
        <v>294</v>
      </c>
      <c r="H688" t="s">
        <v>32</v>
      </c>
      <c r="I688" t="s">
        <v>19</v>
      </c>
      <c r="J688" s="7">
        <v>43527</v>
      </c>
      <c r="K688" s="7">
        <v>43741</v>
      </c>
      <c r="L688" s="5">
        <v>50</v>
      </c>
      <c r="M688" t="s">
        <v>27</v>
      </c>
      <c r="N688" t="s">
        <v>438</v>
      </c>
      <c r="O688">
        <v>50</v>
      </c>
      <c r="P688" t="s">
        <v>211</v>
      </c>
      <c r="Q688" t="s">
        <v>150</v>
      </c>
      <c r="R688">
        <v>133</v>
      </c>
      <c r="S688">
        <v>0</v>
      </c>
      <c r="T688" t="s">
        <v>80</v>
      </c>
      <c r="U688" t="s">
        <v>63</v>
      </c>
      <c r="V688">
        <v>4.75</v>
      </c>
      <c r="W688">
        <v>1.72</v>
      </c>
      <c r="X688">
        <v>6.6</v>
      </c>
      <c r="Y688">
        <v>10</v>
      </c>
      <c r="Z688">
        <v>8.2</v>
      </c>
    </row>
    <row r="689" spans="1:26">
      <c r="A689" t="s">
        <v>1162</v>
      </c>
      <c r="B689">
        <v>51</v>
      </c>
      <c r="C689" t="s">
        <v>71</v>
      </c>
      <c r="D689" t="s">
        <v>44</v>
      </c>
      <c r="E689" t="s">
        <v>255</v>
      </c>
      <c r="F689" t="s">
        <v>150</v>
      </c>
      <c r="G689" t="s">
        <v>265</v>
      </c>
      <c r="H689" t="s">
        <v>29</v>
      </c>
      <c r="I689" t="s">
        <v>19</v>
      </c>
      <c r="J689" s="7">
        <v>43911</v>
      </c>
      <c r="K689" s="7">
        <v>44368</v>
      </c>
      <c r="L689" s="5">
        <v>50</v>
      </c>
      <c r="M689" t="s">
        <v>28</v>
      </c>
      <c r="N689" t="s">
        <v>782</v>
      </c>
      <c r="O689">
        <v>50</v>
      </c>
      <c r="P689" t="s">
        <v>205</v>
      </c>
      <c r="Q689" t="s">
        <v>26</v>
      </c>
      <c r="R689">
        <v>73</v>
      </c>
      <c r="S689">
        <v>0</v>
      </c>
      <c r="T689" t="s">
        <v>80</v>
      </c>
      <c r="U689" t="s">
        <v>63</v>
      </c>
      <c r="V689">
        <v>3.19</v>
      </c>
      <c r="W689">
        <v>2.67</v>
      </c>
      <c r="X689">
        <v>2.4</v>
      </c>
      <c r="Y689">
        <v>9.1</v>
      </c>
      <c r="Z689">
        <v>10.1</v>
      </c>
    </row>
    <row r="690" spans="1:26">
      <c r="A690" t="s">
        <v>1163</v>
      </c>
      <c r="B690">
        <v>70</v>
      </c>
      <c r="C690" t="s">
        <v>71</v>
      </c>
      <c r="D690" t="s">
        <v>44</v>
      </c>
      <c r="E690" t="s">
        <v>150</v>
      </c>
      <c r="F690" t="s">
        <v>150</v>
      </c>
      <c r="G690" t="s">
        <v>278</v>
      </c>
      <c r="H690" t="s">
        <v>34</v>
      </c>
      <c r="I690" t="s">
        <v>18</v>
      </c>
      <c r="J690" s="7">
        <v>43653</v>
      </c>
      <c r="K690" s="7">
        <v>44111</v>
      </c>
      <c r="L690" s="5">
        <v>200</v>
      </c>
      <c r="M690" t="s">
        <v>25</v>
      </c>
      <c r="N690" t="s">
        <v>328</v>
      </c>
      <c r="O690">
        <v>200</v>
      </c>
      <c r="P690" t="s">
        <v>211</v>
      </c>
      <c r="Q690" t="s">
        <v>26</v>
      </c>
      <c r="R690">
        <v>133</v>
      </c>
      <c r="S690">
        <v>0</v>
      </c>
      <c r="T690" t="s">
        <v>80</v>
      </c>
      <c r="U690" t="s">
        <v>61</v>
      </c>
      <c r="V690">
        <v>4.03</v>
      </c>
      <c r="W690">
        <v>4.59</v>
      </c>
      <c r="X690">
        <v>1.8</v>
      </c>
      <c r="Y690">
        <v>13.1</v>
      </c>
      <c r="Z690">
        <v>4.7</v>
      </c>
    </row>
    <row r="691" spans="1:26">
      <c r="A691" t="s">
        <v>1164</v>
      </c>
      <c r="B691">
        <v>54</v>
      </c>
      <c r="C691" t="s">
        <v>70</v>
      </c>
      <c r="D691" t="s">
        <v>41</v>
      </c>
      <c r="E691" t="s">
        <v>255</v>
      </c>
      <c r="F691" t="s">
        <v>150</v>
      </c>
      <c r="G691" t="s">
        <v>284</v>
      </c>
      <c r="H691" t="s">
        <v>34</v>
      </c>
      <c r="I691" t="s">
        <v>19</v>
      </c>
      <c r="J691" s="7">
        <v>45139</v>
      </c>
      <c r="K691" s="7">
        <v>45352</v>
      </c>
      <c r="L691" s="5">
        <v>200</v>
      </c>
      <c r="M691" t="s">
        <v>26</v>
      </c>
      <c r="N691" t="s">
        <v>739</v>
      </c>
      <c r="O691">
        <v>200</v>
      </c>
      <c r="P691" t="s">
        <v>205</v>
      </c>
      <c r="Q691" t="s">
        <v>26</v>
      </c>
      <c r="R691">
        <v>178</v>
      </c>
      <c r="S691">
        <v>0</v>
      </c>
      <c r="T691" t="s">
        <v>83</v>
      </c>
      <c r="U691" t="s">
        <v>63</v>
      </c>
      <c r="V691">
        <v>1.07</v>
      </c>
      <c r="W691">
        <v>3.65</v>
      </c>
      <c r="X691">
        <v>6.4</v>
      </c>
      <c r="Y691">
        <v>8.9</v>
      </c>
      <c r="Z691">
        <v>7</v>
      </c>
    </row>
    <row r="692" spans="1:26">
      <c r="A692" t="s">
        <v>1165</v>
      </c>
      <c r="B692">
        <v>34</v>
      </c>
      <c r="C692" t="s">
        <v>44</v>
      </c>
      <c r="D692" t="s">
        <v>42</v>
      </c>
      <c r="E692" t="s">
        <v>259</v>
      </c>
      <c r="F692" t="s">
        <v>150</v>
      </c>
      <c r="G692" t="s">
        <v>291</v>
      </c>
      <c r="H692" t="s">
        <v>29</v>
      </c>
      <c r="I692" t="s">
        <v>20</v>
      </c>
      <c r="J692" s="7">
        <v>43930</v>
      </c>
      <c r="K692" s="7">
        <v>44144</v>
      </c>
      <c r="L692" s="5">
        <v>50</v>
      </c>
      <c r="M692" t="s">
        <v>26</v>
      </c>
      <c r="N692" t="s">
        <v>320</v>
      </c>
      <c r="O692">
        <v>50</v>
      </c>
      <c r="P692" t="s">
        <v>211</v>
      </c>
      <c r="Q692" t="s">
        <v>28</v>
      </c>
      <c r="R692">
        <v>117</v>
      </c>
      <c r="S692">
        <v>0</v>
      </c>
      <c r="T692" t="s">
        <v>78</v>
      </c>
      <c r="U692" t="s">
        <v>61</v>
      </c>
      <c r="V692">
        <v>1.09</v>
      </c>
      <c r="W692">
        <v>4.34</v>
      </c>
      <c r="X692">
        <v>9.8</v>
      </c>
      <c r="Y692">
        <v>8.4</v>
      </c>
      <c r="Z692">
        <v>6.9</v>
      </c>
    </row>
    <row r="693" spans="1:26">
      <c r="A693" t="s">
        <v>1166</v>
      </c>
      <c r="B693">
        <v>36</v>
      </c>
      <c r="C693" t="s">
        <v>71</v>
      </c>
      <c r="D693" t="s">
        <v>42</v>
      </c>
      <c r="E693" t="s">
        <v>150</v>
      </c>
      <c r="F693" t="s">
        <v>260</v>
      </c>
      <c r="G693" t="s">
        <v>297</v>
      </c>
      <c r="H693" t="s">
        <v>32</v>
      </c>
      <c r="I693" t="s">
        <v>20</v>
      </c>
      <c r="J693" s="7">
        <v>44140</v>
      </c>
      <c r="K693" s="7">
        <v>44413</v>
      </c>
      <c r="L693" s="5">
        <v>200</v>
      </c>
      <c r="M693" t="s">
        <v>26</v>
      </c>
      <c r="N693" t="s">
        <v>417</v>
      </c>
      <c r="O693">
        <v>200</v>
      </c>
      <c r="P693" t="s">
        <v>211</v>
      </c>
      <c r="Q693" t="s">
        <v>150</v>
      </c>
      <c r="R693">
        <v>141</v>
      </c>
      <c r="S693">
        <v>0</v>
      </c>
      <c r="T693" t="s">
        <v>83</v>
      </c>
      <c r="U693" t="s">
        <v>61</v>
      </c>
      <c r="V693">
        <v>4.47</v>
      </c>
      <c r="W693">
        <v>4.71</v>
      </c>
      <c r="X693">
        <v>4.8</v>
      </c>
      <c r="Y693">
        <v>6.9</v>
      </c>
      <c r="Z693">
        <v>3.7</v>
      </c>
    </row>
    <row r="694" spans="1:26">
      <c r="A694" t="s">
        <v>1167</v>
      </c>
      <c r="B694">
        <v>18</v>
      </c>
      <c r="C694" t="s">
        <v>70</v>
      </c>
      <c r="D694" t="s">
        <v>43</v>
      </c>
      <c r="E694" t="s">
        <v>259</v>
      </c>
      <c r="F694" t="s">
        <v>277</v>
      </c>
      <c r="G694" t="s">
        <v>431</v>
      </c>
      <c r="H694" t="s">
        <v>32</v>
      </c>
      <c r="I694" t="s">
        <v>18</v>
      </c>
      <c r="J694" s="7">
        <v>44602</v>
      </c>
      <c r="K694" s="7">
        <v>44844</v>
      </c>
      <c r="L694" s="5">
        <v>150</v>
      </c>
      <c r="M694" t="s">
        <v>26</v>
      </c>
      <c r="N694" t="s">
        <v>490</v>
      </c>
      <c r="O694">
        <v>150</v>
      </c>
      <c r="P694" t="s">
        <v>206</v>
      </c>
      <c r="Q694" t="s">
        <v>27</v>
      </c>
      <c r="R694">
        <v>165</v>
      </c>
      <c r="S694">
        <v>1</v>
      </c>
      <c r="T694" t="s">
        <v>83</v>
      </c>
      <c r="U694" t="s">
        <v>61</v>
      </c>
      <c r="V694">
        <v>3.3</v>
      </c>
      <c r="W694">
        <v>2.57</v>
      </c>
      <c r="X694">
        <v>1.3</v>
      </c>
      <c r="Y694">
        <v>16.5</v>
      </c>
      <c r="Z694">
        <v>3.2</v>
      </c>
    </row>
    <row r="695" spans="1:26">
      <c r="A695" t="s">
        <v>1168</v>
      </c>
      <c r="B695">
        <v>62</v>
      </c>
      <c r="C695" t="s">
        <v>70</v>
      </c>
      <c r="D695" t="s">
        <v>41</v>
      </c>
      <c r="E695" t="s">
        <v>272</v>
      </c>
      <c r="F695" t="s">
        <v>264</v>
      </c>
      <c r="G695" t="s">
        <v>269</v>
      </c>
      <c r="H695" t="s">
        <v>34</v>
      </c>
      <c r="I695" t="s">
        <v>19</v>
      </c>
      <c r="J695" s="7">
        <v>44051</v>
      </c>
      <c r="K695" s="7">
        <v>44447</v>
      </c>
      <c r="L695" s="5">
        <v>100</v>
      </c>
      <c r="M695" t="s">
        <v>26</v>
      </c>
      <c r="N695" t="s">
        <v>292</v>
      </c>
      <c r="O695">
        <v>100</v>
      </c>
      <c r="P695" t="s">
        <v>211</v>
      </c>
      <c r="Q695" t="s">
        <v>27</v>
      </c>
      <c r="R695">
        <v>86</v>
      </c>
      <c r="S695">
        <v>0</v>
      </c>
      <c r="T695" t="s">
        <v>80</v>
      </c>
      <c r="U695" t="s">
        <v>63</v>
      </c>
      <c r="V695">
        <v>4.15</v>
      </c>
      <c r="W695">
        <v>2.23</v>
      </c>
      <c r="X695">
        <v>1.4</v>
      </c>
      <c r="Y695">
        <v>16.6</v>
      </c>
      <c r="Z695">
        <v>9.8</v>
      </c>
    </row>
    <row r="696" spans="1:26">
      <c r="A696" t="s">
        <v>1169</v>
      </c>
      <c r="B696">
        <v>32</v>
      </c>
      <c r="C696" t="s">
        <v>70</v>
      </c>
      <c r="D696" t="s">
        <v>39</v>
      </c>
      <c r="E696" t="s">
        <v>255</v>
      </c>
      <c r="F696" t="s">
        <v>277</v>
      </c>
      <c r="G696" t="s">
        <v>322</v>
      </c>
      <c r="H696" t="s">
        <v>32</v>
      </c>
      <c r="I696" t="s">
        <v>20</v>
      </c>
      <c r="J696" s="7">
        <v>43515</v>
      </c>
      <c r="K696" s="7">
        <v>43727</v>
      </c>
      <c r="L696" s="5">
        <v>100</v>
      </c>
      <c r="M696" t="s">
        <v>150</v>
      </c>
      <c r="N696" t="s">
        <v>313</v>
      </c>
      <c r="O696">
        <v>100</v>
      </c>
      <c r="P696" t="s">
        <v>205</v>
      </c>
      <c r="Q696" t="s">
        <v>25</v>
      </c>
      <c r="R696">
        <v>177</v>
      </c>
      <c r="S696">
        <v>0</v>
      </c>
      <c r="T696" t="s">
        <v>80</v>
      </c>
      <c r="U696" t="s">
        <v>63</v>
      </c>
      <c r="V696">
        <v>4.9</v>
      </c>
      <c r="W696">
        <v>3.18</v>
      </c>
      <c r="X696">
        <v>3.5</v>
      </c>
      <c r="Y696">
        <v>18.8</v>
      </c>
      <c r="Z696">
        <v>7.6</v>
      </c>
    </row>
    <row r="697" spans="1:26">
      <c r="A697" t="s">
        <v>1170</v>
      </c>
      <c r="B697">
        <v>81</v>
      </c>
      <c r="C697" t="s">
        <v>44</v>
      </c>
      <c r="D697" t="s">
        <v>42</v>
      </c>
      <c r="E697" t="s">
        <v>259</v>
      </c>
      <c r="F697" t="s">
        <v>150</v>
      </c>
      <c r="G697" t="s">
        <v>256</v>
      </c>
      <c r="H697" t="s">
        <v>34</v>
      </c>
      <c r="I697" t="s">
        <v>19</v>
      </c>
      <c r="J697" s="7">
        <v>43684</v>
      </c>
      <c r="K697" s="7">
        <v>43928</v>
      </c>
      <c r="L697" s="5">
        <v>50</v>
      </c>
      <c r="M697" t="s">
        <v>150</v>
      </c>
      <c r="N697" t="s">
        <v>307</v>
      </c>
      <c r="O697">
        <v>50</v>
      </c>
      <c r="P697" t="s">
        <v>211</v>
      </c>
      <c r="Q697" t="s">
        <v>25</v>
      </c>
      <c r="R697">
        <v>81</v>
      </c>
      <c r="S697">
        <v>0</v>
      </c>
      <c r="T697" t="s">
        <v>82</v>
      </c>
      <c r="U697" t="s">
        <v>61</v>
      </c>
      <c r="V697">
        <v>4.62</v>
      </c>
      <c r="W697">
        <v>2.5</v>
      </c>
      <c r="X697">
        <v>5.9</v>
      </c>
      <c r="Y697">
        <v>6.9</v>
      </c>
      <c r="Z697">
        <v>10.2</v>
      </c>
    </row>
    <row r="698" spans="1:26">
      <c r="A698" t="s">
        <v>1171</v>
      </c>
      <c r="B698">
        <v>30</v>
      </c>
      <c r="C698" t="s">
        <v>70</v>
      </c>
      <c r="D698" t="s">
        <v>43</v>
      </c>
      <c r="E698" t="s">
        <v>255</v>
      </c>
      <c r="F698" t="s">
        <v>273</v>
      </c>
      <c r="G698" t="s">
        <v>256</v>
      </c>
      <c r="H698" t="s">
        <v>29</v>
      </c>
      <c r="I698" t="s">
        <v>19</v>
      </c>
      <c r="J698" s="7">
        <v>44433</v>
      </c>
      <c r="K698" s="7">
        <v>44706</v>
      </c>
      <c r="L698" s="5">
        <v>150</v>
      </c>
      <c r="M698" t="s">
        <v>26</v>
      </c>
      <c r="N698" t="s">
        <v>493</v>
      </c>
      <c r="O698">
        <v>150</v>
      </c>
      <c r="P698" t="s">
        <v>206</v>
      </c>
      <c r="Q698" t="s">
        <v>28</v>
      </c>
      <c r="R698">
        <v>56</v>
      </c>
      <c r="S698">
        <v>1</v>
      </c>
      <c r="T698" t="s">
        <v>80</v>
      </c>
      <c r="U698" t="s">
        <v>63</v>
      </c>
      <c r="V698">
        <v>4.33</v>
      </c>
      <c r="W698">
        <v>4.22</v>
      </c>
      <c r="X698">
        <v>3</v>
      </c>
      <c r="Y698">
        <v>10.1</v>
      </c>
      <c r="Z698">
        <v>16.9</v>
      </c>
    </row>
    <row r="699" spans="1:26">
      <c r="A699" t="s">
        <v>1172</v>
      </c>
      <c r="B699">
        <v>47</v>
      </c>
      <c r="C699" t="s">
        <v>70</v>
      </c>
      <c r="D699" t="s">
        <v>42</v>
      </c>
      <c r="E699" t="s">
        <v>259</v>
      </c>
      <c r="F699" t="s">
        <v>268</v>
      </c>
      <c r="G699" t="s">
        <v>294</v>
      </c>
      <c r="H699" t="s">
        <v>29</v>
      </c>
      <c r="I699" t="s">
        <v>20</v>
      </c>
      <c r="J699" s="7">
        <v>43945</v>
      </c>
      <c r="K699" s="7">
        <v>44220</v>
      </c>
      <c r="L699" s="5">
        <v>100</v>
      </c>
      <c r="M699" t="s">
        <v>28</v>
      </c>
      <c r="N699" t="s">
        <v>606</v>
      </c>
      <c r="O699">
        <v>100</v>
      </c>
      <c r="P699" t="s">
        <v>206</v>
      </c>
      <c r="Q699" t="s">
        <v>25</v>
      </c>
      <c r="R699">
        <v>134</v>
      </c>
      <c r="S699">
        <v>1</v>
      </c>
      <c r="T699" t="s">
        <v>83</v>
      </c>
      <c r="U699" t="s">
        <v>61</v>
      </c>
      <c r="V699">
        <v>4.72</v>
      </c>
      <c r="W699">
        <v>1.38</v>
      </c>
      <c r="X699">
        <v>5.1</v>
      </c>
      <c r="Y699">
        <v>12.1</v>
      </c>
      <c r="Z699">
        <v>17.8</v>
      </c>
    </row>
    <row r="700" spans="1:26">
      <c r="A700" t="s">
        <v>1173</v>
      </c>
      <c r="B700">
        <v>75</v>
      </c>
      <c r="C700" t="s">
        <v>71</v>
      </c>
      <c r="D700" t="s">
        <v>42</v>
      </c>
      <c r="E700" t="s">
        <v>150</v>
      </c>
      <c r="F700" t="s">
        <v>150</v>
      </c>
      <c r="G700" t="s">
        <v>306</v>
      </c>
      <c r="H700" t="s">
        <v>29</v>
      </c>
      <c r="I700" t="s">
        <v>16</v>
      </c>
      <c r="J700" s="7">
        <v>44487</v>
      </c>
      <c r="K700" s="7">
        <v>45003</v>
      </c>
      <c r="L700" s="5">
        <v>100</v>
      </c>
      <c r="M700" t="s">
        <v>27</v>
      </c>
      <c r="N700" t="s">
        <v>433</v>
      </c>
      <c r="O700">
        <v>100</v>
      </c>
      <c r="P700" t="s">
        <v>211</v>
      </c>
      <c r="Q700" t="s">
        <v>25</v>
      </c>
      <c r="R700">
        <v>72</v>
      </c>
      <c r="S700">
        <v>0</v>
      </c>
      <c r="T700" t="s">
        <v>83</v>
      </c>
      <c r="U700" t="s">
        <v>61</v>
      </c>
      <c r="V700">
        <v>1.33</v>
      </c>
      <c r="W700">
        <v>1.84</v>
      </c>
      <c r="X700">
        <v>7.8</v>
      </c>
      <c r="Y700">
        <v>6.9</v>
      </c>
      <c r="Z700">
        <v>11.4</v>
      </c>
    </row>
    <row r="701" spans="1:26">
      <c r="A701" t="s">
        <v>1174</v>
      </c>
      <c r="B701">
        <v>45</v>
      </c>
      <c r="C701" t="s">
        <v>70</v>
      </c>
      <c r="D701" t="s">
        <v>39</v>
      </c>
      <c r="E701" t="s">
        <v>311</v>
      </c>
      <c r="F701" t="s">
        <v>268</v>
      </c>
      <c r="G701" t="s">
        <v>265</v>
      </c>
      <c r="H701" t="s">
        <v>32</v>
      </c>
      <c r="I701" t="s">
        <v>16</v>
      </c>
      <c r="J701" s="7">
        <v>44907</v>
      </c>
      <c r="K701" s="7">
        <v>45242</v>
      </c>
      <c r="L701" s="5">
        <v>200</v>
      </c>
      <c r="M701" t="s">
        <v>26</v>
      </c>
      <c r="N701" t="s">
        <v>334</v>
      </c>
      <c r="O701">
        <v>200</v>
      </c>
      <c r="P701" t="s">
        <v>205</v>
      </c>
      <c r="Q701" t="s">
        <v>25</v>
      </c>
      <c r="R701">
        <v>35</v>
      </c>
      <c r="S701">
        <v>0</v>
      </c>
      <c r="T701" t="s">
        <v>81</v>
      </c>
      <c r="U701" t="s">
        <v>63</v>
      </c>
      <c r="V701">
        <v>2.77</v>
      </c>
      <c r="W701">
        <v>2.34</v>
      </c>
      <c r="X701">
        <v>4.6</v>
      </c>
      <c r="Y701">
        <v>15.5</v>
      </c>
      <c r="Z701">
        <v>5.7</v>
      </c>
    </row>
    <row r="702" spans="1:26">
      <c r="A702" t="s">
        <v>1175</v>
      </c>
      <c r="B702">
        <v>40</v>
      </c>
      <c r="C702" t="s">
        <v>71</v>
      </c>
      <c r="D702" t="s">
        <v>41</v>
      </c>
      <c r="E702" t="s">
        <v>311</v>
      </c>
      <c r="F702" t="s">
        <v>150</v>
      </c>
      <c r="G702" t="s">
        <v>278</v>
      </c>
      <c r="H702" t="s">
        <v>30</v>
      </c>
      <c r="I702" t="s">
        <v>18</v>
      </c>
      <c r="J702" s="7">
        <v>43966</v>
      </c>
      <c r="K702" s="7">
        <v>44150</v>
      </c>
      <c r="L702" s="5">
        <v>200</v>
      </c>
      <c r="M702" t="s">
        <v>25</v>
      </c>
      <c r="N702" t="s">
        <v>340</v>
      </c>
      <c r="O702">
        <v>200</v>
      </c>
      <c r="P702" t="s">
        <v>206</v>
      </c>
      <c r="Q702" t="s">
        <v>28</v>
      </c>
      <c r="R702">
        <v>82</v>
      </c>
      <c r="S702">
        <v>1</v>
      </c>
      <c r="T702" t="s">
        <v>81</v>
      </c>
      <c r="U702" t="s">
        <v>61</v>
      </c>
      <c r="V702">
        <v>3.29</v>
      </c>
      <c r="W702">
        <v>4.22</v>
      </c>
      <c r="X702">
        <v>7.8</v>
      </c>
      <c r="Y702">
        <v>8.8</v>
      </c>
      <c r="Z702">
        <v>5.5</v>
      </c>
    </row>
    <row r="703" spans="1:26">
      <c r="A703" t="s">
        <v>1176</v>
      </c>
      <c r="B703">
        <v>73</v>
      </c>
      <c r="C703" t="s">
        <v>71</v>
      </c>
      <c r="D703" t="s">
        <v>42</v>
      </c>
      <c r="E703" t="s">
        <v>259</v>
      </c>
      <c r="F703" t="s">
        <v>277</v>
      </c>
      <c r="G703" t="s">
        <v>288</v>
      </c>
      <c r="H703" t="s">
        <v>32</v>
      </c>
      <c r="I703" t="s">
        <v>16</v>
      </c>
      <c r="J703" s="7">
        <v>45007</v>
      </c>
      <c r="K703" s="7">
        <v>45373</v>
      </c>
      <c r="L703" s="5">
        <v>50</v>
      </c>
      <c r="M703" t="s">
        <v>26</v>
      </c>
      <c r="N703" t="s">
        <v>386</v>
      </c>
      <c r="O703">
        <v>50</v>
      </c>
      <c r="P703" t="s">
        <v>206</v>
      </c>
      <c r="Q703" t="s">
        <v>26</v>
      </c>
      <c r="R703">
        <v>136</v>
      </c>
      <c r="S703">
        <v>1</v>
      </c>
      <c r="T703" t="s">
        <v>83</v>
      </c>
      <c r="U703" t="s">
        <v>61</v>
      </c>
      <c r="V703">
        <v>2.07</v>
      </c>
      <c r="W703">
        <v>2.44</v>
      </c>
      <c r="X703">
        <v>4.7</v>
      </c>
      <c r="Y703">
        <v>18.2</v>
      </c>
      <c r="Z703">
        <v>4</v>
      </c>
    </row>
    <row r="704" spans="1:26">
      <c r="A704" t="s">
        <v>1177</v>
      </c>
      <c r="B704">
        <v>47</v>
      </c>
      <c r="C704" t="s">
        <v>44</v>
      </c>
      <c r="D704" t="s">
        <v>41</v>
      </c>
      <c r="E704" t="s">
        <v>150</v>
      </c>
      <c r="F704" t="s">
        <v>150</v>
      </c>
      <c r="G704" t="s">
        <v>319</v>
      </c>
      <c r="H704" t="s">
        <v>32</v>
      </c>
      <c r="I704" t="s">
        <v>20</v>
      </c>
      <c r="J704" s="7">
        <v>44122</v>
      </c>
      <c r="K704" s="7">
        <v>44610</v>
      </c>
      <c r="L704" s="5">
        <v>100</v>
      </c>
      <c r="M704" t="s">
        <v>27</v>
      </c>
      <c r="N704" t="s">
        <v>450</v>
      </c>
      <c r="O704">
        <v>100</v>
      </c>
      <c r="P704" t="s">
        <v>211</v>
      </c>
      <c r="Q704" t="s">
        <v>150</v>
      </c>
      <c r="R704">
        <v>110</v>
      </c>
      <c r="S704">
        <v>0</v>
      </c>
      <c r="T704" t="s">
        <v>81</v>
      </c>
      <c r="U704" t="s">
        <v>63</v>
      </c>
      <c r="V704">
        <v>1.14</v>
      </c>
      <c r="W704">
        <v>2.57</v>
      </c>
      <c r="X704">
        <v>7.3</v>
      </c>
      <c r="Y704">
        <v>9.5</v>
      </c>
      <c r="Z704">
        <v>13.9</v>
      </c>
    </row>
    <row r="705" spans="1:26">
      <c r="A705" t="s">
        <v>1178</v>
      </c>
      <c r="B705">
        <v>20</v>
      </c>
      <c r="C705" t="s">
        <v>71</v>
      </c>
      <c r="D705" t="s">
        <v>43</v>
      </c>
      <c r="E705" t="s">
        <v>150</v>
      </c>
      <c r="F705" t="s">
        <v>268</v>
      </c>
      <c r="G705" t="s">
        <v>431</v>
      </c>
      <c r="H705" t="s">
        <v>29</v>
      </c>
      <c r="I705" t="s">
        <v>16</v>
      </c>
      <c r="J705" s="7">
        <v>43838</v>
      </c>
      <c r="K705" s="7">
        <v>44355</v>
      </c>
      <c r="L705" s="5">
        <v>50</v>
      </c>
      <c r="M705" t="s">
        <v>27</v>
      </c>
      <c r="N705" t="s">
        <v>590</v>
      </c>
      <c r="O705">
        <v>50</v>
      </c>
      <c r="P705" t="s">
        <v>205</v>
      </c>
      <c r="Q705" t="s">
        <v>26</v>
      </c>
      <c r="R705">
        <v>43</v>
      </c>
      <c r="S705">
        <v>0</v>
      </c>
      <c r="T705" t="s">
        <v>80</v>
      </c>
      <c r="U705" t="s">
        <v>63</v>
      </c>
      <c r="V705">
        <v>2.04</v>
      </c>
      <c r="W705">
        <v>4.54</v>
      </c>
      <c r="X705">
        <v>9.1</v>
      </c>
      <c r="Y705">
        <v>11.4</v>
      </c>
      <c r="Z705">
        <v>6.9</v>
      </c>
    </row>
    <row r="706" spans="1:26">
      <c r="A706" t="s">
        <v>1179</v>
      </c>
      <c r="B706">
        <v>47</v>
      </c>
      <c r="C706" t="s">
        <v>71</v>
      </c>
      <c r="D706" t="s">
        <v>41</v>
      </c>
      <c r="E706" t="s">
        <v>311</v>
      </c>
      <c r="F706" t="s">
        <v>150</v>
      </c>
      <c r="G706" t="s">
        <v>306</v>
      </c>
      <c r="H706" t="s">
        <v>29</v>
      </c>
      <c r="I706" t="s">
        <v>18</v>
      </c>
      <c r="J706" s="7">
        <v>45172</v>
      </c>
      <c r="K706" s="7">
        <v>45507</v>
      </c>
      <c r="L706" s="5">
        <v>50</v>
      </c>
      <c r="M706" t="s">
        <v>150</v>
      </c>
      <c r="N706" t="s">
        <v>1063</v>
      </c>
      <c r="O706">
        <v>50</v>
      </c>
      <c r="P706" t="s">
        <v>206</v>
      </c>
      <c r="Q706" t="s">
        <v>26</v>
      </c>
      <c r="R706">
        <v>41</v>
      </c>
      <c r="S706">
        <v>1</v>
      </c>
      <c r="T706" t="s">
        <v>82</v>
      </c>
      <c r="U706" t="s">
        <v>61</v>
      </c>
      <c r="V706">
        <v>2.65</v>
      </c>
      <c r="W706">
        <v>1.96</v>
      </c>
      <c r="X706">
        <v>7.1</v>
      </c>
      <c r="Y706">
        <v>20.9</v>
      </c>
      <c r="Z706">
        <v>14.4</v>
      </c>
    </row>
    <row r="707" spans="1:26">
      <c r="A707" t="s">
        <v>1180</v>
      </c>
      <c r="B707">
        <v>44</v>
      </c>
      <c r="C707" t="s">
        <v>71</v>
      </c>
      <c r="D707" t="s">
        <v>41</v>
      </c>
      <c r="E707" t="s">
        <v>311</v>
      </c>
      <c r="F707" t="s">
        <v>150</v>
      </c>
      <c r="G707" t="s">
        <v>306</v>
      </c>
      <c r="H707" t="s">
        <v>34</v>
      </c>
      <c r="I707" t="s">
        <v>16</v>
      </c>
      <c r="J707" s="7">
        <v>44916</v>
      </c>
      <c r="K707" s="7">
        <v>45343</v>
      </c>
      <c r="L707" s="5">
        <v>50</v>
      </c>
      <c r="M707" t="s">
        <v>150</v>
      </c>
      <c r="N707" t="s">
        <v>528</v>
      </c>
      <c r="O707">
        <v>50</v>
      </c>
      <c r="P707" t="s">
        <v>211</v>
      </c>
      <c r="Q707" t="s">
        <v>150</v>
      </c>
      <c r="R707">
        <v>37</v>
      </c>
      <c r="S707">
        <v>0</v>
      </c>
      <c r="T707" t="s">
        <v>83</v>
      </c>
      <c r="U707" t="s">
        <v>63</v>
      </c>
      <c r="V707">
        <v>4.3</v>
      </c>
      <c r="W707">
        <v>2.59</v>
      </c>
      <c r="X707">
        <v>2.4</v>
      </c>
      <c r="Y707">
        <v>19.3</v>
      </c>
      <c r="Z707">
        <v>9.1</v>
      </c>
    </row>
    <row r="708" spans="1:26">
      <c r="A708" t="s">
        <v>1181</v>
      </c>
      <c r="B708">
        <v>21</v>
      </c>
      <c r="C708" t="s">
        <v>44</v>
      </c>
      <c r="D708" t="s">
        <v>42</v>
      </c>
      <c r="E708" t="s">
        <v>311</v>
      </c>
      <c r="F708" t="s">
        <v>273</v>
      </c>
      <c r="G708" t="s">
        <v>274</v>
      </c>
      <c r="H708" t="s">
        <v>29</v>
      </c>
      <c r="I708" t="s">
        <v>16</v>
      </c>
      <c r="J708" s="7">
        <v>44069</v>
      </c>
      <c r="K708" s="7">
        <v>44281</v>
      </c>
      <c r="L708" s="5">
        <v>200</v>
      </c>
      <c r="M708" t="s">
        <v>150</v>
      </c>
      <c r="N708" t="s">
        <v>1182</v>
      </c>
      <c r="O708">
        <v>200</v>
      </c>
      <c r="P708" t="s">
        <v>205</v>
      </c>
      <c r="Q708" t="s">
        <v>28</v>
      </c>
      <c r="R708">
        <v>68</v>
      </c>
      <c r="S708">
        <v>0</v>
      </c>
      <c r="T708" t="s">
        <v>81</v>
      </c>
      <c r="U708" t="s">
        <v>61</v>
      </c>
      <c r="V708">
        <v>3.69</v>
      </c>
      <c r="W708">
        <v>2.08</v>
      </c>
      <c r="X708">
        <v>1.7</v>
      </c>
      <c r="Y708">
        <v>23.9</v>
      </c>
      <c r="Z708">
        <v>5.7</v>
      </c>
    </row>
    <row r="709" spans="1:26">
      <c r="A709" t="s">
        <v>1183</v>
      </c>
      <c r="B709">
        <v>66</v>
      </c>
      <c r="C709" t="s">
        <v>44</v>
      </c>
      <c r="D709" t="s">
        <v>42</v>
      </c>
      <c r="E709" t="s">
        <v>255</v>
      </c>
      <c r="F709" t="s">
        <v>150</v>
      </c>
      <c r="G709" t="s">
        <v>362</v>
      </c>
      <c r="H709" t="s">
        <v>32</v>
      </c>
      <c r="I709" t="s">
        <v>18</v>
      </c>
      <c r="J709" s="7">
        <v>43735</v>
      </c>
      <c r="K709" s="7">
        <v>43978</v>
      </c>
      <c r="L709" s="5">
        <v>200</v>
      </c>
      <c r="M709" t="s">
        <v>27</v>
      </c>
      <c r="N709" t="s">
        <v>289</v>
      </c>
      <c r="O709">
        <v>200</v>
      </c>
      <c r="P709" t="s">
        <v>206</v>
      </c>
      <c r="Q709" t="s">
        <v>150</v>
      </c>
      <c r="R709">
        <v>158</v>
      </c>
      <c r="S709">
        <v>1</v>
      </c>
      <c r="T709" t="s">
        <v>80</v>
      </c>
      <c r="U709" t="s">
        <v>63</v>
      </c>
      <c r="V709">
        <v>4.95</v>
      </c>
      <c r="W709">
        <v>4.91</v>
      </c>
      <c r="X709">
        <v>8.1</v>
      </c>
      <c r="Y709">
        <v>17.9</v>
      </c>
      <c r="Z709">
        <v>12.8</v>
      </c>
    </row>
    <row r="710" spans="1:26">
      <c r="A710" t="s">
        <v>1184</v>
      </c>
      <c r="B710">
        <v>58</v>
      </c>
      <c r="C710" t="s">
        <v>70</v>
      </c>
      <c r="D710" t="s">
        <v>43</v>
      </c>
      <c r="E710" t="s">
        <v>311</v>
      </c>
      <c r="F710" t="s">
        <v>150</v>
      </c>
      <c r="G710" t="s">
        <v>431</v>
      </c>
      <c r="H710" t="s">
        <v>29</v>
      </c>
      <c r="I710" t="s">
        <v>16</v>
      </c>
      <c r="J710" s="7">
        <v>44927</v>
      </c>
      <c r="K710" s="7">
        <v>45413</v>
      </c>
      <c r="L710" s="5">
        <v>150</v>
      </c>
      <c r="M710" t="s">
        <v>27</v>
      </c>
      <c r="N710" t="s">
        <v>367</v>
      </c>
      <c r="O710">
        <v>150</v>
      </c>
      <c r="P710" t="s">
        <v>205</v>
      </c>
      <c r="Q710" t="s">
        <v>150</v>
      </c>
      <c r="R710">
        <v>52</v>
      </c>
      <c r="S710">
        <v>0</v>
      </c>
      <c r="T710" t="s">
        <v>81</v>
      </c>
      <c r="U710" t="s">
        <v>61</v>
      </c>
      <c r="V710">
        <v>4.46</v>
      </c>
      <c r="W710">
        <v>2.16</v>
      </c>
      <c r="X710">
        <v>5.2</v>
      </c>
      <c r="Y710">
        <v>17.1</v>
      </c>
      <c r="Z710">
        <v>10</v>
      </c>
    </row>
    <row r="711" spans="1:26">
      <c r="A711" t="s">
        <v>1185</v>
      </c>
      <c r="B711">
        <v>85</v>
      </c>
      <c r="C711" t="s">
        <v>71</v>
      </c>
      <c r="D711" t="s">
        <v>43</v>
      </c>
      <c r="E711" t="s">
        <v>272</v>
      </c>
      <c r="F711" t="s">
        <v>150</v>
      </c>
      <c r="G711" t="s">
        <v>265</v>
      </c>
      <c r="H711" t="s">
        <v>34</v>
      </c>
      <c r="I711" t="s">
        <v>18</v>
      </c>
      <c r="J711" s="7">
        <v>44447</v>
      </c>
      <c r="K711" s="7">
        <v>44781</v>
      </c>
      <c r="L711" s="5">
        <v>150</v>
      </c>
      <c r="M711" t="s">
        <v>28</v>
      </c>
      <c r="N711" t="s">
        <v>664</v>
      </c>
      <c r="O711">
        <v>150</v>
      </c>
      <c r="P711" t="s">
        <v>205</v>
      </c>
      <c r="Q711" t="s">
        <v>27</v>
      </c>
      <c r="R711">
        <v>40</v>
      </c>
      <c r="S711">
        <v>0</v>
      </c>
      <c r="T711" t="s">
        <v>80</v>
      </c>
      <c r="U711" t="s">
        <v>63</v>
      </c>
      <c r="V711">
        <v>2.71</v>
      </c>
      <c r="W711">
        <v>2.32</v>
      </c>
      <c r="X711">
        <v>6.1</v>
      </c>
      <c r="Y711">
        <v>21.3</v>
      </c>
      <c r="Z711">
        <v>6.4</v>
      </c>
    </row>
    <row r="712" spans="1:26">
      <c r="A712" t="s">
        <v>1186</v>
      </c>
      <c r="B712">
        <v>78</v>
      </c>
      <c r="C712" t="s">
        <v>71</v>
      </c>
      <c r="D712" t="s">
        <v>43</v>
      </c>
      <c r="E712" t="s">
        <v>259</v>
      </c>
      <c r="F712" t="s">
        <v>268</v>
      </c>
      <c r="G712" t="s">
        <v>306</v>
      </c>
      <c r="H712" t="s">
        <v>34</v>
      </c>
      <c r="I712" t="s">
        <v>19</v>
      </c>
      <c r="J712" s="7">
        <v>43763</v>
      </c>
      <c r="K712" s="7">
        <v>44252</v>
      </c>
      <c r="L712" s="5">
        <v>100</v>
      </c>
      <c r="M712" t="s">
        <v>28</v>
      </c>
      <c r="N712" t="s">
        <v>347</v>
      </c>
      <c r="O712">
        <v>100</v>
      </c>
      <c r="P712" t="s">
        <v>211</v>
      </c>
      <c r="Q712" t="s">
        <v>28</v>
      </c>
      <c r="R712">
        <v>61</v>
      </c>
      <c r="S712">
        <v>0</v>
      </c>
      <c r="T712" t="s">
        <v>82</v>
      </c>
      <c r="U712" t="s">
        <v>61</v>
      </c>
      <c r="V712">
        <v>4.74</v>
      </c>
      <c r="W712">
        <v>3.76</v>
      </c>
      <c r="X712">
        <v>8.4</v>
      </c>
      <c r="Y712">
        <v>16</v>
      </c>
      <c r="Z712">
        <v>16.3</v>
      </c>
    </row>
    <row r="713" spans="1:26">
      <c r="A713" t="s">
        <v>1187</v>
      </c>
      <c r="B713">
        <v>85</v>
      </c>
      <c r="C713" t="s">
        <v>71</v>
      </c>
      <c r="D713" t="s">
        <v>44</v>
      </c>
      <c r="E713" t="s">
        <v>255</v>
      </c>
      <c r="F713" t="s">
        <v>150</v>
      </c>
      <c r="G713" t="s">
        <v>322</v>
      </c>
      <c r="H713" t="s">
        <v>32</v>
      </c>
      <c r="I713" t="s">
        <v>18</v>
      </c>
      <c r="J713" s="7">
        <v>45154</v>
      </c>
      <c r="K713" s="7">
        <v>45428</v>
      </c>
      <c r="L713" s="5">
        <v>100</v>
      </c>
      <c r="M713" t="s">
        <v>26</v>
      </c>
      <c r="N713" t="s">
        <v>586</v>
      </c>
      <c r="O713">
        <v>100</v>
      </c>
      <c r="P713" t="s">
        <v>211</v>
      </c>
      <c r="Q713" t="s">
        <v>26</v>
      </c>
      <c r="R713">
        <v>69</v>
      </c>
      <c r="S713">
        <v>0</v>
      </c>
      <c r="T713" t="s">
        <v>83</v>
      </c>
      <c r="U713" t="s">
        <v>63</v>
      </c>
      <c r="V713">
        <v>1.06</v>
      </c>
      <c r="W713">
        <v>4.27</v>
      </c>
      <c r="X713">
        <v>1.4</v>
      </c>
      <c r="Y713">
        <v>22</v>
      </c>
      <c r="Z713">
        <v>19.9</v>
      </c>
    </row>
    <row r="714" spans="1:26">
      <c r="A714" t="s">
        <v>1188</v>
      </c>
      <c r="B714">
        <v>69</v>
      </c>
      <c r="C714" t="s">
        <v>44</v>
      </c>
      <c r="D714" t="s">
        <v>39</v>
      </c>
      <c r="E714" t="s">
        <v>259</v>
      </c>
      <c r="F714" t="s">
        <v>150</v>
      </c>
      <c r="G714" t="s">
        <v>362</v>
      </c>
      <c r="H714" t="s">
        <v>34</v>
      </c>
      <c r="I714" t="s">
        <v>19</v>
      </c>
      <c r="J714" s="7">
        <v>43838</v>
      </c>
      <c r="K714" s="7">
        <v>44204</v>
      </c>
      <c r="L714" s="5">
        <v>100</v>
      </c>
      <c r="M714" t="s">
        <v>25</v>
      </c>
      <c r="N714" t="s">
        <v>386</v>
      </c>
      <c r="O714">
        <v>100</v>
      </c>
      <c r="P714" t="s">
        <v>206</v>
      </c>
      <c r="Q714" t="s">
        <v>150</v>
      </c>
      <c r="R714">
        <v>94</v>
      </c>
      <c r="S714">
        <v>1</v>
      </c>
      <c r="T714" t="s">
        <v>83</v>
      </c>
      <c r="U714" t="s">
        <v>61</v>
      </c>
      <c r="V714">
        <v>2.18</v>
      </c>
      <c r="W714">
        <v>1.84</v>
      </c>
      <c r="X714">
        <v>7.9</v>
      </c>
      <c r="Y714">
        <v>10.6</v>
      </c>
      <c r="Z714">
        <v>17.7</v>
      </c>
    </row>
    <row r="715" spans="1:26">
      <c r="A715" t="s">
        <v>1189</v>
      </c>
      <c r="B715">
        <v>23</v>
      </c>
      <c r="C715" t="s">
        <v>70</v>
      </c>
      <c r="D715" t="s">
        <v>39</v>
      </c>
      <c r="E715" t="s">
        <v>272</v>
      </c>
      <c r="F715" t="s">
        <v>264</v>
      </c>
      <c r="G715" t="s">
        <v>362</v>
      </c>
      <c r="H715" t="s">
        <v>29</v>
      </c>
      <c r="I715" t="s">
        <v>18</v>
      </c>
      <c r="J715" s="7">
        <v>44675</v>
      </c>
      <c r="K715" s="7">
        <v>45162</v>
      </c>
      <c r="L715" s="5">
        <v>150</v>
      </c>
      <c r="M715" t="s">
        <v>25</v>
      </c>
      <c r="N715" t="s">
        <v>453</v>
      </c>
      <c r="O715">
        <v>150</v>
      </c>
      <c r="P715" t="s">
        <v>206</v>
      </c>
      <c r="Q715" t="s">
        <v>28</v>
      </c>
      <c r="R715">
        <v>51</v>
      </c>
      <c r="S715">
        <v>1</v>
      </c>
      <c r="T715" t="s">
        <v>82</v>
      </c>
      <c r="U715" t="s">
        <v>61</v>
      </c>
      <c r="V715">
        <v>1.41</v>
      </c>
      <c r="W715">
        <v>1.5</v>
      </c>
      <c r="X715">
        <v>9.8</v>
      </c>
      <c r="Y715">
        <v>18.1</v>
      </c>
      <c r="Z715">
        <v>17.4</v>
      </c>
    </row>
    <row r="716" spans="1:26">
      <c r="A716" t="s">
        <v>1190</v>
      </c>
      <c r="B716">
        <v>57</v>
      </c>
      <c r="C716" t="s">
        <v>70</v>
      </c>
      <c r="D716" t="s">
        <v>39</v>
      </c>
      <c r="E716" t="s">
        <v>150</v>
      </c>
      <c r="F716" t="s">
        <v>150</v>
      </c>
      <c r="G716" t="s">
        <v>349</v>
      </c>
      <c r="H716" t="s">
        <v>29</v>
      </c>
      <c r="I716" t="s">
        <v>18</v>
      </c>
      <c r="J716" s="7">
        <v>43624</v>
      </c>
      <c r="K716" s="7">
        <v>44051</v>
      </c>
      <c r="L716" s="5">
        <v>100</v>
      </c>
      <c r="M716" t="s">
        <v>150</v>
      </c>
      <c r="N716" t="s">
        <v>373</v>
      </c>
      <c r="O716">
        <v>100</v>
      </c>
      <c r="P716" t="s">
        <v>205</v>
      </c>
      <c r="Q716" t="s">
        <v>28</v>
      </c>
      <c r="R716">
        <v>117</v>
      </c>
      <c r="S716">
        <v>0</v>
      </c>
      <c r="T716" t="s">
        <v>83</v>
      </c>
      <c r="U716" t="s">
        <v>61</v>
      </c>
      <c r="V716">
        <v>2.3</v>
      </c>
      <c r="W716">
        <v>3.71</v>
      </c>
      <c r="X716">
        <v>6.3</v>
      </c>
      <c r="Y716">
        <v>16.9</v>
      </c>
      <c r="Z716">
        <v>14.6</v>
      </c>
    </row>
    <row r="717" spans="1:26">
      <c r="A717" t="s">
        <v>1191</v>
      </c>
      <c r="B717">
        <v>25</v>
      </c>
      <c r="C717" t="s">
        <v>70</v>
      </c>
      <c r="D717" t="s">
        <v>41</v>
      </c>
      <c r="E717" t="s">
        <v>259</v>
      </c>
      <c r="F717" t="s">
        <v>150</v>
      </c>
      <c r="G717" t="s">
        <v>278</v>
      </c>
      <c r="H717" t="s">
        <v>32</v>
      </c>
      <c r="I717" t="s">
        <v>18</v>
      </c>
      <c r="J717" s="7">
        <v>45065</v>
      </c>
      <c r="K717" s="7">
        <v>45401</v>
      </c>
      <c r="L717" s="5">
        <v>50</v>
      </c>
      <c r="M717" t="s">
        <v>26</v>
      </c>
      <c r="N717" t="s">
        <v>773</v>
      </c>
      <c r="O717">
        <v>50</v>
      </c>
      <c r="P717" t="s">
        <v>206</v>
      </c>
      <c r="Q717" t="s">
        <v>28</v>
      </c>
      <c r="R717">
        <v>146</v>
      </c>
      <c r="S717">
        <v>1</v>
      </c>
      <c r="T717" t="s">
        <v>80</v>
      </c>
      <c r="U717" t="s">
        <v>61</v>
      </c>
      <c r="V717">
        <v>3.3</v>
      </c>
      <c r="W717">
        <v>2.72</v>
      </c>
      <c r="X717">
        <v>3.5</v>
      </c>
      <c r="Y717">
        <v>19.8</v>
      </c>
      <c r="Z717">
        <v>6.8</v>
      </c>
    </row>
    <row r="718" spans="1:26">
      <c r="A718" t="s">
        <v>1192</v>
      </c>
      <c r="B718">
        <v>33</v>
      </c>
      <c r="C718" t="s">
        <v>44</v>
      </c>
      <c r="D718" t="s">
        <v>42</v>
      </c>
      <c r="E718" t="s">
        <v>255</v>
      </c>
      <c r="F718" t="s">
        <v>150</v>
      </c>
      <c r="G718" t="s">
        <v>265</v>
      </c>
      <c r="H718" t="s">
        <v>29</v>
      </c>
      <c r="I718" t="s">
        <v>18</v>
      </c>
      <c r="J718" s="7">
        <v>44656</v>
      </c>
      <c r="K718" s="7">
        <v>45021</v>
      </c>
      <c r="L718" s="5">
        <v>150</v>
      </c>
      <c r="M718" t="s">
        <v>28</v>
      </c>
      <c r="N718" t="s">
        <v>927</v>
      </c>
      <c r="O718">
        <v>150</v>
      </c>
      <c r="P718" t="s">
        <v>206</v>
      </c>
      <c r="Q718" t="s">
        <v>28</v>
      </c>
      <c r="R718">
        <v>51</v>
      </c>
      <c r="S718">
        <v>1</v>
      </c>
      <c r="T718" t="s">
        <v>80</v>
      </c>
      <c r="U718" t="s">
        <v>61</v>
      </c>
      <c r="V718">
        <v>3.77</v>
      </c>
      <c r="W718">
        <v>1.93</v>
      </c>
      <c r="X718">
        <v>6.6</v>
      </c>
      <c r="Y718">
        <v>19.4</v>
      </c>
      <c r="Z718">
        <v>6.7</v>
      </c>
    </row>
    <row r="719" spans="1:26">
      <c r="A719" t="s">
        <v>1193</v>
      </c>
      <c r="B719">
        <v>59</v>
      </c>
      <c r="C719" t="s">
        <v>70</v>
      </c>
      <c r="D719" t="s">
        <v>42</v>
      </c>
      <c r="E719" t="s">
        <v>272</v>
      </c>
      <c r="F719" t="s">
        <v>150</v>
      </c>
      <c r="G719" t="s">
        <v>261</v>
      </c>
      <c r="H719" t="s">
        <v>29</v>
      </c>
      <c r="I719" t="s">
        <v>16</v>
      </c>
      <c r="J719" s="7">
        <v>43948</v>
      </c>
      <c r="K719" s="7">
        <v>44131</v>
      </c>
      <c r="L719" s="5">
        <v>50</v>
      </c>
      <c r="M719" t="s">
        <v>28</v>
      </c>
      <c r="N719" t="s">
        <v>270</v>
      </c>
      <c r="O719">
        <v>50</v>
      </c>
      <c r="P719" t="s">
        <v>205</v>
      </c>
      <c r="Q719" t="s">
        <v>26</v>
      </c>
      <c r="R719">
        <v>164</v>
      </c>
      <c r="S719">
        <v>0</v>
      </c>
      <c r="T719" t="s">
        <v>83</v>
      </c>
      <c r="U719" t="s">
        <v>63</v>
      </c>
      <c r="V719">
        <v>1.24</v>
      </c>
      <c r="W719">
        <v>1.52</v>
      </c>
      <c r="X719">
        <v>6.5</v>
      </c>
      <c r="Y719">
        <v>21.3</v>
      </c>
      <c r="Z719">
        <v>3.8</v>
      </c>
    </row>
    <row r="720" spans="1:26">
      <c r="A720" t="s">
        <v>1194</v>
      </c>
      <c r="B720">
        <v>66</v>
      </c>
      <c r="C720" t="s">
        <v>70</v>
      </c>
      <c r="D720" t="s">
        <v>43</v>
      </c>
      <c r="E720" t="s">
        <v>272</v>
      </c>
      <c r="F720" t="s">
        <v>264</v>
      </c>
      <c r="G720" t="s">
        <v>306</v>
      </c>
      <c r="H720" t="s">
        <v>29</v>
      </c>
      <c r="I720" t="s">
        <v>20</v>
      </c>
      <c r="J720" s="7">
        <v>43760</v>
      </c>
      <c r="K720" s="7">
        <v>44034</v>
      </c>
      <c r="L720" s="5">
        <v>200</v>
      </c>
      <c r="M720" t="s">
        <v>25</v>
      </c>
      <c r="N720" t="s">
        <v>340</v>
      </c>
      <c r="O720">
        <v>200</v>
      </c>
      <c r="P720" t="s">
        <v>206</v>
      </c>
      <c r="Q720" t="s">
        <v>28</v>
      </c>
      <c r="R720">
        <v>109</v>
      </c>
      <c r="S720">
        <v>1</v>
      </c>
      <c r="T720" t="s">
        <v>80</v>
      </c>
      <c r="U720" t="s">
        <v>63</v>
      </c>
      <c r="V720">
        <v>3.94</v>
      </c>
      <c r="W720">
        <v>2.37</v>
      </c>
      <c r="X720">
        <v>5.3</v>
      </c>
      <c r="Y720">
        <v>22.7</v>
      </c>
      <c r="Z720">
        <v>8.6</v>
      </c>
    </row>
    <row r="721" spans="1:26">
      <c r="A721" t="s">
        <v>1195</v>
      </c>
      <c r="B721">
        <v>33</v>
      </c>
      <c r="C721" t="s">
        <v>44</v>
      </c>
      <c r="D721" t="s">
        <v>44</v>
      </c>
      <c r="E721" t="s">
        <v>150</v>
      </c>
      <c r="F721" t="s">
        <v>264</v>
      </c>
      <c r="G721" t="s">
        <v>265</v>
      </c>
      <c r="H721" t="s">
        <v>30</v>
      </c>
      <c r="I721" t="s">
        <v>20</v>
      </c>
      <c r="J721" s="7">
        <v>45149</v>
      </c>
      <c r="K721" s="7">
        <v>45333</v>
      </c>
      <c r="L721" s="5">
        <v>100</v>
      </c>
      <c r="M721" t="s">
        <v>26</v>
      </c>
      <c r="N721" t="s">
        <v>603</v>
      </c>
      <c r="O721">
        <v>100</v>
      </c>
      <c r="P721" t="s">
        <v>206</v>
      </c>
      <c r="Q721" t="s">
        <v>26</v>
      </c>
      <c r="R721">
        <v>159</v>
      </c>
      <c r="S721">
        <v>1</v>
      </c>
      <c r="T721" t="s">
        <v>78</v>
      </c>
      <c r="U721" t="s">
        <v>63</v>
      </c>
      <c r="V721">
        <v>2.86</v>
      </c>
      <c r="W721">
        <v>1.05</v>
      </c>
      <c r="X721">
        <v>1.7</v>
      </c>
      <c r="Y721">
        <v>10.7</v>
      </c>
      <c r="Z721">
        <v>3.5</v>
      </c>
    </row>
    <row r="722" spans="1:26">
      <c r="A722" t="s">
        <v>1196</v>
      </c>
      <c r="B722">
        <v>48</v>
      </c>
      <c r="C722" t="s">
        <v>70</v>
      </c>
      <c r="D722" t="s">
        <v>39</v>
      </c>
      <c r="E722" t="s">
        <v>150</v>
      </c>
      <c r="F722" t="s">
        <v>277</v>
      </c>
      <c r="G722" t="s">
        <v>294</v>
      </c>
      <c r="H722" t="s">
        <v>32</v>
      </c>
      <c r="I722" t="s">
        <v>16</v>
      </c>
      <c r="J722" s="7">
        <v>44272</v>
      </c>
      <c r="K722" s="7">
        <v>44698</v>
      </c>
      <c r="L722" s="5">
        <v>200</v>
      </c>
      <c r="M722" t="s">
        <v>28</v>
      </c>
      <c r="N722" t="s">
        <v>516</v>
      </c>
      <c r="O722">
        <v>200</v>
      </c>
      <c r="P722" t="s">
        <v>211</v>
      </c>
      <c r="Q722" t="s">
        <v>26</v>
      </c>
      <c r="R722">
        <v>156</v>
      </c>
      <c r="S722">
        <v>0</v>
      </c>
      <c r="T722" t="s">
        <v>82</v>
      </c>
      <c r="U722" t="s">
        <v>61</v>
      </c>
      <c r="V722">
        <v>3.53</v>
      </c>
      <c r="W722">
        <v>2.71</v>
      </c>
      <c r="X722">
        <v>5.9</v>
      </c>
      <c r="Y722">
        <v>9.1</v>
      </c>
      <c r="Z722">
        <v>8</v>
      </c>
    </row>
    <row r="723" spans="1:26">
      <c r="A723" t="s">
        <v>1197</v>
      </c>
      <c r="B723">
        <v>73</v>
      </c>
      <c r="C723" t="s">
        <v>44</v>
      </c>
      <c r="D723" t="s">
        <v>42</v>
      </c>
      <c r="E723" t="s">
        <v>255</v>
      </c>
      <c r="F723" t="s">
        <v>150</v>
      </c>
      <c r="G723" t="s">
        <v>284</v>
      </c>
      <c r="H723" t="s">
        <v>30</v>
      </c>
      <c r="I723" t="s">
        <v>20</v>
      </c>
      <c r="J723" s="7">
        <v>43472</v>
      </c>
      <c r="K723" s="7">
        <v>43653</v>
      </c>
      <c r="L723" s="5">
        <v>100</v>
      </c>
      <c r="M723" t="s">
        <v>27</v>
      </c>
      <c r="N723" t="s">
        <v>488</v>
      </c>
      <c r="O723">
        <v>100</v>
      </c>
      <c r="P723" t="s">
        <v>206</v>
      </c>
      <c r="Q723" t="s">
        <v>28</v>
      </c>
      <c r="R723">
        <v>128</v>
      </c>
      <c r="S723">
        <v>1</v>
      </c>
      <c r="T723" t="s">
        <v>78</v>
      </c>
      <c r="U723" t="s">
        <v>61</v>
      </c>
      <c r="V723">
        <v>3.66</v>
      </c>
      <c r="W723">
        <v>4.86</v>
      </c>
      <c r="X723">
        <v>1.5</v>
      </c>
      <c r="Y723">
        <v>22</v>
      </c>
      <c r="Z723">
        <v>12.8</v>
      </c>
    </row>
    <row r="724" spans="1:26">
      <c r="A724" t="s">
        <v>1198</v>
      </c>
      <c r="B724">
        <v>27</v>
      </c>
      <c r="C724" t="s">
        <v>70</v>
      </c>
      <c r="D724" t="s">
        <v>41</v>
      </c>
      <c r="E724" t="s">
        <v>311</v>
      </c>
      <c r="F724" t="s">
        <v>150</v>
      </c>
      <c r="G724" t="s">
        <v>278</v>
      </c>
      <c r="H724" t="s">
        <v>32</v>
      </c>
      <c r="I724" t="s">
        <v>19</v>
      </c>
      <c r="J724" s="7">
        <v>44223</v>
      </c>
      <c r="K724" s="7">
        <v>44588</v>
      </c>
      <c r="L724" s="5">
        <v>100</v>
      </c>
      <c r="M724" t="s">
        <v>25</v>
      </c>
      <c r="N724" t="s">
        <v>938</v>
      </c>
      <c r="O724">
        <v>100</v>
      </c>
      <c r="P724" t="s">
        <v>205</v>
      </c>
      <c r="Q724" t="s">
        <v>27</v>
      </c>
      <c r="R724">
        <v>138</v>
      </c>
      <c r="S724">
        <v>0</v>
      </c>
      <c r="T724" t="s">
        <v>80</v>
      </c>
      <c r="U724" t="s">
        <v>63</v>
      </c>
      <c r="V724">
        <v>3.26</v>
      </c>
      <c r="W724">
        <v>3</v>
      </c>
      <c r="X724">
        <v>1.6</v>
      </c>
      <c r="Y724">
        <v>7.6</v>
      </c>
      <c r="Z724">
        <v>13.2</v>
      </c>
    </row>
    <row r="725" spans="1:26">
      <c r="A725" t="s">
        <v>1199</v>
      </c>
      <c r="B725">
        <v>44</v>
      </c>
      <c r="C725" t="s">
        <v>44</v>
      </c>
      <c r="D725" t="s">
        <v>39</v>
      </c>
      <c r="E725" t="s">
        <v>150</v>
      </c>
      <c r="F725" t="s">
        <v>150</v>
      </c>
      <c r="G725" t="s">
        <v>291</v>
      </c>
      <c r="H725" t="s">
        <v>29</v>
      </c>
      <c r="I725" t="s">
        <v>18</v>
      </c>
      <c r="J725" s="7">
        <v>44440</v>
      </c>
      <c r="K725" s="7">
        <v>44986</v>
      </c>
      <c r="L725" s="5">
        <v>200</v>
      </c>
      <c r="M725" t="s">
        <v>150</v>
      </c>
      <c r="N725" t="s">
        <v>282</v>
      </c>
      <c r="O725">
        <v>200</v>
      </c>
      <c r="P725" t="s">
        <v>206</v>
      </c>
      <c r="Q725" t="s">
        <v>27</v>
      </c>
      <c r="R725">
        <v>170</v>
      </c>
      <c r="S725">
        <v>1</v>
      </c>
      <c r="T725" t="s">
        <v>80</v>
      </c>
      <c r="U725" t="s">
        <v>63</v>
      </c>
      <c r="V725">
        <v>2.36</v>
      </c>
      <c r="W725">
        <v>4.67</v>
      </c>
      <c r="X725">
        <v>4.7</v>
      </c>
      <c r="Y725">
        <v>8.6</v>
      </c>
      <c r="Z725">
        <v>15.2</v>
      </c>
    </row>
    <row r="726" spans="1:26">
      <c r="A726" t="s">
        <v>1200</v>
      </c>
      <c r="B726">
        <v>70</v>
      </c>
      <c r="C726" t="s">
        <v>71</v>
      </c>
      <c r="D726" t="s">
        <v>41</v>
      </c>
      <c r="E726" t="s">
        <v>259</v>
      </c>
      <c r="F726" t="s">
        <v>150</v>
      </c>
      <c r="G726" t="s">
        <v>306</v>
      </c>
      <c r="H726" t="s">
        <v>29</v>
      </c>
      <c r="I726" t="s">
        <v>16</v>
      </c>
      <c r="J726" s="7">
        <v>43781</v>
      </c>
      <c r="K726" s="7">
        <v>44177</v>
      </c>
      <c r="L726" s="5">
        <v>50</v>
      </c>
      <c r="M726" t="s">
        <v>28</v>
      </c>
      <c r="N726" t="s">
        <v>590</v>
      </c>
      <c r="O726">
        <v>50</v>
      </c>
      <c r="P726" t="s">
        <v>205</v>
      </c>
      <c r="Q726" t="s">
        <v>28</v>
      </c>
      <c r="R726">
        <v>104</v>
      </c>
      <c r="S726">
        <v>0</v>
      </c>
      <c r="T726" t="s">
        <v>81</v>
      </c>
      <c r="U726" t="s">
        <v>63</v>
      </c>
      <c r="V726">
        <v>2.17</v>
      </c>
      <c r="W726">
        <v>3.1</v>
      </c>
      <c r="X726">
        <v>7.3</v>
      </c>
      <c r="Y726">
        <v>22.2</v>
      </c>
      <c r="Z726">
        <v>16.5</v>
      </c>
    </row>
    <row r="727" spans="1:26">
      <c r="A727" t="s">
        <v>1201</v>
      </c>
      <c r="B727">
        <v>20</v>
      </c>
      <c r="C727" t="s">
        <v>44</v>
      </c>
      <c r="D727" t="s">
        <v>43</v>
      </c>
      <c r="E727" t="s">
        <v>150</v>
      </c>
      <c r="F727" t="s">
        <v>150</v>
      </c>
      <c r="G727" t="s">
        <v>288</v>
      </c>
      <c r="H727" t="s">
        <v>34</v>
      </c>
      <c r="I727" t="s">
        <v>20</v>
      </c>
      <c r="J727" s="7">
        <v>45225</v>
      </c>
      <c r="K727" s="7">
        <v>45591</v>
      </c>
      <c r="L727" s="5">
        <v>150</v>
      </c>
      <c r="M727" t="s">
        <v>25</v>
      </c>
      <c r="N727" t="s">
        <v>743</v>
      </c>
      <c r="O727">
        <v>150</v>
      </c>
      <c r="P727" t="s">
        <v>211</v>
      </c>
      <c r="Q727" t="s">
        <v>26</v>
      </c>
      <c r="R727">
        <v>167</v>
      </c>
      <c r="S727">
        <v>0</v>
      </c>
      <c r="T727" t="s">
        <v>81</v>
      </c>
      <c r="U727" t="s">
        <v>61</v>
      </c>
      <c r="V727">
        <v>3.71</v>
      </c>
      <c r="W727">
        <v>3.72</v>
      </c>
      <c r="X727">
        <v>9.5</v>
      </c>
      <c r="Y727">
        <v>11.3</v>
      </c>
      <c r="Z727">
        <v>3</v>
      </c>
    </row>
    <row r="728" spans="1:26">
      <c r="A728" t="s">
        <v>1202</v>
      </c>
      <c r="B728">
        <v>49</v>
      </c>
      <c r="C728" t="s">
        <v>71</v>
      </c>
      <c r="D728" t="s">
        <v>39</v>
      </c>
      <c r="E728" t="s">
        <v>255</v>
      </c>
      <c r="F728" t="s">
        <v>277</v>
      </c>
      <c r="G728" t="s">
        <v>349</v>
      </c>
      <c r="H728" t="s">
        <v>32</v>
      </c>
      <c r="I728" t="s">
        <v>18</v>
      </c>
      <c r="J728" s="7">
        <v>43925</v>
      </c>
      <c r="K728" s="7">
        <v>44169</v>
      </c>
      <c r="L728" s="5">
        <v>100</v>
      </c>
      <c r="M728" t="s">
        <v>26</v>
      </c>
      <c r="N728" t="s">
        <v>336</v>
      </c>
      <c r="O728">
        <v>100</v>
      </c>
      <c r="P728" t="s">
        <v>205</v>
      </c>
      <c r="Q728" t="s">
        <v>25</v>
      </c>
      <c r="R728">
        <v>44</v>
      </c>
      <c r="S728">
        <v>0</v>
      </c>
      <c r="T728" t="s">
        <v>82</v>
      </c>
      <c r="U728" t="s">
        <v>63</v>
      </c>
      <c r="V728">
        <v>2.09</v>
      </c>
      <c r="W728">
        <v>1.87</v>
      </c>
      <c r="X728">
        <v>7</v>
      </c>
      <c r="Y728">
        <v>17.4</v>
      </c>
      <c r="Z728">
        <v>13.1</v>
      </c>
    </row>
    <row r="729" spans="1:26">
      <c r="A729" t="s">
        <v>1203</v>
      </c>
      <c r="B729">
        <v>78</v>
      </c>
      <c r="C729" t="s">
        <v>71</v>
      </c>
      <c r="D729" t="s">
        <v>43</v>
      </c>
      <c r="E729" t="s">
        <v>311</v>
      </c>
      <c r="F729" t="s">
        <v>260</v>
      </c>
      <c r="G729" t="s">
        <v>312</v>
      </c>
      <c r="H729" t="s">
        <v>34</v>
      </c>
      <c r="I729" t="s">
        <v>18</v>
      </c>
      <c r="J729" s="7">
        <v>43969</v>
      </c>
      <c r="K729" s="7">
        <v>44487</v>
      </c>
      <c r="L729" s="5">
        <v>100</v>
      </c>
      <c r="M729" t="s">
        <v>25</v>
      </c>
      <c r="N729" t="s">
        <v>473</v>
      </c>
      <c r="O729">
        <v>100</v>
      </c>
      <c r="P729" t="s">
        <v>205</v>
      </c>
      <c r="Q729" t="s">
        <v>25</v>
      </c>
      <c r="R729">
        <v>122</v>
      </c>
      <c r="S729">
        <v>0</v>
      </c>
      <c r="T729" t="s">
        <v>78</v>
      </c>
      <c r="U729" t="s">
        <v>63</v>
      </c>
      <c r="V729">
        <v>1.06</v>
      </c>
      <c r="W729">
        <v>3.92</v>
      </c>
      <c r="X729">
        <v>3.9</v>
      </c>
      <c r="Y729">
        <v>18</v>
      </c>
      <c r="Z729">
        <v>12.5</v>
      </c>
    </row>
    <row r="730" spans="1:26">
      <c r="A730" t="s">
        <v>1204</v>
      </c>
      <c r="B730">
        <v>20</v>
      </c>
      <c r="C730" t="s">
        <v>70</v>
      </c>
      <c r="D730" t="s">
        <v>42</v>
      </c>
      <c r="E730" t="s">
        <v>150</v>
      </c>
      <c r="F730" t="s">
        <v>150</v>
      </c>
      <c r="G730" t="s">
        <v>284</v>
      </c>
      <c r="H730" t="s">
        <v>30</v>
      </c>
      <c r="I730" t="s">
        <v>20</v>
      </c>
      <c r="J730" s="7">
        <v>44214</v>
      </c>
      <c r="K730" s="7">
        <v>44760</v>
      </c>
      <c r="L730" s="5">
        <v>100</v>
      </c>
      <c r="M730" t="s">
        <v>25</v>
      </c>
      <c r="N730" t="s">
        <v>1205</v>
      </c>
      <c r="O730">
        <v>100</v>
      </c>
      <c r="P730" t="s">
        <v>205</v>
      </c>
      <c r="Q730" t="s">
        <v>26</v>
      </c>
      <c r="R730">
        <v>141</v>
      </c>
      <c r="S730">
        <v>0</v>
      </c>
      <c r="T730" t="s">
        <v>81</v>
      </c>
      <c r="U730" t="s">
        <v>63</v>
      </c>
      <c r="V730">
        <v>2.37</v>
      </c>
      <c r="W730">
        <v>1.54</v>
      </c>
      <c r="X730">
        <v>1.8</v>
      </c>
      <c r="Y730">
        <v>21</v>
      </c>
      <c r="Z730">
        <v>18.6</v>
      </c>
    </row>
    <row r="731" spans="1:26">
      <c r="A731" t="s">
        <v>1206</v>
      </c>
      <c r="B731">
        <v>66</v>
      </c>
      <c r="C731" t="s">
        <v>44</v>
      </c>
      <c r="D731" t="s">
        <v>43</v>
      </c>
      <c r="E731" t="s">
        <v>150</v>
      </c>
      <c r="F731" t="s">
        <v>277</v>
      </c>
      <c r="G731" t="s">
        <v>278</v>
      </c>
      <c r="H731" t="s">
        <v>29</v>
      </c>
      <c r="I731" t="s">
        <v>20</v>
      </c>
      <c r="J731" s="7">
        <v>44614</v>
      </c>
      <c r="K731" s="7">
        <v>45099</v>
      </c>
      <c r="L731" s="5">
        <v>100</v>
      </c>
      <c r="M731" t="s">
        <v>25</v>
      </c>
      <c r="N731" t="s">
        <v>467</v>
      </c>
      <c r="O731">
        <v>100</v>
      </c>
      <c r="P731" t="s">
        <v>205</v>
      </c>
      <c r="Q731" t="s">
        <v>150</v>
      </c>
      <c r="R731">
        <v>60</v>
      </c>
      <c r="S731">
        <v>0</v>
      </c>
      <c r="T731" t="s">
        <v>81</v>
      </c>
      <c r="U731" t="s">
        <v>63</v>
      </c>
      <c r="V731">
        <v>3.6</v>
      </c>
      <c r="W731">
        <v>1.41</v>
      </c>
      <c r="X731">
        <v>4.6</v>
      </c>
      <c r="Y731">
        <v>19.1</v>
      </c>
      <c r="Z731">
        <v>16.3</v>
      </c>
    </row>
    <row r="732" spans="1:26">
      <c r="A732" t="s">
        <v>1207</v>
      </c>
      <c r="B732">
        <v>52</v>
      </c>
      <c r="C732" t="s">
        <v>70</v>
      </c>
      <c r="D732" t="s">
        <v>44</v>
      </c>
      <c r="E732" t="s">
        <v>259</v>
      </c>
      <c r="F732" t="s">
        <v>264</v>
      </c>
      <c r="G732" t="s">
        <v>349</v>
      </c>
      <c r="H732" t="s">
        <v>32</v>
      </c>
      <c r="I732" t="s">
        <v>16</v>
      </c>
      <c r="J732" s="7">
        <v>43540</v>
      </c>
      <c r="K732" s="7">
        <v>44090</v>
      </c>
      <c r="L732" s="5">
        <v>100</v>
      </c>
      <c r="M732" t="s">
        <v>28</v>
      </c>
      <c r="N732" t="s">
        <v>352</v>
      </c>
      <c r="O732">
        <v>100</v>
      </c>
      <c r="P732" t="s">
        <v>205</v>
      </c>
      <c r="Q732" t="s">
        <v>27</v>
      </c>
      <c r="R732">
        <v>130</v>
      </c>
      <c r="S732">
        <v>0</v>
      </c>
      <c r="T732" t="s">
        <v>82</v>
      </c>
      <c r="U732" t="s">
        <v>63</v>
      </c>
      <c r="V732">
        <v>1.47</v>
      </c>
      <c r="W732">
        <v>1</v>
      </c>
      <c r="X732">
        <v>7.4</v>
      </c>
      <c r="Y732">
        <v>12.4</v>
      </c>
      <c r="Z732">
        <v>7.3</v>
      </c>
    </row>
    <row r="733" spans="1:26">
      <c r="A733" t="s">
        <v>1208</v>
      </c>
      <c r="B733">
        <v>25</v>
      </c>
      <c r="C733" t="s">
        <v>71</v>
      </c>
      <c r="D733" t="s">
        <v>43</v>
      </c>
      <c r="E733" t="s">
        <v>255</v>
      </c>
      <c r="F733" t="s">
        <v>277</v>
      </c>
      <c r="G733" t="s">
        <v>278</v>
      </c>
      <c r="H733" t="s">
        <v>32</v>
      </c>
      <c r="I733" t="s">
        <v>16</v>
      </c>
      <c r="J733" s="7">
        <v>43509</v>
      </c>
      <c r="K733" s="7">
        <v>43934</v>
      </c>
      <c r="L733" s="5">
        <v>50</v>
      </c>
      <c r="M733" t="s">
        <v>150</v>
      </c>
      <c r="N733" t="s">
        <v>388</v>
      </c>
      <c r="O733">
        <v>50</v>
      </c>
      <c r="P733" t="s">
        <v>205</v>
      </c>
      <c r="Q733" t="s">
        <v>28</v>
      </c>
      <c r="R733">
        <v>112</v>
      </c>
      <c r="S733">
        <v>0</v>
      </c>
      <c r="T733" t="s">
        <v>83</v>
      </c>
      <c r="U733" t="s">
        <v>61</v>
      </c>
      <c r="V733">
        <v>1.05</v>
      </c>
      <c r="W733">
        <v>3.16</v>
      </c>
      <c r="X733">
        <v>8.7</v>
      </c>
      <c r="Y733">
        <v>23.2</v>
      </c>
      <c r="Z733">
        <v>12.6</v>
      </c>
    </row>
    <row r="734" spans="1:26">
      <c r="A734" t="s">
        <v>1209</v>
      </c>
      <c r="B734">
        <v>70</v>
      </c>
      <c r="C734" t="s">
        <v>71</v>
      </c>
      <c r="D734" t="s">
        <v>44</v>
      </c>
      <c r="E734" t="s">
        <v>259</v>
      </c>
      <c r="F734" t="s">
        <v>150</v>
      </c>
      <c r="G734" t="s">
        <v>431</v>
      </c>
      <c r="H734" t="s">
        <v>34</v>
      </c>
      <c r="I734" t="s">
        <v>18</v>
      </c>
      <c r="J734" s="7">
        <v>43811</v>
      </c>
      <c r="K734" s="7">
        <v>44086</v>
      </c>
      <c r="L734" s="5">
        <v>150</v>
      </c>
      <c r="M734" t="s">
        <v>28</v>
      </c>
      <c r="N734" t="s">
        <v>398</v>
      </c>
      <c r="O734">
        <v>150</v>
      </c>
      <c r="P734" t="s">
        <v>211</v>
      </c>
      <c r="Q734" t="s">
        <v>25</v>
      </c>
      <c r="R734">
        <v>102</v>
      </c>
      <c r="S734">
        <v>0</v>
      </c>
      <c r="T734" t="s">
        <v>82</v>
      </c>
      <c r="U734" t="s">
        <v>63</v>
      </c>
      <c r="V734">
        <v>3.06</v>
      </c>
      <c r="W734">
        <v>1.34</v>
      </c>
      <c r="X734">
        <v>5.9</v>
      </c>
      <c r="Y734">
        <v>12.8</v>
      </c>
      <c r="Z734">
        <v>13.3</v>
      </c>
    </row>
    <row r="735" spans="1:26">
      <c r="A735" t="s">
        <v>1210</v>
      </c>
      <c r="B735">
        <v>25</v>
      </c>
      <c r="C735" t="s">
        <v>44</v>
      </c>
      <c r="D735" t="s">
        <v>43</v>
      </c>
      <c r="E735" t="s">
        <v>259</v>
      </c>
      <c r="F735" t="s">
        <v>150</v>
      </c>
      <c r="G735" t="s">
        <v>261</v>
      </c>
      <c r="H735" t="s">
        <v>30</v>
      </c>
      <c r="I735" t="s">
        <v>18</v>
      </c>
      <c r="J735" s="7">
        <v>44214</v>
      </c>
      <c r="K735" s="7">
        <v>44760</v>
      </c>
      <c r="L735" s="5">
        <v>50</v>
      </c>
      <c r="M735" t="s">
        <v>27</v>
      </c>
      <c r="N735" t="s">
        <v>1095</v>
      </c>
      <c r="O735">
        <v>50</v>
      </c>
      <c r="P735" t="s">
        <v>206</v>
      </c>
      <c r="Q735" t="s">
        <v>25</v>
      </c>
      <c r="R735">
        <v>47</v>
      </c>
      <c r="S735">
        <v>1</v>
      </c>
      <c r="T735" t="s">
        <v>81</v>
      </c>
      <c r="U735" t="s">
        <v>63</v>
      </c>
      <c r="V735">
        <v>2.55</v>
      </c>
      <c r="W735">
        <v>1.96</v>
      </c>
      <c r="X735">
        <v>1.9</v>
      </c>
      <c r="Y735">
        <v>11.7</v>
      </c>
      <c r="Z735">
        <v>4.6</v>
      </c>
    </row>
    <row r="736" spans="1:26">
      <c r="A736" t="s">
        <v>1211</v>
      </c>
      <c r="B736">
        <v>68</v>
      </c>
      <c r="C736" t="s">
        <v>44</v>
      </c>
      <c r="D736" t="s">
        <v>44</v>
      </c>
      <c r="E736" t="s">
        <v>150</v>
      </c>
      <c r="F736" t="s">
        <v>273</v>
      </c>
      <c r="G736" t="s">
        <v>278</v>
      </c>
      <c r="H736" t="s">
        <v>30</v>
      </c>
      <c r="I736" t="s">
        <v>20</v>
      </c>
      <c r="J736" s="7">
        <v>43866</v>
      </c>
      <c r="K736" s="7">
        <v>44201</v>
      </c>
      <c r="L736" s="5">
        <v>150</v>
      </c>
      <c r="M736" t="s">
        <v>26</v>
      </c>
      <c r="N736" t="s">
        <v>586</v>
      </c>
      <c r="O736">
        <v>150</v>
      </c>
      <c r="P736" t="s">
        <v>206</v>
      </c>
      <c r="Q736" t="s">
        <v>27</v>
      </c>
      <c r="R736">
        <v>169</v>
      </c>
      <c r="S736">
        <v>1</v>
      </c>
      <c r="T736" t="s">
        <v>83</v>
      </c>
      <c r="U736" t="s">
        <v>61</v>
      </c>
      <c r="V736">
        <v>1.71</v>
      </c>
      <c r="W736">
        <v>4.95</v>
      </c>
      <c r="X736">
        <v>5</v>
      </c>
      <c r="Y736">
        <v>15.6</v>
      </c>
      <c r="Z736">
        <v>17.9</v>
      </c>
    </row>
    <row r="737" spans="1:26">
      <c r="A737" t="s">
        <v>1212</v>
      </c>
      <c r="B737">
        <v>19</v>
      </c>
      <c r="C737" t="s">
        <v>71</v>
      </c>
      <c r="D737" t="s">
        <v>41</v>
      </c>
      <c r="E737" t="s">
        <v>311</v>
      </c>
      <c r="F737" t="s">
        <v>273</v>
      </c>
      <c r="G737" t="s">
        <v>312</v>
      </c>
      <c r="H737" t="s">
        <v>34</v>
      </c>
      <c r="I737" t="s">
        <v>16</v>
      </c>
      <c r="J737" s="7">
        <v>44020</v>
      </c>
      <c r="K737" s="7">
        <v>44447</v>
      </c>
      <c r="L737" s="5">
        <v>150</v>
      </c>
      <c r="M737" t="s">
        <v>27</v>
      </c>
      <c r="N737" t="s">
        <v>880</v>
      </c>
      <c r="O737">
        <v>150</v>
      </c>
      <c r="P737" t="s">
        <v>205</v>
      </c>
      <c r="Q737" t="s">
        <v>25</v>
      </c>
      <c r="R737">
        <v>118</v>
      </c>
      <c r="S737">
        <v>0</v>
      </c>
      <c r="T737" t="s">
        <v>82</v>
      </c>
      <c r="U737" t="s">
        <v>63</v>
      </c>
      <c r="V737">
        <v>4.98</v>
      </c>
      <c r="W737">
        <v>3.33</v>
      </c>
      <c r="X737">
        <v>8.3</v>
      </c>
      <c r="Y737">
        <v>11.9</v>
      </c>
      <c r="Z737">
        <v>8.2</v>
      </c>
    </row>
    <row r="738" spans="1:26">
      <c r="A738" t="s">
        <v>1213</v>
      </c>
      <c r="B738">
        <v>42</v>
      </c>
      <c r="C738" t="s">
        <v>71</v>
      </c>
      <c r="D738" t="s">
        <v>43</v>
      </c>
      <c r="E738" t="s">
        <v>311</v>
      </c>
      <c r="F738" t="s">
        <v>150</v>
      </c>
      <c r="G738" t="s">
        <v>319</v>
      </c>
      <c r="H738" t="s">
        <v>32</v>
      </c>
      <c r="I738" t="s">
        <v>19</v>
      </c>
      <c r="J738" s="7">
        <v>44471</v>
      </c>
      <c r="K738" s="7">
        <v>44987</v>
      </c>
      <c r="L738" s="5">
        <v>100</v>
      </c>
      <c r="M738" t="s">
        <v>150</v>
      </c>
      <c r="N738" t="s">
        <v>469</v>
      </c>
      <c r="O738">
        <v>100</v>
      </c>
      <c r="P738" t="s">
        <v>211</v>
      </c>
      <c r="Q738" t="s">
        <v>25</v>
      </c>
      <c r="R738">
        <v>41</v>
      </c>
      <c r="S738">
        <v>0</v>
      </c>
      <c r="T738" t="s">
        <v>83</v>
      </c>
      <c r="U738" t="s">
        <v>61</v>
      </c>
      <c r="V738">
        <v>2.61</v>
      </c>
      <c r="W738">
        <v>3.69</v>
      </c>
      <c r="X738">
        <v>7.1</v>
      </c>
      <c r="Y738">
        <v>11.7</v>
      </c>
      <c r="Z738">
        <v>5.3</v>
      </c>
    </row>
    <row r="739" spans="1:26">
      <c r="A739" t="s">
        <v>1214</v>
      </c>
      <c r="B739">
        <v>53</v>
      </c>
      <c r="C739" t="s">
        <v>70</v>
      </c>
      <c r="D739" t="s">
        <v>42</v>
      </c>
      <c r="E739" t="s">
        <v>259</v>
      </c>
      <c r="F739" t="s">
        <v>264</v>
      </c>
      <c r="G739" t="s">
        <v>284</v>
      </c>
      <c r="H739" t="s">
        <v>34</v>
      </c>
      <c r="I739" t="s">
        <v>20</v>
      </c>
      <c r="J739" s="7">
        <v>44962</v>
      </c>
      <c r="K739" s="7">
        <v>45356</v>
      </c>
      <c r="L739" s="5">
        <v>200</v>
      </c>
      <c r="M739" t="s">
        <v>25</v>
      </c>
      <c r="N739" t="s">
        <v>384</v>
      </c>
      <c r="O739">
        <v>200</v>
      </c>
      <c r="P739" t="s">
        <v>206</v>
      </c>
      <c r="Q739" t="s">
        <v>26</v>
      </c>
      <c r="R739">
        <v>53</v>
      </c>
      <c r="S739">
        <v>1</v>
      </c>
      <c r="T739" t="s">
        <v>82</v>
      </c>
      <c r="U739" t="s">
        <v>63</v>
      </c>
      <c r="V739">
        <v>3.53</v>
      </c>
      <c r="W739">
        <v>1.51</v>
      </c>
      <c r="X739">
        <v>6.2</v>
      </c>
      <c r="Y739">
        <v>18.5</v>
      </c>
      <c r="Z739">
        <v>14.9</v>
      </c>
    </row>
    <row r="740" spans="1:26">
      <c r="A740" t="s">
        <v>1215</v>
      </c>
      <c r="B740">
        <v>31</v>
      </c>
      <c r="C740" t="s">
        <v>44</v>
      </c>
      <c r="D740" t="s">
        <v>41</v>
      </c>
      <c r="E740" t="s">
        <v>150</v>
      </c>
      <c r="F740" t="s">
        <v>150</v>
      </c>
      <c r="G740" t="s">
        <v>261</v>
      </c>
      <c r="H740" t="s">
        <v>30</v>
      </c>
      <c r="I740" t="s">
        <v>19</v>
      </c>
      <c r="J740" s="7">
        <v>44917</v>
      </c>
      <c r="K740" s="7">
        <v>45373</v>
      </c>
      <c r="L740" s="5">
        <v>200</v>
      </c>
      <c r="M740" t="s">
        <v>27</v>
      </c>
      <c r="N740" t="s">
        <v>531</v>
      </c>
      <c r="O740">
        <v>200</v>
      </c>
      <c r="P740" t="s">
        <v>205</v>
      </c>
      <c r="Q740" t="s">
        <v>26</v>
      </c>
      <c r="R740">
        <v>59</v>
      </c>
      <c r="S740">
        <v>0</v>
      </c>
      <c r="T740" t="s">
        <v>80</v>
      </c>
      <c r="U740" t="s">
        <v>63</v>
      </c>
      <c r="V740">
        <v>4.01</v>
      </c>
      <c r="W740">
        <v>4.49</v>
      </c>
      <c r="X740">
        <v>5.5</v>
      </c>
      <c r="Y740">
        <v>19.1</v>
      </c>
      <c r="Z740">
        <v>13.5</v>
      </c>
    </row>
    <row r="741" spans="1:26">
      <c r="A741" t="s">
        <v>1216</v>
      </c>
      <c r="B741">
        <v>58</v>
      </c>
      <c r="C741" t="s">
        <v>70</v>
      </c>
      <c r="D741" t="s">
        <v>42</v>
      </c>
      <c r="E741" t="s">
        <v>150</v>
      </c>
      <c r="F741" t="s">
        <v>260</v>
      </c>
      <c r="G741" t="s">
        <v>312</v>
      </c>
      <c r="H741" t="s">
        <v>34</v>
      </c>
      <c r="I741" t="s">
        <v>20</v>
      </c>
      <c r="J741" s="7">
        <v>44869</v>
      </c>
      <c r="K741" s="7">
        <v>45264</v>
      </c>
      <c r="L741" s="5">
        <v>200</v>
      </c>
      <c r="M741" t="s">
        <v>28</v>
      </c>
      <c r="N741" t="s">
        <v>408</v>
      </c>
      <c r="O741">
        <v>200</v>
      </c>
      <c r="P741" t="s">
        <v>211</v>
      </c>
      <c r="Q741" t="s">
        <v>25</v>
      </c>
      <c r="R741">
        <v>67</v>
      </c>
      <c r="S741">
        <v>0</v>
      </c>
      <c r="T741" t="s">
        <v>83</v>
      </c>
      <c r="U741" t="s">
        <v>61</v>
      </c>
      <c r="V741">
        <v>1.75</v>
      </c>
      <c r="W741">
        <v>1.1</v>
      </c>
      <c r="X741">
        <v>3.6</v>
      </c>
      <c r="Y741">
        <v>14</v>
      </c>
      <c r="Z741">
        <v>13.5</v>
      </c>
    </row>
    <row r="742" spans="1:26">
      <c r="A742" t="s">
        <v>1217</v>
      </c>
      <c r="B742">
        <v>18</v>
      </c>
      <c r="C742" t="s">
        <v>70</v>
      </c>
      <c r="D742" t="s">
        <v>44</v>
      </c>
      <c r="E742" t="s">
        <v>259</v>
      </c>
      <c r="F742" t="s">
        <v>273</v>
      </c>
      <c r="G742" t="s">
        <v>288</v>
      </c>
      <c r="H742" t="s">
        <v>30</v>
      </c>
      <c r="I742" t="s">
        <v>19</v>
      </c>
      <c r="J742" s="7">
        <v>44506</v>
      </c>
      <c r="K742" s="7">
        <v>44718</v>
      </c>
      <c r="L742" s="5">
        <v>200</v>
      </c>
      <c r="M742" t="s">
        <v>150</v>
      </c>
      <c r="N742" t="s">
        <v>718</v>
      </c>
      <c r="O742">
        <v>200</v>
      </c>
      <c r="P742" t="s">
        <v>211</v>
      </c>
      <c r="Q742" t="s">
        <v>28</v>
      </c>
      <c r="R742">
        <v>97</v>
      </c>
      <c r="S742">
        <v>0</v>
      </c>
      <c r="T742" t="s">
        <v>82</v>
      </c>
      <c r="U742" t="s">
        <v>63</v>
      </c>
      <c r="V742">
        <v>4.4</v>
      </c>
      <c r="W742">
        <v>1.78</v>
      </c>
      <c r="X742">
        <v>2.1</v>
      </c>
      <c r="Y742">
        <v>23.3</v>
      </c>
      <c r="Z742">
        <v>4.8</v>
      </c>
    </row>
    <row r="743" spans="1:26">
      <c r="A743" t="s">
        <v>1218</v>
      </c>
      <c r="B743">
        <v>27</v>
      </c>
      <c r="C743" t="s">
        <v>44</v>
      </c>
      <c r="D743" t="s">
        <v>41</v>
      </c>
      <c r="E743" t="s">
        <v>311</v>
      </c>
      <c r="F743" t="s">
        <v>150</v>
      </c>
      <c r="G743" t="s">
        <v>281</v>
      </c>
      <c r="H743" t="s">
        <v>32</v>
      </c>
      <c r="I743" t="s">
        <v>20</v>
      </c>
      <c r="J743" s="7">
        <v>44836</v>
      </c>
      <c r="K743" s="7">
        <v>45262</v>
      </c>
      <c r="L743" s="5">
        <v>150</v>
      </c>
      <c r="M743" t="s">
        <v>27</v>
      </c>
      <c r="N743" t="s">
        <v>594</v>
      </c>
      <c r="O743">
        <v>150</v>
      </c>
      <c r="P743" t="s">
        <v>205</v>
      </c>
      <c r="Q743" t="s">
        <v>25</v>
      </c>
      <c r="R743">
        <v>103</v>
      </c>
      <c r="S743">
        <v>0</v>
      </c>
      <c r="T743" t="s">
        <v>80</v>
      </c>
      <c r="U743" t="s">
        <v>63</v>
      </c>
      <c r="V743">
        <v>2.91</v>
      </c>
      <c r="W743">
        <v>3.34</v>
      </c>
      <c r="X743">
        <v>5.9</v>
      </c>
      <c r="Y743">
        <v>7.5</v>
      </c>
      <c r="Z743">
        <v>4</v>
      </c>
    </row>
    <row r="744" spans="1:26">
      <c r="A744" t="s">
        <v>1219</v>
      </c>
      <c r="B744">
        <v>38</v>
      </c>
      <c r="C744" t="s">
        <v>71</v>
      </c>
      <c r="D744" t="s">
        <v>42</v>
      </c>
      <c r="E744" t="s">
        <v>150</v>
      </c>
      <c r="F744" t="s">
        <v>150</v>
      </c>
      <c r="G744" t="s">
        <v>306</v>
      </c>
      <c r="H744" t="s">
        <v>30</v>
      </c>
      <c r="I744" t="s">
        <v>20</v>
      </c>
      <c r="J744" s="7">
        <v>45283</v>
      </c>
      <c r="K744" s="7">
        <v>45588</v>
      </c>
      <c r="L744" s="5">
        <v>150</v>
      </c>
      <c r="M744" t="s">
        <v>26</v>
      </c>
      <c r="N744" t="s">
        <v>666</v>
      </c>
      <c r="O744">
        <v>150</v>
      </c>
      <c r="P744" t="s">
        <v>205</v>
      </c>
      <c r="Q744" t="s">
        <v>25</v>
      </c>
      <c r="R744">
        <v>161</v>
      </c>
      <c r="S744">
        <v>0</v>
      </c>
      <c r="T744" t="s">
        <v>80</v>
      </c>
      <c r="U744" t="s">
        <v>63</v>
      </c>
      <c r="V744">
        <v>1.42</v>
      </c>
      <c r="W744">
        <v>3.34</v>
      </c>
      <c r="X744">
        <v>5.9</v>
      </c>
      <c r="Y744">
        <v>10.2</v>
      </c>
      <c r="Z744">
        <v>13.8</v>
      </c>
    </row>
    <row r="745" spans="1:26">
      <c r="A745" t="s">
        <v>1220</v>
      </c>
      <c r="B745">
        <v>28</v>
      </c>
      <c r="C745" t="s">
        <v>70</v>
      </c>
      <c r="D745" t="s">
        <v>39</v>
      </c>
      <c r="E745" t="s">
        <v>272</v>
      </c>
      <c r="F745" t="s">
        <v>150</v>
      </c>
      <c r="G745" t="s">
        <v>349</v>
      </c>
      <c r="H745" t="s">
        <v>34</v>
      </c>
      <c r="I745" t="s">
        <v>16</v>
      </c>
      <c r="J745" s="7">
        <v>44604</v>
      </c>
      <c r="K745" s="7">
        <v>44846</v>
      </c>
      <c r="L745" s="5">
        <v>100</v>
      </c>
      <c r="M745" t="s">
        <v>27</v>
      </c>
      <c r="N745" t="s">
        <v>325</v>
      </c>
      <c r="O745">
        <v>100</v>
      </c>
      <c r="P745" t="s">
        <v>206</v>
      </c>
      <c r="Q745" t="s">
        <v>25</v>
      </c>
      <c r="R745">
        <v>77</v>
      </c>
      <c r="S745">
        <v>1</v>
      </c>
      <c r="T745" t="s">
        <v>83</v>
      </c>
      <c r="U745" t="s">
        <v>61</v>
      </c>
      <c r="V745">
        <v>4.28</v>
      </c>
      <c r="W745">
        <v>1.17</v>
      </c>
      <c r="X745">
        <v>5.5</v>
      </c>
      <c r="Y745">
        <v>18.4</v>
      </c>
      <c r="Z745">
        <v>7.3</v>
      </c>
    </row>
    <row r="746" spans="1:26">
      <c r="A746" t="s">
        <v>1221</v>
      </c>
      <c r="B746">
        <v>53</v>
      </c>
      <c r="C746" t="s">
        <v>70</v>
      </c>
      <c r="D746" t="s">
        <v>42</v>
      </c>
      <c r="E746" t="s">
        <v>255</v>
      </c>
      <c r="F746" t="s">
        <v>260</v>
      </c>
      <c r="G746" t="s">
        <v>269</v>
      </c>
      <c r="H746" t="s">
        <v>34</v>
      </c>
      <c r="I746" t="s">
        <v>20</v>
      </c>
      <c r="J746" s="7">
        <v>45013</v>
      </c>
      <c r="K746" s="7">
        <v>45471</v>
      </c>
      <c r="L746" s="5">
        <v>200</v>
      </c>
      <c r="M746" t="s">
        <v>27</v>
      </c>
      <c r="N746" t="s">
        <v>395</v>
      </c>
      <c r="O746">
        <v>200</v>
      </c>
      <c r="P746" t="s">
        <v>205</v>
      </c>
      <c r="Q746" t="s">
        <v>25</v>
      </c>
      <c r="R746">
        <v>80</v>
      </c>
      <c r="S746">
        <v>0</v>
      </c>
      <c r="T746" t="s">
        <v>82</v>
      </c>
      <c r="U746" t="s">
        <v>63</v>
      </c>
      <c r="V746">
        <v>2.23</v>
      </c>
      <c r="W746">
        <v>3.45</v>
      </c>
      <c r="X746">
        <v>9.1</v>
      </c>
      <c r="Y746">
        <v>20.6</v>
      </c>
      <c r="Z746">
        <v>12.9</v>
      </c>
    </row>
    <row r="747" spans="1:26">
      <c r="A747" t="s">
        <v>1222</v>
      </c>
      <c r="B747">
        <v>58</v>
      </c>
      <c r="C747" t="s">
        <v>44</v>
      </c>
      <c r="D747" t="s">
        <v>44</v>
      </c>
      <c r="E747" t="s">
        <v>311</v>
      </c>
      <c r="F747" t="s">
        <v>273</v>
      </c>
      <c r="G747" t="s">
        <v>265</v>
      </c>
      <c r="H747" t="s">
        <v>32</v>
      </c>
      <c r="I747" t="s">
        <v>16</v>
      </c>
      <c r="J747" s="7">
        <v>44218</v>
      </c>
      <c r="K747" s="7">
        <v>44552</v>
      </c>
      <c r="L747" s="5">
        <v>200</v>
      </c>
      <c r="M747" t="s">
        <v>25</v>
      </c>
      <c r="N747" t="s">
        <v>457</v>
      </c>
      <c r="O747">
        <v>200</v>
      </c>
      <c r="P747" t="s">
        <v>211</v>
      </c>
      <c r="Q747" t="s">
        <v>25</v>
      </c>
      <c r="R747">
        <v>39</v>
      </c>
      <c r="S747">
        <v>0</v>
      </c>
      <c r="T747" t="s">
        <v>83</v>
      </c>
      <c r="U747" t="s">
        <v>63</v>
      </c>
      <c r="V747">
        <v>3.92</v>
      </c>
      <c r="W747">
        <v>2.46</v>
      </c>
      <c r="X747">
        <v>6.8</v>
      </c>
      <c r="Y747">
        <v>14.4</v>
      </c>
      <c r="Z747">
        <v>6.2</v>
      </c>
    </row>
    <row r="748" spans="1:26">
      <c r="A748" t="s">
        <v>1223</v>
      </c>
      <c r="B748">
        <v>39</v>
      </c>
      <c r="C748" t="s">
        <v>70</v>
      </c>
      <c r="D748" t="s">
        <v>44</v>
      </c>
      <c r="E748" t="s">
        <v>259</v>
      </c>
      <c r="F748" t="s">
        <v>150</v>
      </c>
      <c r="G748" t="s">
        <v>256</v>
      </c>
      <c r="H748" t="s">
        <v>32</v>
      </c>
      <c r="I748" t="s">
        <v>19</v>
      </c>
      <c r="J748" s="7">
        <v>44272</v>
      </c>
      <c r="K748" s="7">
        <v>44637</v>
      </c>
      <c r="L748" s="5">
        <v>200</v>
      </c>
      <c r="M748" t="s">
        <v>27</v>
      </c>
      <c r="N748" t="s">
        <v>931</v>
      </c>
      <c r="O748">
        <v>200</v>
      </c>
      <c r="P748" t="s">
        <v>205</v>
      </c>
      <c r="Q748" t="s">
        <v>150</v>
      </c>
      <c r="R748">
        <v>77</v>
      </c>
      <c r="S748">
        <v>0</v>
      </c>
      <c r="T748" t="s">
        <v>78</v>
      </c>
      <c r="U748" t="s">
        <v>63</v>
      </c>
      <c r="V748">
        <v>3.81</v>
      </c>
      <c r="W748">
        <v>3.23</v>
      </c>
      <c r="X748">
        <v>4.2</v>
      </c>
      <c r="Y748">
        <v>22.4</v>
      </c>
      <c r="Z748">
        <v>3.4</v>
      </c>
    </row>
    <row r="749" spans="1:26">
      <c r="A749" t="s">
        <v>1224</v>
      </c>
      <c r="B749">
        <v>52</v>
      </c>
      <c r="C749" t="s">
        <v>70</v>
      </c>
      <c r="D749" t="s">
        <v>41</v>
      </c>
      <c r="E749" t="s">
        <v>259</v>
      </c>
      <c r="F749" t="s">
        <v>150</v>
      </c>
      <c r="G749" t="s">
        <v>274</v>
      </c>
      <c r="H749" t="s">
        <v>29</v>
      </c>
      <c r="I749" t="s">
        <v>19</v>
      </c>
      <c r="J749" s="7">
        <v>44629</v>
      </c>
      <c r="K749" s="7">
        <v>44843</v>
      </c>
      <c r="L749" s="5">
        <v>150</v>
      </c>
      <c r="M749" t="s">
        <v>25</v>
      </c>
      <c r="N749" t="s">
        <v>298</v>
      </c>
      <c r="O749">
        <v>150</v>
      </c>
      <c r="P749" t="s">
        <v>211</v>
      </c>
      <c r="Q749" t="s">
        <v>27</v>
      </c>
      <c r="R749">
        <v>75</v>
      </c>
      <c r="S749">
        <v>0</v>
      </c>
      <c r="T749" t="s">
        <v>81</v>
      </c>
      <c r="U749" t="s">
        <v>61</v>
      </c>
      <c r="V749">
        <v>2.26</v>
      </c>
      <c r="W749">
        <v>1.23</v>
      </c>
      <c r="X749">
        <v>7.9</v>
      </c>
      <c r="Y749">
        <v>18.6</v>
      </c>
      <c r="Z749">
        <v>8.6</v>
      </c>
    </row>
    <row r="750" spans="1:26">
      <c r="A750" t="s">
        <v>1225</v>
      </c>
      <c r="B750">
        <v>39</v>
      </c>
      <c r="C750" t="s">
        <v>44</v>
      </c>
      <c r="D750" t="s">
        <v>41</v>
      </c>
      <c r="E750" t="s">
        <v>272</v>
      </c>
      <c r="F750" t="s">
        <v>150</v>
      </c>
      <c r="G750" t="s">
        <v>265</v>
      </c>
      <c r="H750" t="s">
        <v>30</v>
      </c>
      <c r="I750" t="s">
        <v>19</v>
      </c>
      <c r="J750" s="7">
        <v>45225</v>
      </c>
      <c r="K750" s="7">
        <v>45714</v>
      </c>
      <c r="L750" s="5">
        <v>150</v>
      </c>
      <c r="M750" t="s">
        <v>26</v>
      </c>
      <c r="N750" t="s">
        <v>576</v>
      </c>
      <c r="O750">
        <v>150</v>
      </c>
      <c r="P750" t="s">
        <v>206</v>
      </c>
      <c r="Q750" t="s">
        <v>25</v>
      </c>
      <c r="R750">
        <v>130</v>
      </c>
      <c r="S750">
        <v>1</v>
      </c>
      <c r="T750" t="s">
        <v>81</v>
      </c>
      <c r="U750" t="s">
        <v>61</v>
      </c>
      <c r="V750">
        <v>3.7</v>
      </c>
      <c r="W750">
        <v>2.58</v>
      </c>
      <c r="X750">
        <v>7.8</v>
      </c>
      <c r="Y750">
        <v>14.2</v>
      </c>
      <c r="Z750">
        <v>10</v>
      </c>
    </row>
    <row r="751" spans="1:26">
      <c r="A751" t="s">
        <v>1226</v>
      </c>
      <c r="B751">
        <v>21</v>
      </c>
      <c r="C751" t="s">
        <v>44</v>
      </c>
      <c r="D751" t="s">
        <v>43</v>
      </c>
      <c r="E751" t="s">
        <v>255</v>
      </c>
      <c r="F751" t="s">
        <v>260</v>
      </c>
      <c r="G751" t="s">
        <v>319</v>
      </c>
      <c r="H751" t="s">
        <v>32</v>
      </c>
      <c r="I751" t="s">
        <v>16</v>
      </c>
      <c r="J751" s="7">
        <v>45102</v>
      </c>
      <c r="K751" s="7">
        <v>45498</v>
      </c>
      <c r="L751" s="5">
        <v>150</v>
      </c>
      <c r="M751" t="s">
        <v>26</v>
      </c>
      <c r="N751" t="s">
        <v>475</v>
      </c>
      <c r="O751">
        <v>150</v>
      </c>
      <c r="P751" t="s">
        <v>211</v>
      </c>
      <c r="Q751" t="s">
        <v>25</v>
      </c>
      <c r="R751">
        <v>60</v>
      </c>
      <c r="S751">
        <v>0</v>
      </c>
      <c r="T751" t="s">
        <v>80</v>
      </c>
      <c r="U751" t="s">
        <v>63</v>
      </c>
      <c r="V751">
        <v>4.74</v>
      </c>
      <c r="W751">
        <v>2</v>
      </c>
      <c r="X751">
        <v>2.1</v>
      </c>
      <c r="Y751">
        <v>16.5</v>
      </c>
      <c r="Z751">
        <v>19.5</v>
      </c>
    </row>
    <row r="752" spans="1:26">
      <c r="A752" t="s">
        <v>1227</v>
      </c>
      <c r="B752">
        <v>32</v>
      </c>
      <c r="C752" t="s">
        <v>70</v>
      </c>
      <c r="D752" t="s">
        <v>44</v>
      </c>
      <c r="E752" t="s">
        <v>272</v>
      </c>
      <c r="F752" t="s">
        <v>273</v>
      </c>
      <c r="G752" t="s">
        <v>349</v>
      </c>
      <c r="H752" t="s">
        <v>32</v>
      </c>
      <c r="I752" t="s">
        <v>18</v>
      </c>
      <c r="J752" s="7">
        <v>44199</v>
      </c>
      <c r="K752" s="7">
        <v>44533</v>
      </c>
      <c r="L752" s="5">
        <v>100</v>
      </c>
      <c r="M752" t="s">
        <v>150</v>
      </c>
      <c r="N752" t="s">
        <v>338</v>
      </c>
      <c r="O752">
        <v>100</v>
      </c>
      <c r="P752" t="s">
        <v>211</v>
      </c>
      <c r="Q752" t="s">
        <v>27</v>
      </c>
      <c r="R752">
        <v>57</v>
      </c>
      <c r="S752">
        <v>0</v>
      </c>
      <c r="T752" t="s">
        <v>81</v>
      </c>
      <c r="U752" t="s">
        <v>61</v>
      </c>
      <c r="V752">
        <v>2.51</v>
      </c>
      <c r="W752">
        <v>1.25</v>
      </c>
      <c r="X752">
        <v>4.1</v>
      </c>
      <c r="Y752">
        <v>15.1</v>
      </c>
      <c r="Z752">
        <v>5.8</v>
      </c>
    </row>
    <row r="753" spans="1:26">
      <c r="A753" t="s">
        <v>1228</v>
      </c>
      <c r="B753">
        <v>43</v>
      </c>
      <c r="C753" t="s">
        <v>71</v>
      </c>
      <c r="D753" t="s">
        <v>41</v>
      </c>
      <c r="E753" t="s">
        <v>259</v>
      </c>
      <c r="F753" t="s">
        <v>273</v>
      </c>
      <c r="G753" t="s">
        <v>261</v>
      </c>
      <c r="H753" t="s">
        <v>34</v>
      </c>
      <c r="I753" t="s">
        <v>16</v>
      </c>
      <c r="J753" s="7">
        <v>44027</v>
      </c>
      <c r="K753" s="7">
        <v>44362</v>
      </c>
      <c r="L753" s="5">
        <v>50</v>
      </c>
      <c r="M753" t="s">
        <v>25</v>
      </c>
      <c r="N753" t="s">
        <v>696</v>
      </c>
      <c r="O753">
        <v>50</v>
      </c>
      <c r="P753" t="s">
        <v>206</v>
      </c>
      <c r="Q753" t="s">
        <v>28</v>
      </c>
      <c r="R753">
        <v>102</v>
      </c>
      <c r="S753">
        <v>1</v>
      </c>
      <c r="T753" t="s">
        <v>83</v>
      </c>
      <c r="U753" t="s">
        <v>63</v>
      </c>
      <c r="V753">
        <v>3.63</v>
      </c>
      <c r="W753">
        <v>4.99</v>
      </c>
      <c r="X753">
        <v>5.1</v>
      </c>
      <c r="Y753">
        <v>12.4</v>
      </c>
      <c r="Z753">
        <v>9.8</v>
      </c>
    </row>
    <row r="754" spans="1:26">
      <c r="A754" t="s">
        <v>1229</v>
      </c>
      <c r="B754">
        <v>63</v>
      </c>
      <c r="C754" t="s">
        <v>71</v>
      </c>
      <c r="D754" t="s">
        <v>43</v>
      </c>
      <c r="E754" t="s">
        <v>272</v>
      </c>
      <c r="F754" t="s">
        <v>150</v>
      </c>
      <c r="G754" t="s">
        <v>284</v>
      </c>
      <c r="H754" t="s">
        <v>34</v>
      </c>
      <c r="I754" t="s">
        <v>16</v>
      </c>
      <c r="J754" s="7">
        <v>45287</v>
      </c>
      <c r="K754" s="7">
        <v>45531</v>
      </c>
      <c r="L754" s="5">
        <v>200</v>
      </c>
      <c r="M754" t="s">
        <v>150</v>
      </c>
      <c r="N754" t="s">
        <v>323</v>
      </c>
      <c r="O754">
        <v>200</v>
      </c>
      <c r="P754" t="s">
        <v>206</v>
      </c>
      <c r="Q754" t="s">
        <v>26</v>
      </c>
      <c r="R754">
        <v>161</v>
      </c>
      <c r="S754">
        <v>1</v>
      </c>
      <c r="T754" t="s">
        <v>80</v>
      </c>
      <c r="U754" t="s">
        <v>61</v>
      </c>
      <c r="V754">
        <v>1.46</v>
      </c>
      <c r="W754">
        <v>4.53</v>
      </c>
      <c r="X754">
        <v>4.7</v>
      </c>
      <c r="Y754">
        <v>13</v>
      </c>
      <c r="Z754">
        <v>14.2</v>
      </c>
    </row>
    <row r="755" spans="1:26">
      <c r="A755" t="s">
        <v>1230</v>
      </c>
      <c r="B755">
        <v>69</v>
      </c>
      <c r="C755" t="s">
        <v>71</v>
      </c>
      <c r="D755" t="s">
        <v>41</v>
      </c>
      <c r="E755" t="s">
        <v>150</v>
      </c>
      <c r="F755" t="s">
        <v>150</v>
      </c>
      <c r="G755" t="s">
        <v>261</v>
      </c>
      <c r="H755" t="s">
        <v>34</v>
      </c>
      <c r="I755" t="s">
        <v>16</v>
      </c>
      <c r="J755" s="7">
        <v>44486</v>
      </c>
      <c r="K755" s="7">
        <v>44851</v>
      </c>
      <c r="L755" s="5">
        <v>200</v>
      </c>
      <c r="M755" t="s">
        <v>27</v>
      </c>
      <c r="N755" t="s">
        <v>1231</v>
      </c>
      <c r="O755">
        <v>200</v>
      </c>
      <c r="P755" t="s">
        <v>206</v>
      </c>
      <c r="Q755" t="s">
        <v>27</v>
      </c>
      <c r="R755">
        <v>116</v>
      </c>
      <c r="S755">
        <v>1</v>
      </c>
      <c r="T755" t="s">
        <v>80</v>
      </c>
      <c r="U755" t="s">
        <v>61</v>
      </c>
      <c r="V755">
        <v>2.77</v>
      </c>
      <c r="W755">
        <v>3.59</v>
      </c>
      <c r="X755">
        <v>1.6</v>
      </c>
      <c r="Y755">
        <v>20.6</v>
      </c>
      <c r="Z755">
        <v>19</v>
      </c>
    </row>
    <row r="756" spans="1:26">
      <c r="A756" t="s">
        <v>1232</v>
      </c>
      <c r="B756">
        <v>53</v>
      </c>
      <c r="C756" t="s">
        <v>44</v>
      </c>
      <c r="D756" t="s">
        <v>39</v>
      </c>
      <c r="E756" t="s">
        <v>255</v>
      </c>
      <c r="F756" t="s">
        <v>264</v>
      </c>
      <c r="G756" t="s">
        <v>256</v>
      </c>
      <c r="H756" t="s">
        <v>32</v>
      </c>
      <c r="I756" t="s">
        <v>18</v>
      </c>
      <c r="J756" s="7">
        <v>44995</v>
      </c>
      <c r="K756" s="7">
        <v>45453</v>
      </c>
      <c r="L756" s="5">
        <v>50</v>
      </c>
      <c r="M756" t="s">
        <v>27</v>
      </c>
      <c r="N756" t="s">
        <v>712</v>
      </c>
      <c r="O756">
        <v>50</v>
      </c>
      <c r="P756" t="s">
        <v>206</v>
      </c>
      <c r="Q756" t="s">
        <v>26</v>
      </c>
      <c r="R756">
        <v>31</v>
      </c>
      <c r="S756">
        <v>1</v>
      </c>
      <c r="T756" t="s">
        <v>83</v>
      </c>
      <c r="U756" t="s">
        <v>63</v>
      </c>
      <c r="V756">
        <v>3.6</v>
      </c>
      <c r="W756">
        <v>4.82</v>
      </c>
      <c r="X756">
        <v>2.4</v>
      </c>
      <c r="Y756">
        <v>14.6</v>
      </c>
      <c r="Z756">
        <v>13.2</v>
      </c>
    </row>
    <row r="757" spans="1:26">
      <c r="A757" t="s">
        <v>1233</v>
      </c>
      <c r="B757">
        <v>37</v>
      </c>
      <c r="C757" t="s">
        <v>70</v>
      </c>
      <c r="D757" t="s">
        <v>39</v>
      </c>
      <c r="E757" t="s">
        <v>259</v>
      </c>
      <c r="F757" t="s">
        <v>150</v>
      </c>
      <c r="G757" t="s">
        <v>265</v>
      </c>
      <c r="H757" t="s">
        <v>29</v>
      </c>
      <c r="I757" t="s">
        <v>18</v>
      </c>
      <c r="J757" s="7">
        <v>44162</v>
      </c>
      <c r="K757" s="7">
        <v>44374</v>
      </c>
      <c r="L757" s="5">
        <v>150</v>
      </c>
      <c r="M757" t="s">
        <v>28</v>
      </c>
      <c r="N757" t="s">
        <v>262</v>
      </c>
      <c r="O757">
        <v>150</v>
      </c>
      <c r="P757" t="s">
        <v>211</v>
      </c>
      <c r="Q757" t="s">
        <v>150</v>
      </c>
      <c r="R757">
        <v>153</v>
      </c>
      <c r="S757">
        <v>0</v>
      </c>
      <c r="T757" t="s">
        <v>83</v>
      </c>
      <c r="U757" t="s">
        <v>63</v>
      </c>
      <c r="V757">
        <v>3.33</v>
      </c>
      <c r="W757">
        <v>2.61</v>
      </c>
      <c r="X757">
        <v>4</v>
      </c>
      <c r="Y757">
        <v>8.3</v>
      </c>
      <c r="Z757">
        <v>9.7</v>
      </c>
    </row>
    <row r="758" spans="1:26">
      <c r="A758" t="s">
        <v>1234</v>
      </c>
      <c r="B758">
        <v>72</v>
      </c>
      <c r="C758" t="s">
        <v>44</v>
      </c>
      <c r="D758" t="s">
        <v>41</v>
      </c>
      <c r="E758" t="s">
        <v>311</v>
      </c>
      <c r="F758" t="s">
        <v>264</v>
      </c>
      <c r="G758" t="s">
        <v>349</v>
      </c>
      <c r="H758" t="s">
        <v>34</v>
      </c>
      <c r="I758" t="s">
        <v>20</v>
      </c>
      <c r="J758" s="7">
        <v>45222</v>
      </c>
      <c r="K758" s="7">
        <v>45619</v>
      </c>
      <c r="L758" s="5">
        <v>100</v>
      </c>
      <c r="M758" t="s">
        <v>26</v>
      </c>
      <c r="N758" t="s">
        <v>554</v>
      </c>
      <c r="O758">
        <v>100</v>
      </c>
      <c r="P758" t="s">
        <v>205</v>
      </c>
      <c r="Q758" t="s">
        <v>27</v>
      </c>
      <c r="R758">
        <v>104</v>
      </c>
      <c r="S758">
        <v>0</v>
      </c>
      <c r="T758" t="s">
        <v>82</v>
      </c>
      <c r="U758" t="s">
        <v>63</v>
      </c>
      <c r="V758">
        <v>1.65</v>
      </c>
      <c r="W758">
        <v>3.94</v>
      </c>
      <c r="X758">
        <v>2.9</v>
      </c>
      <c r="Y758">
        <v>7.1</v>
      </c>
      <c r="Z758">
        <v>12.4</v>
      </c>
    </row>
    <row r="759" spans="1:26">
      <c r="A759" t="s">
        <v>1235</v>
      </c>
      <c r="B759">
        <v>18</v>
      </c>
      <c r="C759" t="s">
        <v>71</v>
      </c>
      <c r="D759" t="s">
        <v>39</v>
      </c>
      <c r="E759" t="s">
        <v>255</v>
      </c>
      <c r="F759" t="s">
        <v>150</v>
      </c>
      <c r="G759" t="s">
        <v>288</v>
      </c>
      <c r="H759" t="s">
        <v>32</v>
      </c>
      <c r="I759" t="s">
        <v>19</v>
      </c>
      <c r="J759" s="7">
        <v>43878</v>
      </c>
      <c r="K759" s="7">
        <v>44152</v>
      </c>
      <c r="L759" s="5">
        <v>100</v>
      </c>
      <c r="M759" t="s">
        <v>25</v>
      </c>
      <c r="N759" t="s">
        <v>340</v>
      </c>
      <c r="O759">
        <v>100</v>
      </c>
      <c r="P759" t="s">
        <v>206</v>
      </c>
      <c r="Q759" t="s">
        <v>28</v>
      </c>
      <c r="R759">
        <v>62</v>
      </c>
      <c r="S759">
        <v>1</v>
      </c>
      <c r="T759" t="s">
        <v>78</v>
      </c>
      <c r="U759" t="s">
        <v>63</v>
      </c>
      <c r="V759">
        <v>3.38</v>
      </c>
      <c r="W759">
        <v>4.49</v>
      </c>
      <c r="X759">
        <v>6.2</v>
      </c>
      <c r="Y759">
        <v>12.2</v>
      </c>
      <c r="Z759">
        <v>16.7</v>
      </c>
    </row>
    <row r="760" spans="1:26">
      <c r="A760" t="s">
        <v>1236</v>
      </c>
      <c r="B760">
        <v>18</v>
      </c>
      <c r="C760" t="s">
        <v>44</v>
      </c>
      <c r="D760" t="s">
        <v>39</v>
      </c>
      <c r="E760" t="s">
        <v>255</v>
      </c>
      <c r="F760" t="s">
        <v>260</v>
      </c>
      <c r="G760" t="s">
        <v>312</v>
      </c>
      <c r="H760" t="s">
        <v>29</v>
      </c>
      <c r="I760" t="s">
        <v>18</v>
      </c>
      <c r="J760" s="7">
        <v>44697</v>
      </c>
      <c r="K760" s="7">
        <v>44942</v>
      </c>
      <c r="L760" s="5">
        <v>100</v>
      </c>
      <c r="M760" t="s">
        <v>25</v>
      </c>
      <c r="N760" t="s">
        <v>464</v>
      </c>
      <c r="O760">
        <v>100</v>
      </c>
      <c r="P760" t="s">
        <v>205</v>
      </c>
      <c r="Q760" t="s">
        <v>26</v>
      </c>
      <c r="R760">
        <v>150</v>
      </c>
      <c r="S760">
        <v>0</v>
      </c>
      <c r="T760" t="s">
        <v>82</v>
      </c>
      <c r="U760" t="s">
        <v>63</v>
      </c>
      <c r="V760">
        <v>3.16</v>
      </c>
      <c r="W760">
        <v>1.32</v>
      </c>
      <c r="X760">
        <v>6.1</v>
      </c>
      <c r="Y760">
        <v>22.3</v>
      </c>
      <c r="Z760">
        <v>9.7</v>
      </c>
    </row>
    <row r="761" spans="1:26">
      <c r="A761" t="s">
        <v>1237</v>
      </c>
      <c r="B761">
        <v>76</v>
      </c>
      <c r="C761" t="s">
        <v>71</v>
      </c>
      <c r="D761" t="s">
        <v>41</v>
      </c>
      <c r="E761" t="s">
        <v>150</v>
      </c>
      <c r="F761" t="s">
        <v>264</v>
      </c>
      <c r="G761" t="s">
        <v>322</v>
      </c>
      <c r="H761" t="s">
        <v>32</v>
      </c>
      <c r="I761" t="s">
        <v>19</v>
      </c>
      <c r="J761" s="7">
        <v>44633</v>
      </c>
      <c r="K761" s="7">
        <v>44878</v>
      </c>
      <c r="L761" s="5">
        <v>50</v>
      </c>
      <c r="M761" t="s">
        <v>26</v>
      </c>
      <c r="N761" t="s">
        <v>785</v>
      </c>
      <c r="O761">
        <v>50</v>
      </c>
      <c r="P761" t="s">
        <v>205</v>
      </c>
      <c r="Q761" t="s">
        <v>27</v>
      </c>
      <c r="R761">
        <v>127</v>
      </c>
      <c r="S761">
        <v>0</v>
      </c>
      <c r="T761" t="s">
        <v>80</v>
      </c>
      <c r="U761" t="s">
        <v>63</v>
      </c>
      <c r="V761">
        <v>2.19</v>
      </c>
      <c r="W761">
        <v>1.57</v>
      </c>
      <c r="X761">
        <v>2.4</v>
      </c>
      <c r="Y761">
        <v>13.8</v>
      </c>
      <c r="Z761">
        <v>13.1</v>
      </c>
    </row>
    <row r="762" spans="1:26">
      <c r="A762" t="s">
        <v>1238</v>
      </c>
      <c r="B762">
        <v>31</v>
      </c>
      <c r="C762" t="s">
        <v>70</v>
      </c>
      <c r="D762" t="s">
        <v>42</v>
      </c>
      <c r="E762" t="s">
        <v>255</v>
      </c>
      <c r="F762" t="s">
        <v>150</v>
      </c>
      <c r="G762" t="s">
        <v>431</v>
      </c>
      <c r="H762" t="s">
        <v>29</v>
      </c>
      <c r="I762" t="s">
        <v>20</v>
      </c>
      <c r="J762" s="7">
        <v>43876</v>
      </c>
      <c r="K762" s="7">
        <v>44362</v>
      </c>
      <c r="L762" s="5">
        <v>100</v>
      </c>
      <c r="M762" t="s">
        <v>27</v>
      </c>
      <c r="N762" t="s">
        <v>393</v>
      </c>
      <c r="O762">
        <v>100</v>
      </c>
      <c r="P762" t="s">
        <v>205</v>
      </c>
      <c r="Q762" t="s">
        <v>26</v>
      </c>
      <c r="R762">
        <v>174</v>
      </c>
      <c r="S762">
        <v>0</v>
      </c>
      <c r="T762" t="s">
        <v>80</v>
      </c>
      <c r="U762" t="s">
        <v>63</v>
      </c>
      <c r="V762">
        <v>1.32</v>
      </c>
      <c r="W762">
        <v>4.76</v>
      </c>
      <c r="X762">
        <v>7.8</v>
      </c>
      <c r="Y762">
        <v>16.6</v>
      </c>
      <c r="Z762">
        <v>17.1</v>
      </c>
    </row>
    <row r="763" spans="1:26">
      <c r="A763" t="s">
        <v>1239</v>
      </c>
      <c r="B763">
        <v>21</v>
      </c>
      <c r="C763" t="s">
        <v>70</v>
      </c>
      <c r="D763" t="s">
        <v>41</v>
      </c>
      <c r="E763" t="s">
        <v>259</v>
      </c>
      <c r="F763" t="s">
        <v>268</v>
      </c>
      <c r="G763" t="s">
        <v>306</v>
      </c>
      <c r="H763" t="s">
        <v>30</v>
      </c>
      <c r="I763" t="s">
        <v>20</v>
      </c>
      <c r="J763" s="7">
        <v>43885</v>
      </c>
      <c r="K763" s="7">
        <v>44251</v>
      </c>
      <c r="L763" s="5">
        <v>150</v>
      </c>
      <c r="M763" t="s">
        <v>25</v>
      </c>
      <c r="N763" t="s">
        <v>702</v>
      </c>
      <c r="O763">
        <v>150</v>
      </c>
      <c r="P763" t="s">
        <v>206</v>
      </c>
      <c r="Q763" t="s">
        <v>25</v>
      </c>
      <c r="R763">
        <v>170</v>
      </c>
      <c r="S763">
        <v>1</v>
      </c>
      <c r="T763" t="s">
        <v>78</v>
      </c>
      <c r="U763" t="s">
        <v>63</v>
      </c>
      <c r="V763">
        <v>1.32</v>
      </c>
      <c r="W763">
        <v>2.91</v>
      </c>
      <c r="X763">
        <v>6.7</v>
      </c>
      <c r="Y763">
        <v>20.9</v>
      </c>
      <c r="Z763">
        <v>16.3</v>
      </c>
    </row>
    <row r="764" spans="1:26">
      <c r="A764" t="s">
        <v>1240</v>
      </c>
      <c r="B764">
        <v>39</v>
      </c>
      <c r="C764" t="s">
        <v>70</v>
      </c>
      <c r="D764" t="s">
        <v>39</v>
      </c>
      <c r="E764" t="s">
        <v>259</v>
      </c>
      <c r="F764" t="s">
        <v>150</v>
      </c>
      <c r="G764" t="s">
        <v>319</v>
      </c>
      <c r="H764" t="s">
        <v>30</v>
      </c>
      <c r="I764" t="s">
        <v>19</v>
      </c>
      <c r="J764" s="7">
        <v>45055</v>
      </c>
      <c r="K764" s="7">
        <v>45421</v>
      </c>
      <c r="L764" s="5">
        <v>50</v>
      </c>
      <c r="M764" t="s">
        <v>27</v>
      </c>
      <c r="N764" t="s">
        <v>799</v>
      </c>
      <c r="O764">
        <v>50</v>
      </c>
      <c r="P764" t="s">
        <v>206</v>
      </c>
      <c r="Q764" t="s">
        <v>27</v>
      </c>
      <c r="R764">
        <v>104</v>
      </c>
      <c r="S764">
        <v>1</v>
      </c>
      <c r="T764" t="s">
        <v>78</v>
      </c>
      <c r="U764" t="s">
        <v>63</v>
      </c>
      <c r="V764">
        <v>2.11</v>
      </c>
      <c r="W764">
        <v>4.76</v>
      </c>
      <c r="X764">
        <v>2.1</v>
      </c>
      <c r="Y764">
        <v>21.8</v>
      </c>
      <c r="Z764">
        <v>19.5</v>
      </c>
    </row>
    <row r="765" spans="1:26">
      <c r="A765" t="s">
        <v>1241</v>
      </c>
      <c r="B765">
        <v>60</v>
      </c>
      <c r="C765" t="s">
        <v>70</v>
      </c>
      <c r="D765" t="s">
        <v>39</v>
      </c>
      <c r="E765" t="s">
        <v>255</v>
      </c>
      <c r="F765" t="s">
        <v>150</v>
      </c>
      <c r="G765" t="s">
        <v>269</v>
      </c>
      <c r="H765" t="s">
        <v>29</v>
      </c>
      <c r="I765" t="s">
        <v>18</v>
      </c>
      <c r="J765" s="7">
        <v>44861</v>
      </c>
      <c r="K765" s="7">
        <v>45318</v>
      </c>
      <c r="L765" s="5">
        <v>200</v>
      </c>
      <c r="M765" t="s">
        <v>26</v>
      </c>
      <c r="N765" t="s">
        <v>461</v>
      </c>
      <c r="O765">
        <v>200</v>
      </c>
      <c r="P765" t="s">
        <v>206</v>
      </c>
      <c r="Q765" t="s">
        <v>27</v>
      </c>
      <c r="R765">
        <v>47</v>
      </c>
      <c r="S765">
        <v>1</v>
      </c>
      <c r="T765" t="s">
        <v>78</v>
      </c>
      <c r="U765" t="s">
        <v>63</v>
      </c>
      <c r="V765">
        <v>1.71</v>
      </c>
      <c r="W765">
        <v>3.89</v>
      </c>
      <c r="X765">
        <v>1.4</v>
      </c>
      <c r="Y765">
        <v>13.3</v>
      </c>
      <c r="Z765">
        <v>11.8</v>
      </c>
    </row>
    <row r="766" spans="1:26">
      <c r="A766" t="s">
        <v>1242</v>
      </c>
      <c r="B766">
        <v>60</v>
      </c>
      <c r="C766" t="s">
        <v>71</v>
      </c>
      <c r="D766" t="s">
        <v>44</v>
      </c>
      <c r="E766" t="s">
        <v>272</v>
      </c>
      <c r="F766" t="s">
        <v>150</v>
      </c>
      <c r="G766" t="s">
        <v>269</v>
      </c>
      <c r="H766" t="s">
        <v>29</v>
      </c>
      <c r="I766" t="s">
        <v>18</v>
      </c>
      <c r="J766" s="7">
        <v>44922</v>
      </c>
      <c r="K766" s="7">
        <v>45257</v>
      </c>
      <c r="L766" s="5">
        <v>100</v>
      </c>
      <c r="M766" t="s">
        <v>25</v>
      </c>
      <c r="N766" t="s">
        <v>289</v>
      </c>
      <c r="O766">
        <v>100</v>
      </c>
      <c r="P766" t="s">
        <v>206</v>
      </c>
      <c r="Q766" t="s">
        <v>28</v>
      </c>
      <c r="R766">
        <v>64</v>
      </c>
      <c r="S766">
        <v>1</v>
      </c>
      <c r="T766" t="s">
        <v>81</v>
      </c>
      <c r="U766" t="s">
        <v>61</v>
      </c>
      <c r="V766">
        <v>3.32</v>
      </c>
      <c r="W766">
        <v>4.74</v>
      </c>
      <c r="X766">
        <v>7.1</v>
      </c>
      <c r="Y766">
        <v>14.7</v>
      </c>
      <c r="Z766">
        <v>16.8</v>
      </c>
    </row>
    <row r="767" spans="1:26">
      <c r="A767" t="s">
        <v>1243</v>
      </c>
      <c r="B767">
        <v>24</v>
      </c>
      <c r="C767" t="s">
        <v>44</v>
      </c>
      <c r="D767" t="s">
        <v>41</v>
      </c>
      <c r="E767" t="s">
        <v>259</v>
      </c>
      <c r="F767" t="s">
        <v>277</v>
      </c>
      <c r="G767" t="s">
        <v>322</v>
      </c>
      <c r="H767" t="s">
        <v>34</v>
      </c>
      <c r="I767" t="s">
        <v>20</v>
      </c>
      <c r="J767" s="7">
        <v>45186</v>
      </c>
      <c r="K767" s="7">
        <v>45643</v>
      </c>
      <c r="L767" s="5">
        <v>200</v>
      </c>
      <c r="M767" t="s">
        <v>26</v>
      </c>
      <c r="N767" t="s">
        <v>352</v>
      </c>
      <c r="O767">
        <v>200</v>
      </c>
      <c r="P767" t="s">
        <v>205</v>
      </c>
      <c r="Q767" t="s">
        <v>150</v>
      </c>
      <c r="R767">
        <v>77</v>
      </c>
      <c r="S767">
        <v>0</v>
      </c>
      <c r="T767" t="s">
        <v>78</v>
      </c>
      <c r="U767" t="s">
        <v>61</v>
      </c>
      <c r="V767">
        <v>4.8</v>
      </c>
      <c r="W767">
        <v>1.09</v>
      </c>
      <c r="X767">
        <v>9.8</v>
      </c>
      <c r="Y767">
        <v>7.6</v>
      </c>
      <c r="Z767">
        <v>16.8</v>
      </c>
    </row>
    <row r="768" spans="1:26">
      <c r="A768" t="s">
        <v>1244</v>
      </c>
      <c r="B768">
        <v>25</v>
      </c>
      <c r="C768" t="s">
        <v>71</v>
      </c>
      <c r="D768" t="s">
        <v>41</v>
      </c>
      <c r="E768" t="s">
        <v>311</v>
      </c>
      <c r="F768" t="s">
        <v>264</v>
      </c>
      <c r="G768" t="s">
        <v>265</v>
      </c>
      <c r="H768" t="s">
        <v>34</v>
      </c>
      <c r="I768" t="s">
        <v>16</v>
      </c>
      <c r="J768" s="7">
        <v>45210</v>
      </c>
      <c r="K768" s="7">
        <v>45423</v>
      </c>
      <c r="L768" s="5">
        <v>200</v>
      </c>
      <c r="M768" t="s">
        <v>150</v>
      </c>
      <c r="N768" t="s">
        <v>722</v>
      </c>
      <c r="O768">
        <v>200</v>
      </c>
      <c r="P768" t="s">
        <v>206</v>
      </c>
      <c r="Q768" t="s">
        <v>25</v>
      </c>
      <c r="R768">
        <v>53</v>
      </c>
      <c r="S768">
        <v>1</v>
      </c>
      <c r="T768" t="s">
        <v>83</v>
      </c>
      <c r="U768" t="s">
        <v>63</v>
      </c>
      <c r="V768">
        <v>2.12</v>
      </c>
      <c r="W768">
        <v>1.53</v>
      </c>
      <c r="X768">
        <v>5</v>
      </c>
      <c r="Y768">
        <v>17.6</v>
      </c>
      <c r="Z768">
        <v>9.5</v>
      </c>
    </row>
    <row r="769" spans="1:26">
      <c r="A769" t="s">
        <v>1245</v>
      </c>
      <c r="B769">
        <v>39</v>
      </c>
      <c r="C769" t="s">
        <v>44</v>
      </c>
      <c r="D769" t="s">
        <v>44</v>
      </c>
      <c r="E769" t="s">
        <v>150</v>
      </c>
      <c r="F769" t="s">
        <v>150</v>
      </c>
      <c r="G769" t="s">
        <v>294</v>
      </c>
      <c r="H769" t="s">
        <v>32</v>
      </c>
      <c r="I769" t="s">
        <v>18</v>
      </c>
      <c r="J769" s="7">
        <v>44702</v>
      </c>
      <c r="K769" s="7">
        <v>45220</v>
      </c>
      <c r="L769" s="5">
        <v>100</v>
      </c>
      <c r="M769" t="s">
        <v>25</v>
      </c>
      <c r="N769" t="s">
        <v>682</v>
      </c>
      <c r="O769">
        <v>100</v>
      </c>
      <c r="P769" t="s">
        <v>206</v>
      </c>
      <c r="Q769" t="s">
        <v>25</v>
      </c>
      <c r="R769">
        <v>136</v>
      </c>
      <c r="S769">
        <v>1</v>
      </c>
      <c r="T769" t="s">
        <v>82</v>
      </c>
      <c r="U769" t="s">
        <v>63</v>
      </c>
      <c r="V769">
        <v>1.22</v>
      </c>
      <c r="W769">
        <v>3.4</v>
      </c>
      <c r="X769">
        <v>9.1</v>
      </c>
      <c r="Y769">
        <v>12.9</v>
      </c>
      <c r="Z769">
        <v>6.7</v>
      </c>
    </row>
    <row r="770" spans="1:26">
      <c r="A770" t="s">
        <v>1246</v>
      </c>
      <c r="B770">
        <v>44</v>
      </c>
      <c r="C770" t="s">
        <v>44</v>
      </c>
      <c r="D770" t="s">
        <v>44</v>
      </c>
      <c r="E770" t="s">
        <v>272</v>
      </c>
      <c r="F770" t="s">
        <v>277</v>
      </c>
      <c r="G770" t="s">
        <v>281</v>
      </c>
      <c r="H770" t="s">
        <v>34</v>
      </c>
      <c r="I770" t="s">
        <v>16</v>
      </c>
      <c r="J770" s="7">
        <v>44170</v>
      </c>
      <c r="K770" s="7">
        <v>44382</v>
      </c>
      <c r="L770" s="5">
        <v>100</v>
      </c>
      <c r="M770" t="s">
        <v>28</v>
      </c>
      <c r="N770" t="s">
        <v>457</v>
      </c>
      <c r="O770">
        <v>100</v>
      </c>
      <c r="P770" t="s">
        <v>205</v>
      </c>
      <c r="Q770" t="s">
        <v>27</v>
      </c>
      <c r="R770">
        <v>134</v>
      </c>
      <c r="S770">
        <v>0</v>
      </c>
      <c r="T770" t="s">
        <v>82</v>
      </c>
      <c r="U770" t="s">
        <v>63</v>
      </c>
      <c r="V770">
        <v>2.77</v>
      </c>
      <c r="W770">
        <v>1.19</v>
      </c>
      <c r="X770">
        <v>8.4</v>
      </c>
      <c r="Y770">
        <v>20.9</v>
      </c>
      <c r="Z770">
        <v>13</v>
      </c>
    </row>
    <row r="771" spans="1:26">
      <c r="A771" t="s">
        <v>1247</v>
      </c>
      <c r="B771">
        <v>24</v>
      </c>
      <c r="C771" t="s">
        <v>71</v>
      </c>
      <c r="D771" t="s">
        <v>44</v>
      </c>
      <c r="E771" t="s">
        <v>311</v>
      </c>
      <c r="F771" t="s">
        <v>260</v>
      </c>
      <c r="G771" t="s">
        <v>297</v>
      </c>
      <c r="H771" t="s">
        <v>29</v>
      </c>
      <c r="I771" t="s">
        <v>18</v>
      </c>
      <c r="J771" s="7">
        <v>43834</v>
      </c>
      <c r="K771" s="7">
        <v>44290</v>
      </c>
      <c r="L771" s="5">
        <v>50</v>
      </c>
      <c r="M771" t="s">
        <v>26</v>
      </c>
      <c r="N771" t="s">
        <v>699</v>
      </c>
      <c r="O771">
        <v>50</v>
      </c>
      <c r="P771" t="s">
        <v>205</v>
      </c>
      <c r="Q771" t="s">
        <v>25</v>
      </c>
      <c r="R771">
        <v>142</v>
      </c>
      <c r="S771">
        <v>0</v>
      </c>
      <c r="T771" t="s">
        <v>78</v>
      </c>
      <c r="U771" t="s">
        <v>63</v>
      </c>
      <c r="V771">
        <v>2.41</v>
      </c>
      <c r="W771">
        <v>4.2</v>
      </c>
      <c r="X771">
        <v>6</v>
      </c>
      <c r="Y771">
        <v>20.9</v>
      </c>
      <c r="Z771">
        <v>13.7</v>
      </c>
    </row>
    <row r="772" spans="1:26">
      <c r="A772" t="s">
        <v>1248</v>
      </c>
      <c r="B772">
        <v>45</v>
      </c>
      <c r="C772" t="s">
        <v>71</v>
      </c>
      <c r="D772" t="s">
        <v>39</v>
      </c>
      <c r="E772" t="s">
        <v>255</v>
      </c>
      <c r="F772" t="s">
        <v>260</v>
      </c>
      <c r="G772" t="s">
        <v>256</v>
      </c>
      <c r="H772" t="s">
        <v>30</v>
      </c>
      <c r="I772" t="s">
        <v>16</v>
      </c>
      <c r="J772" s="7">
        <v>44064</v>
      </c>
      <c r="K772" s="7">
        <v>44551</v>
      </c>
      <c r="L772" s="5">
        <v>150</v>
      </c>
      <c r="M772" t="s">
        <v>28</v>
      </c>
      <c r="N772" t="s">
        <v>503</v>
      </c>
      <c r="O772">
        <v>150</v>
      </c>
      <c r="P772" t="s">
        <v>206</v>
      </c>
      <c r="Q772" t="s">
        <v>28</v>
      </c>
      <c r="R772">
        <v>102</v>
      </c>
      <c r="S772">
        <v>1</v>
      </c>
      <c r="T772" t="s">
        <v>83</v>
      </c>
      <c r="U772" t="s">
        <v>61</v>
      </c>
      <c r="V772">
        <v>4.14</v>
      </c>
      <c r="W772">
        <v>3.39</v>
      </c>
      <c r="X772">
        <v>4.7</v>
      </c>
      <c r="Y772">
        <v>23.2</v>
      </c>
      <c r="Z772">
        <v>12.2</v>
      </c>
    </row>
    <row r="773" spans="1:26">
      <c r="A773" t="s">
        <v>1249</v>
      </c>
      <c r="B773">
        <v>85</v>
      </c>
      <c r="C773" t="s">
        <v>71</v>
      </c>
      <c r="D773" t="s">
        <v>39</v>
      </c>
      <c r="E773" t="s">
        <v>311</v>
      </c>
      <c r="F773" t="s">
        <v>150</v>
      </c>
      <c r="G773" t="s">
        <v>256</v>
      </c>
      <c r="H773" t="s">
        <v>30</v>
      </c>
      <c r="I773" t="s">
        <v>18</v>
      </c>
      <c r="J773" s="7">
        <v>45059</v>
      </c>
      <c r="K773" s="7">
        <v>45304</v>
      </c>
      <c r="L773" s="5">
        <v>50</v>
      </c>
      <c r="M773" t="s">
        <v>26</v>
      </c>
      <c r="N773" t="s">
        <v>304</v>
      </c>
      <c r="O773">
        <v>50</v>
      </c>
      <c r="P773" t="s">
        <v>211</v>
      </c>
      <c r="Q773" t="s">
        <v>28</v>
      </c>
      <c r="R773">
        <v>30</v>
      </c>
      <c r="S773">
        <v>0</v>
      </c>
      <c r="T773" t="s">
        <v>78</v>
      </c>
      <c r="U773" t="s">
        <v>61</v>
      </c>
      <c r="V773">
        <v>3.42</v>
      </c>
      <c r="W773">
        <v>1.88</v>
      </c>
      <c r="X773">
        <v>6.6</v>
      </c>
      <c r="Y773">
        <v>16.3</v>
      </c>
      <c r="Z773">
        <v>6.1</v>
      </c>
    </row>
    <row r="774" spans="1:26">
      <c r="A774" t="s">
        <v>1250</v>
      </c>
      <c r="B774">
        <v>34</v>
      </c>
      <c r="C774" t="s">
        <v>44</v>
      </c>
      <c r="D774" t="s">
        <v>44</v>
      </c>
      <c r="E774" t="s">
        <v>272</v>
      </c>
      <c r="F774" t="s">
        <v>150</v>
      </c>
      <c r="G774" t="s">
        <v>284</v>
      </c>
      <c r="H774" t="s">
        <v>30</v>
      </c>
      <c r="I774" t="s">
        <v>20</v>
      </c>
      <c r="J774" s="7">
        <v>43533</v>
      </c>
      <c r="K774" s="7">
        <v>43808</v>
      </c>
      <c r="L774" s="5">
        <v>200</v>
      </c>
      <c r="M774" t="s">
        <v>25</v>
      </c>
      <c r="N774" t="s">
        <v>718</v>
      </c>
      <c r="O774">
        <v>200</v>
      </c>
      <c r="P774" t="s">
        <v>211</v>
      </c>
      <c r="Q774" t="s">
        <v>27</v>
      </c>
      <c r="R774">
        <v>108</v>
      </c>
      <c r="S774">
        <v>0</v>
      </c>
      <c r="T774" t="s">
        <v>78</v>
      </c>
      <c r="U774" t="s">
        <v>63</v>
      </c>
      <c r="V774">
        <v>1.24</v>
      </c>
      <c r="W774">
        <v>3.42</v>
      </c>
      <c r="X774">
        <v>7.9</v>
      </c>
      <c r="Y774">
        <v>15.4</v>
      </c>
      <c r="Z774">
        <v>6.9</v>
      </c>
    </row>
    <row r="775" spans="1:26">
      <c r="A775" t="s">
        <v>1251</v>
      </c>
      <c r="B775">
        <v>21</v>
      </c>
      <c r="C775" t="s">
        <v>70</v>
      </c>
      <c r="D775" t="s">
        <v>42</v>
      </c>
      <c r="E775" t="s">
        <v>259</v>
      </c>
      <c r="F775" t="s">
        <v>260</v>
      </c>
      <c r="G775" t="s">
        <v>291</v>
      </c>
      <c r="H775" t="s">
        <v>34</v>
      </c>
      <c r="I775" t="s">
        <v>16</v>
      </c>
      <c r="J775" s="7">
        <v>44475</v>
      </c>
      <c r="K775" s="7">
        <v>44871</v>
      </c>
      <c r="L775" s="5">
        <v>100</v>
      </c>
      <c r="M775" t="s">
        <v>27</v>
      </c>
      <c r="N775" t="s">
        <v>1231</v>
      </c>
      <c r="O775">
        <v>100</v>
      </c>
      <c r="P775" t="s">
        <v>205</v>
      </c>
      <c r="Q775" t="s">
        <v>25</v>
      </c>
      <c r="R775">
        <v>45</v>
      </c>
      <c r="S775">
        <v>0</v>
      </c>
      <c r="T775" t="s">
        <v>82</v>
      </c>
      <c r="U775" t="s">
        <v>63</v>
      </c>
      <c r="V775">
        <v>3.67</v>
      </c>
      <c r="W775">
        <v>1.32</v>
      </c>
      <c r="X775">
        <v>5</v>
      </c>
      <c r="Y775">
        <v>8.9</v>
      </c>
      <c r="Z775">
        <v>6.1</v>
      </c>
    </row>
    <row r="776" spans="1:26">
      <c r="A776" t="s">
        <v>1252</v>
      </c>
      <c r="B776">
        <v>73</v>
      </c>
      <c r="C776" t="s">
        <v>70</v>
      </c>
      <c r="D776" t="s">
        <v>44</v>
      </c>
      <c r="E776" t="s">
        <v>311</v>
      </c>
      <c r="F776" t="s">
        <v>273</v>
      </c>
      <c r="G776" t="s">
        <v>281</v>
      </c>
      <c r="H776" t="s">
        <v>32</v>
      </c>
      <c r="I776" t="s">
        <v>16</v>
      </c>
      <c r="J776" s="7">
        <v>44356</v>
      </c>
      <c r="K776" s="7">
        <v>44601</v>
      </c>
      <c r="L776" s="5">
        <v>50</v>
      </c>
      <c r="M776" t="s">
        <v>150</v>
      </c>
      <c r="N776" t="s">
        <v>279</v>
      </c>
      <c r="O776">
        <v>50</v>
      </c>
      <c r="P776" t="s">
        <v>206</v>
      </c>
      <c r="Q776" t="s">
        <v>28</v>
      </c>
      <c r="R776">
        <v>61</v>
      </c>
      <c r="S776">
        <v>1</v>
      </c>
      <c r="T776" t="s">
        <v>83</v>
      </c>
      <c r="U776" t="s">
        <v>61</v>
      </c>
      <c r="V776">
        <v>1.81</v>
      </c>
      <c r="W776">
        <v>2.55</v>
      </c>
      <c r="X776">
        <v>1.5</v>
      </c>
      <c r="Y776">
        <v>13.2</v>
      </c>
      <c r="Z776">
        <v>11.7</v>
      </c>
    </row>
    <row r="777" spans="1:26">
      <c r="A777" t="s">
        <v>1253</v>
      </c>
      <c r="B777">
        <v>69</v>
      </c>
      <c r="C777" t="s">
        <v>70</v>
      </c>
      <c r="D777" t="s">
        <v>44</v>
      </c>
      <c r="E777" t="s">
        <v>272</v>
      </c>
      <c r="F777" t="s">
        <v>264</v>
      </c>
      <c r="G777" t="s">
        <v>306</v>
      </c>
      <c r="H777" t="s">
        <v>29</v>
      </c>
      <c r="I777" t="s">
        <v>19</v>
      </c>
      <c r="J777" s="7">
        <v>44856</v>
      </c>
      <c r="K777" s="7">
        <v>45404</v>
      </c>
      <c r="L777" s="5">
        <v>150</v>
      </c>
      <c r="M777" t="s">
        <v>150</v>
      </c>
      <c r="N777" t="s">
        <v>779</v>
      </c>
      <c r="O777">
        <v>150</v>
      </c>
      <c r="P777" t="s">
        <v>206</v>
      </c>
      <c r="Q777" t="s">
        <v>150</v>
      </c>
      <c r="R777">
        <v>152</v>
      </c>
      <c r="S777">
        <v>1</v>
      </c>
      <c r="T777" t="s">
        <v>83</v>
      </c>
      <c r="U777" t="s">
        <v>63</v>
      </c>
      <c r="V777">
        <v>2.93</v>
      </c>
      <c r="W777">
        <v>2.53</v>
      </c>
      <c r="X777">
        <v>8.6</v>
      </c>
      <c r="Y777">
        <v>8.6</v>
      </c>
      <c r="Z777">
        <v>11.6</v>
      </c>
    </row>
    <row r="778" spans="1:26">
      <c r="A778" t="s">
        <v>1254</v>
      </c>
      <c r="B778">
        <v>50</v>
      </c>
      <c r="C778" t="s">
        <v>70</v>
      </c>
      <c r="D778" t="s">
        <v>43</v>
      </c>
      <c r="E778" t="s">
        <v>311</v>
      </c>
      <c r="F778" t="s">
        <v>268</v>
      </c>
      <c r="G778" t="s">
        <v>291</v>
      </c>
      <c r="H778" t="s">
        <v>29</v>
      </c>
      <c r="I778" t="s">
        <v>16</v>
      </c>
      <c r="J778" s="7">
        <v>43556</v>
      </c>
      <c r="K778" s="7">
        <v>44105</v>
      </c>
      <c r="L778" s="5">
        <v>200</v>
      </c>
      <c r="M778" t="s">
        <v>26</v>
      </c>
      <c r="N778" t="s">
        <v>586</v>
      </c>
      <c r="O778">
        <v>200</v>
      </c>
      <c r="P778" t="s">
        <v>211</v>
      </c>
      <c r="Q778" t="s">
        <v>28</v>
      </c>
      <c r="R778">
        <v>155</v>
      </c>
      <c r="S778">
        <v>0</v>
      </c>
      <c r="T778" t="s">
        <v>78</v>
      </c>
      <c r="U778" t="s">
        <v>61</v>
      </c>
      <c r="V778">
        <v>1.25</v>
      </c>
      <c r="W778">
        <v>1.28</v>
      </c>
      <c r="X778">
        <v>6.2</v>
      </c>
      <c r="Y778">
        <v>16.2</v>
      </c>
      <c r="Z778">
        <v>17.9</v>
      </c>
    </row>
    <row r="779" spans="1:26">
      <c r="A779" t="s">
        <v>1255</v>
      </c>
      <c r="B779">
        <v>84</v>
      </c>
      <c r="C779" t="s">
        <v>71</v>
      </c>
      <c r="D779" t="s">
        <v>44</v>
      </c>
      <c r="E779" t="s">
        <v>311</v>
      </c>
      <c r="F779" t="s">
        <v>150</v>
      </c>
      <c r="G779" t="s">
        <v>327</v>
      </c>
      <c r="H779" t="s">
        <v>34</v>
      </c>
      <c r="I779" t="s">
        <v>16</v>
      </c>
      <c r="J779" s="7">
        <v>44105</v>
      </c>
      <c r="K779" s="7">
        <v>44621</v>
      </c>
      <c r="L779" s="5">
        <v>50</v>
      </c>
      <c r="M779" t="s">
        <v>28</v>
      </c>
      <c r="N779" t="s">
        <v>518</v>
      </c>
      <c r="O779">
        <v>50</v>
      </c>
      <c r="P779" t="s">
        <v>206</v>
      </c>
      <c r="Q779" t="s">
        <v>25</v>
      </c>
      <c r="R779">
        <v>40</v>
      </c>
      <c r="S779">
        <v>1</v>
      </c>
      <c r="T779" t="s">
        <v>82</v>
      </c>
      <c r="U779" t="s">
        <v>61</v>
      </c>
      <c r="V779">
        <v>3.23</v>
      </c>
      <c r="W779">
        <v>4.84</v>
      </c>
      <c r="X779">
        <v>1.4</v>
      </c>
      <c r="Y779">
        <v>7.8</v>
      </c>
      <c r="Z779">
        <v>3.7</v>
      </c>
    </row>
    <row r="780" spans="1:26">
      <c r="A780" t="s">
        <v>1256</v>
      </c>
      <c r="B780">
        <v>31</v>
      </c>
      <c r="C780" t="s">
        <v>71</v>
      </c>
      <c r="D780" t="s">
        <v>42</v>
      </c>
      <c r="E780" t="s">
        <v>272</v>
      </c>
      <c r="F780" t="s">
        <v>150</v>
      </c>
      <c r="G780" t="s">
        <v>256</v>
      </c>
      <c r="H780" t="s">
        <v>29</v>
      </c>
      <c r="I780" t="s">
        <v>16</v>
      </c>
      <c r="J780" s="7">
        <v>44364</v>
      </c>
      <c r="K780" s="7">
        <v>44668</v>
      </c>
      <c r="L780" s="5">
        <v>200</v>
      </c>
      <c r="M780" t="s">
        <v>26</v>
      </c>
      <c r="N780" t="s">
        <v>779</v>
      </c>
      <c r="O780">
        <v>200</v>
      </c>
      <c r="P780" t="s">
        <v>206</v>
      </c>
      <c r="Q780" t="s">
        <v>26</v>
      </c>
      <c r="R780">
        <v>36</v>
      </c>
      <c r="S780">
        <v>1</v>
      </c>
      <c r="T780" t="s">
        <v>83</v>
      </c>
      <c r="U780" t="s">
        <v>61</v>
      </c>
      <c r="V780">
        <v>1.74</v>
      </c>
      <c r="W780">
        <v>3.17</v>
      </c>
      <c r="X780">
        <v>6.8</v>
      </c>
      <c r="Y780">
        <v>6.8</v>
      </c>
      <c r="Z780">
        <v>19.1</v>
      </c>
    </row>
    <row r="781" spans="1:26">
      <c r="A781" t="s">
        <v>1257</v>
      </c>
      <c r="B781">
        <v>41</v>
      </c>
      <c r="C781" t="s">
        <v>70</v>
      </c>
      <c r="D781" t="s">
        <v>44</v>
      </c>
      <c r="E781" t="s">
        <v>255</v>
      </c>
      <c r="F781" t="s">
        <v>150</v>
      </c>
      <c r="G781" t="s">
        <v>431</v>
      </c>
      <c r="H781" t="s">
        <v>34</v>
      </c>
      <c r="I781" t="s">
        <v>20</v>
      </c>
      <c r="J781" s="7">
        <v>45062</v>
      </c>
      <c r="K781" s="7">
        <v>45246</v>
      </c>
      <c r="L781" s="5">
        <v>100</v>
      </c>
      <c r="M781" t="s">
        <v>25</v>
      </c>
      <c r="N781" t="s">
        <v>262</v>
      </c>
      <c r="O781">
        <v>100</v>
      </c>
      <c r="P781" t="s">
        <v>211</v>
      </c>
      <c r="Q781" t="s">
        <v>26</v>
      </c>
      <c r="R781">
        <v>81</v>
      </c>
      <c r="S781">
        <v>0</v>
      </c>
      <c r="T781" t="s">
        <v>80</v>
      </c>
      <c r="U781" t="s">
        <v>61</v>
      </c>
      <c r="V781">
        <v>4.37</v>
      </c>
      <c r="W781">
        <v>2.19</v>
      </c>
      <c r="X781">
        <v>1.7</v>
      </c>
      <c r="Y781">
        <v>9.1</v>
      </c>
      <c r="Z781">
        <v>5.2</v>
      </c>
    </row>
    <row r="782" spans="1:26">
      <c r="A782" t="s">
        <v>1258</v>
      </c>
      <c r="B782">
        <v>38</v>
      </c>
      <c r="C782" t="s">
        <v>70</v>
      </c>
      <c r="D782" t="s">
        <v>39</v>
      </c>
      <c r="E782" t="s">
        <v>272</v>
      </c>
      <c r="F782" t="s">
        <v>150</v>
      </c>
      <c r="G782" t="s">
        <v>261</v>
      </c>
      <c r="H782" t="s">
        <v>30</v>
      </c>
      <c r="I782" t="s">
        <v>16</v>
      </c>
      <c r="J782" s="7">
        <v>44472</v>
      </c>
      <c r="K782" s="7">
        <v>44898</v>
      </c>
      <c r="L782" s="5">
        <v>100</v>
      </c>
      <c r="M782" t="s">
        <v>27</v>
      </c>
      <c r="N782" t="s">
        <v>354</v>
      </c>
      <c r="O782">
        <v>100</v>
      </c>
      <c r="P782" t="s">
        <v>206</v>
      </c>
      <c r="Q782" t="s">
        <v>28</v>
      </c>
      <c r="R782">
        <v>98</v>
      </c>
      <c r="S782">
        <v>1</v>
      </c>
      <c r="T782" t="s">
        <v>82</v>
      </c>
      <c r="U782" t="s">
        <v>61</v>
      </c>
      <c r="V782">
        <v>1.49</v>
      </c>
      <c r="W782">
        <v>3.07</v>
      </c>
      <c r="X782">
        <v>3.2</v>
      </c>
      <c r="Y782">
        <v>12.4</v>
      </c>
      <c r="Z782">
        <v>19.8</v>
      </c>
    </row>
    <row r="783" spans="1:26">
      <c r="A783" t="s">
        <v>1259</v>
      </c>
      <c r="B783">
        <v>72</v>
      </c>
      <c r="C783" t="s">
        <v>71</v>
      </c>
      <c r="D783" t="s">
        <v>39</v>
      </c>
      <c r="E783" t="s">
        <v>150</v>
      </c>
      <c r="F783" t="s">
        <v>150</v>
      </c>
      <c r="G783" t="s">
        <v>312</v>
      </c>
      <c r="H783" t="s">
        <v>29</v>
      </c>
      <c r="I783" t="s">
        <v>16</v>
      </c>
      <c r="J783" s="7">
        <v>43696</v>
      </c>
      <c r="K783" s="7">
        <v>44093</v>
      </c>
      <c r="L783" s="5">
        <v>200</v>
      </c>
      <c r="M783" t="s">
        <v>150</v>
      </c>
      <c r="N783" t="s">
        <v>371</v>
      </c>
      <c r="O783">
        <v>200</v>
      </c>
      <c r="P783" t="s">
        <v>206</v>
      </c>
      <c r="Q783" t="s">
        <v>150</v>
      </c>
      <c r="R783">
        <v>179</v>
      </c>
      <c r="S783">
        <v>1</v>
      </c>
      <c r="T783" t="s">
        <v>78</v>
      </c>
      <c r="U783" t="s">
        <v>63</v>
      </c>
      <c r="V783">
        <v>3.74</v>
      </c>
      <c r="W783">
        <v>4.8</v>
      </c>
      <c r="X783">
        <v>2.3</v>
      </c>
      <c r="Y783">
        <v>12.9</v>
      </c>
      <c r="Z783">
        <v>12.4</v>
      </c>
    </row>
    <row r="784" spans="1:26">
      <c r="A784" t="s">
        <v>1260</v>
      </c>
      <c r="B784">
        <v>52</v>
      </c>
      <c r="C784" t="s">
        <v>44</v>
      </c>
      <c r="D784" t="s">
        <v>42</v>
      </c>
      <c r="E784" t="s">
        <v>150</v>
      </c>
      <c r="F784" t="s">
        <v>277</v>
      </c>
      <c r="G784" t="s">
        <v>256</v>
      </c>
      <c r="H784" t="s">
        <v>30</v>
      </c>
      <c r="I784" t="s">
        <v>16</v>
      </c>
      <c r="J784" s="7">
        <v>44489</v>
      </c>
      <c r="K784" s="7">
        <v>44915</v>
      </c>
      <c r="L784" s="5">
        <v>50</v>
      </c>
      <c r="M784" t="s">
        <v>150</v>
      </c>
      <c r="N784" t="s">
        <v>488</v>
      </c>
      <c r="O784">
        <v>50</v>
      </c>
      <c r="P784" t="s">
        <v>205</v>
      </c>
      <c r="Q784" t="s">
        <v>27</v>
      </c>
      <c r="R784">
        <v>87</v>
      </c>
      <c r="S784">
        <v>0</v>
      </c>
      <c r="T784" t="s">
        <v>83</v>
      </c>
      <c r="U784" t="s">
        <v>63</v>
      </c>
      <c r="V784">
        <v>1.31</v>
      </c>
      <c r="W784">
        <v>1.02</v>
      </c>
      <c r="X784">
        <v>7</v>
      </c>
      <c r="Y784">
        <v>17.6</v>
      </c>
      <c r="Z784">
        <v>10</v>
      </c>
    </row>
    <row r="785" spans="1:26">
      <c r="A785" t="s">
        <v>1261</v>
      </c>
      <c r="B785">
        <v>77</v>
      </c>
      <c r="C785" t="s">
        <v>44</v>
      </c>
      <c r="D785" t="s">
        <v>43</v>
      </c>
      <c r="E785" t="s">
        <v>311</v>
      </c>
      <c r="F785" t="s">
        <v>150</v>
      </c>
      <c r="G785" t="s">
        <v>297</v>
      </c>
      <c r="H785" t="s">
        <v>32</v>
      </c>
      <c r="I785" t="s">
        <v>16</v>
      </c>
      <c r="J785" s="7">
        <v>44746</v>
      </c>
      <c r="K785" s="7">
        <v>44989</v>
      </c>
      <c r="L785" s="5">
        <v>100</v>
      </c>
      <c r="M785" t="s">
        <v>150</v>
      </c>
      <c r="N785" t="s">
        <v>938</v>
      </c>
      <c r="O785">
        <v>100</v>
      </c>
      <c r="P785" t="s">
        <v>211</v>
      </c>
      <c r="Q785" t="s">
        <v>25</v>
      </c>
      <c r="R785">
        <v>98</v>
      </c>
      <c r="S785">
        <v>0</v>
      </c>
      <c r="T785" t="s">
        <v>78</v>
      </c>
      <c r="U785" t="s">
        <v>63</v>
      </c>
      <c r="V785">
        <v>2.96</v>
      </c>
      <c r="W785">
        <v>2.66</v>
      </c>
      <c r="X785">
        <v>1.2</v>
      </c>
      <c r="Y785">
        <v>12</v>
      </c>
      <c r="Z785">
        <v>6</v>
      </c>
    </row>
    <row r="786" spans="1:26">
      <c r="A786" t="s">
        <v>1262</v>
      </c>
      <c r="B786">
        <v>40</v>
      </c>
      <c r="C786" t="s">
        <v>70</v>
      </c>
      <c r="D786" t="s">
        <v>43</v>
      </c>
      <c r="E786" t="s">
        <v>259</v>
      </c>
      <c r="F786" t="s">
        <v>268</v>
      </c>
      <c r="G786" t="s">
        <v>274</v>
      </c>
      <c r="H786" t="s">
        <v>32</v>
      </c>
      <c r="I786" t="s">
        <v>16</v>
      </c>
      <c r="J786" s="7">
        <v>45164</v>
      </c>
      <c r="K786" s="7">
        <v>45348</v>
      </c>
      <c r="L786" s="5">
        <v>50</v>
      </c>
      <c r="M786" t="s">
        <v>150</v>
      </c>
      <c r="N786" t="s">
        <v>699</v>
      </c>
      <c r="O786">
        <v>50</v>
      </c>
      <c r="P786" t="s">
        <v>206</v>
      </c>
      <c r="Q786" t="s">
        <v>28</v>
      </c>
      <c r="R786">
        <v>84</v>
      </c>
      <c r="S786">
        <v>1</v>
      </c>
      <c r="T786" t="s">
        <v>82</v>
      </c>
      <c r="U786" t="s">
        <v>63</v>
      </c>
      <c r="V786">
        <v>1.39</v>
      </c>
      <c r="W786">
        <v>4.83</v>
      </c>
      <c r="X786">
        <v>6.4</v>
      </c>
      <c r="Y786">
        <v>19.1</v>
      </c>
      <c r="Z786">
        <v>8.4</v>
      </c>
    </row>
    <row r="787" spans="1:26">
      <c r="A787" t="s">
        <v>1263</v>
      </c>
      <c r="B787">
        <v>83</v>
      </c>
      <c r="C787" t="s">
        <v>70</v>
      </c>
      <c r="D787" t="s">
        <v>44</v>
      </c>
      <c r="E787" t="s">
        <v>259</v>
      </c>
      <c r="F787" t="s">
        <v>260</v>
      </c>
      <c r="G787" t="s">
        <v>291</v>
      </c>
      <c r="H787" t="s">
        <v>30</v>
      </c>
      <c r="I787" t="s">
        <v>16</v>
      </c>
      <c r="J787" s="7">
        <v>44255</v>
      </c>
      <c r="K787" s="7">
        <v>44679</v>
      </c>
      <c r="L787" s="5">
        <v>50</v>
      </c>
      <c r="M787" t="s">
        <v>150</v>
      </c>
      <c r="N787" t="s">
        <v>457</v>
      </c>
      <c r="O787">
        <v>50</v>
      </c>
      <c r="P787" t="s">
        <v>205</v>
      </c>
      <c r="Q787" t="s">
        <v>25</v>
      </c>
      <c r="R787">
        <v>176</v>
      </c>
      <c r="S787">
        <v>0</v>
      </c>
      <c r="T787" t="s">
        <v>80</v>
      </c>
      <c r="U787" t="s">
        <v>61</v>
      </c>
      <c r="V787">
        <v>2.57</v>
      </c>
      <c r="W787">
        <v>1.95</v>
      </c>
      <c r="X787">
        <v>1.9</v>
      </c>
      <c r="Y787">
        <v>9.2</v>
      </c>
      <c r="Z787">
        <v>16.6</v>
      </c>
    </row>
    <row r="788" spans="1:26">
      <c r="A788" t="s">
        <v>1264</v>
      </c>
      <c r="B788">
        <v>36</v>
      </c>
      <c r="C788" t="s">
        <v>71</v>
      </c>
      <c r="D788" t="s">
        <v>42</v>
      </c>
      <c r="E788" t="s">
        <v>272</v>
      </c>
      <c r="F788" t="s">
        <v>150</v>
      </c>
      <c r="G788" t="s">
        <v>319</v>
      </c>
      <c r="H788" t="s">
        <v>32</v>
      </c>
      <c r="I788" t="s">
        <v>16</v>
      </c>
      <c r="J788" s="7">
        <v>43721</v>
      </c>
      <c r="K788" s="7">
        <v>44025</v>
      </c>
      <c r="L788" s="5">
        <v>150</v>
      </c>
      <c r="M788" t="s">
        <v>26</v>
      </c>
      <c r="N788" t="s">
        <v>686</v>
      </c>
      <c r="O788">
        <v>150</v>
      </c>
      <c r="P788" t="s">
        <v>211</v>
      </c>
      <c r="Q788" t="s">
        <v>25</v>
      </c>
      <c r="R788">
        <v>161</v>
      </c>
      <c r="S788">
        <v>0</v>
      </c>
      <c r="T788" t="s">
        <v>78</v>
      </c>
      <c r="U788" t="s">
        <v>61</v>
      </c>
      <c r="V788">
        <v>3.71</v>
      </c>
      <c r="W788">
        <v>3.19</v>
      </c>
      <c r="X788">
        <v>5.3</v>
      </c>
      <c r="Y788">
        <v>22.6</v>
      </c>
      <c r="Z788">
        <v>4.2</v>
      </c>
    </row>
    <row r="789" spans="1:26">
      <c r="A789" t="s">
        <v>1265</v>
      </c>
      <c r="B789">
        <v>82</v>
      </c>
      <c r="C789" t="s">
        <v>70</v>
      </c>
      <c r="D789" t="s">
        <v>43</v>
      </c>
      <c r="E789" t="s">
        <v>311</v>
      </c>
      <c r="F789" t="s">
        <v>150</v>
      </c>
      <c r="G789" t="s">
        <v>291</v>
      </c>
      <c r="H789" t="s">
        <v>29</v>
      </c>
      <c r="I789" t="s">
        <v>19</v>
      </c>
      <c r="J789" s="7">
        <v>44940</v>
      </c>
      <c r="K789" s="7">
        <v>45336</v>
      </c>
      <c r="L789" s="5">
        <v>150</v>
      </c>
      <c r="M789" t="s">
        <v>28</v>
      </c>
      <c r="N789" t="s">
        <v>295</v>
      </c>
      <c r="O789">
        <v>150</v>
      </c>
      <c r="P789" t="s">
        <v>211</v>
      </c>
      <c r="Q789" t="s">
        <v>25</v>
      </c>
      <c r="R789">
        <v>51</v>
      </c>
      <c r="S789">
        <v>0</v>
      </c>
      <c r="T789" t="s">
        <v>81</v>
      </c>
      <c r="U789" t="s">
        <v>61</v>
      </c>
      <c r="V789">
        <v>2.12</v>
      </c>
      <c r="W789">
        <v>2.4</v>
      </c>
      <c r="X789">
        <v>8</v>
      </c>
      <c r="Y789">
        <v>23.9</v>
      </c>
      <c r="Z789">
        <v>7.1</v>
      </c>
    </row>
    <row r="790" spans="1:26">
      <c r="A790" t="s">
        <v>1266</v>
      </c>
      <c r="B790">
        <v>29</v>
      </c>
      <c r="C790" t="s">
        <v>44</v>
      </c>
      <c r="D790" t="s">
        <v>42</v>
      </c>
      <c r="E790" t="s">
        <v>259</v>
      </c>
      <c r="F790" t="s">
        <v>150</v>
      </c>
      <c r="G790" t="s">
        <v>269</v>
      </c>
      <c r="H790" t="s">
        <v>32</v>
      </c>
      <c r="I790" t="s">
        <v>18</v>
      </c>
      <c r="J790" s="7">
        <v>45244</v>
      </c>
      <c r="K790" s="7">
        <v>45671</v>
      </c>
      <c r="L790" s="5">
        <v>100</v>
      </c>
      <c r="M790" t="s">
        <v>27</v>
      </c>
      <c r="N790" t="s">
        <v>352</v>
      </c>
      <c r="O790">
        <v>100</v>
      </c>
      <c r="P790" t="s">
        <v>205</v>
      </c>
      <c r="Q790" t="s">
        <v>28</v>
      </c>
      <c r="R790">
        <v>98</v>
      </c>
      <c r="S790">
        <v>0</v>
      </c>
      <c r="T790" t="s">
        <v>83</v>
      </c>
      <c r="U790" t="s">
        <v>61</v>
      </c>
      <c r="V790">
        <v>4.5</v>
      </c>
      <c r="W790">
        <v>4.32</v>
      </c>
      <c r="X790">
        <v>3</v>
      </c>
      <c r="Y790">
        <v>13.2</v>
      </c>
      <c r="Z790">
        <v>10</v>
      </c>
    </row>
    <row r="791" spans="1:26">
      <c r="A791" t="s">
        <v>1267</v>
      </c>
      <c r="B791">
        <v>47</v>
      </c>
      <c r="C791" t="s">
        <v>44</v>
      </c>
      <c r="D791" t="s">
        <v>42</v>
      </c>
      <c r="E791" t="s">
        <v>150</v>
      </c>
      <c r="F791" t="s">
        <v>150</v>
      </c>
      <c r="G791" t="s">
        <v>294</v>
      </c>
      <c r="H791" t="s">
        <v>34</v>
      </c>
      <c r="I791" t="s">
        <v>16</v>
      </c>
      <c r="J791" s="7">
        <v>44379</v>
      </c>
      <c r="K791" s="7">
        <v>44775</v>
      </c>
      <c r="L791" s="5">
        <v>100</v>
      </c>
      <c r="M791" t="s">
        <v>27</v>
      </c>
      <c r="N791" t="s">
        <v>435</v>
      </c>
      <c r="O791">
        <v>100</v>
      </c>
      <c r="P791" t="s">
        <v>205</v>
      </c>
      <c r="Q791" t="s">
        <v>25</v>
      </c>
      <c r="R791">
        <v>172</v>
      </c>
      <c r="S791">
        <v>0</v>
      </c>
      <c r="T791" t="s">
        <v>78</v>
      </c>
      <c r="U791" t="s">
        <v>61</v>
      </c>
      <c r="V791">
        <v>4.91</v>
      </c>
      <c r="W791">
        <v>1.72</v>
      </c>
      <c r="X791">
        <v>8.2</v>
      </c>
      <c r="Y791">
        <v>12</v>
      </c>
      <c r="Z791">
        <v>15.4</v>
      </c>
    </row>
    <row r="792" spans="1:26">
      <c r="A792" t="s">
        <v>1268</v>
      </c>
      <c r="B792">
        <v>66</v>
      </c>
      <c r="C792" t="s">
        <v>70</v>
      </c>
      <c r="D792" t="s">
        <v>42</v>
      </c>
      <c r="E792" t="s">
        <v>272</v>
      </c>
      <c r="F792" t="s">
        <v>150</v>
      </c>
      <c r="G792" t="s">
        <v>297</v>
      </c>
      <c r="H792" t="s">
        <v>30</v>
      </c>
      <c r="I792" t="s">
        <v>19</v>
      </c>
      <c r="J792" s="7">
        <v>43752</v>
      </c>
      <c r="K792" s="7">
        <v>44269</v>
      </c>
      <c r="L792" s="5">
        <v>150</v>
      </c>
      <c r="M792" t="s">
        <v>27</v>
      </c>
      <c r="N792" t="s">
        <v>941</v>
      </c>
      <c r="O792">
        <v>150</v>
      </c>
      <c r="P792" t="s">
        <v>205</v>
      </c>
      <c r="Q792" t="s">
        <v>150</v>
      </c>
      <c r="R792">
        <v>139</v>
      </c>
      <c r="S792">
        <v>0</v>
      </c>
      <c r="T792" t="s">
        <v>83</v>
      </c>
      <c r="U792" t="s">
        <v>61</v>
      </c>
      <c r="V792">
        <v>2.68</v>
      </c>
      <c r="W792">
        <v>3.31</v>
      </c>
      <c r="X792">
        <v>8.5</v>
      </c>
      <c r="Y792">
        <v>20.5</v>
      </c>
      <c r="Z792">
        <v>17.7</v>
      </c>
    </row>
    <row r="793" spans="1:26">
      <c r="A793" t="s">
        <v>1269</v>
      </c>
      <c r="B793">
        <v>75</v>
      </c>
      <c r="C793" t="s">
        <v>44</v>
      </c>
      <c r="D793" t="s">
        <v>39</v>
      </c>
      <c r="E793" t="s">
        <v>259</v>
      </c>
      <c r="F793" t="s">
        <v>277</v>
      </c>
      <c r="G793" t="s">
        <v>281</v>
      </c>
      <c r="H793" t="s">
        <v>32</v>
      </c>
      <c r="I793" t="s">
        <v>16</v>
      </c>
      <c r="J793" s="7">
        <v>44626</v>
      </c>
      <c r="K793" s="7">
        <v>44963</v>
      </c>
      <c r="L793" s="5">
        <v>100</v>
      </c>
      <c r="M793" t="s">
        <v>27</v>
      </c>
      <c r="N793" t="s">
        <v>1205</v>
      </c>
      <c r="O793">
        <v>100</v>
      </c>
      <c r="P793" t="s">
        <v>206</v>
      </c>
      <c r="Q793" t="s">
        <v>28</v>
      </c>
      <c r="R793">
        <v>158</v>
      </c>
      <c r="S793">
        <v>1</v>
      </c>
      <c r="T793" t="s">
        <v>80</v>
      </c>
      <c r="U793" t="s">
        <v>63</v>
      </c>
      <c r="V793">
        <v>1.24</v>
      </c>
      <c r="W793">
        <v>3.77</v>
      </c>
      <c r="X793">
        <v>2.3</v>
      </c>
      <c r="Y793">
        <v>13.5</v>
      </c>
      <c r="Z793">
        <v>12.3</v>
      </c>
    </row>
    <row r="794" spans="1:26">
      <c r="A794" t="s">
        <v>1270</v>
      </c>
      <c r="B794">
        <v>52</v>
      </c>
      <c r="C794" t="s">
        <v>44</v>
      </c>
      <c r="D794" t="s">
        <v>43</v>
      </c>
      <c r="E794" t="s">
        <v>255</v>
      </c>
      <c r="F794" t="s">
        <v>150</v>
      </c>
      <c r="G794" t="s">
        <v>265</v>
      </c>
      <c r="H794" t="s">
        <v>29</v>
      </c>
      <c r="I794" t="s">
        <v>20</v>
      </c>
      <c r="J794" s="7">
        <v>43964</v>
      </c>
      <c r="K794" s="7">
        <v>44360</v>
      </c>
      <c r="L794" s="5">
        <v>100</v>
      </c>
      <c r="M794" t="s">
        <v>27</v>
      </c>
      <c r="N794" t="s">
        <v>516</v>
      </c>
      <c r="O794">
        <v>100</v>
      </c>
      <c r="P794" t="s">
        <v>205</v>
      </c>
      <c r="Q794" t="s">
        <v>28</v>
      </c>
      <c r="R794">
        <v>52</v>
      </c>
      <c r="S794">
        <v>0</v>
      </c>
      <c r="T794" t="s">
        <v>81</v>
      </c>
      <c r="U794" t="s">
        <v>63</v>
      </c>
      <c r="V794">
        <v>2.61</v>
      </c>
      <c r="W794">
        <v>3.08</v>
      </c>
      <c r="X794">
        <v>10</v>
      </c>
      <c r="Y794">
        <v>8.4</v>
      </c>
      <c r="Z794">
        <v>14.5</v>
      </c>
    </row>
    <row r="795" spans="1:26">
      <c r="A795" t="s">
        <v>1271</v>
      </c>
      <c r="B795">
        <v>45</v>
      </c>
      <c r="C795" t="s">
        <v>71</v>
      </c>
      <c r="D795" t="s">
        <v>44</v>
      </c>
      <c r="E795" t="s">
        <v>259</v>
      </c>
      <c r="F795" t="s">
        <v>268</v>
      </c>
      <c r="G795" t="s">
        <v>288</v>
      </c>
      <c r="H795" t="s">
        <v>30</v>
      </c>
      <c r="I795" t="s">
        <v>20</v>
      </c>
      <c r="J795" s="7">
        <v>43562</v>
      </c>
      <c r="K795" s="7">
        <v>43958</v>
      </c>
      <c r="L795" s="5">
        <v>200</v>
      </c>
      <c r="M795" t="s">
        <v>150</v>
      </c>
      <c r="N795" t="s">
        <v>406</v>
      </c>
      <c r="O795">
        <v>200</v>
      </c>
      <c r="P795" t="s">
        <v>206</v>
      </c>
      <c r="Q795" t="s">
        <v>28</v>
      </c>
      <c r="R795">
        <v>95</v>
      </c>
      <c r="S795">
        <v>1</v>
      </c>
      <c r="T795" t="s">
        <v>81</v>
      </c>
      <c r="U795" t="s">
        <v>63</v>
      </c>
      <c r="V795">
        <v>2.58</v>
      </c>
      <c r="W795">
        <v>1.53</v>
      </c>
      <c r="X795">
        <v>2.4</v>
      </c>
      <c r="Y795">
        <v>23.1</v>
      </c>
      <c r="Z795">
        <v>18</v>
      </c>
    </row>
    <row r="796" spans="1:26">
      <c r="A796" t="s">
        <v>1272</v>
      </c>
      <c r="B796">
        <v>69</v>
      </c>
      <c r="C796" t="s">
        <v>70</v>
      </c>
      <c r="D796" t="s">
        <v>42</v>
      </c>
      <c r="E796" t="s">
        <v>259</v>
      </c>
      <c r="F796" t="s">
        <v>264</v>
      </c>
      <c r="G796" t="s">
        <v>362</v>
      </c>
      <c r="H796" t="s">
        <v>34</v>
      </c>
      <c r="I796" t="s">
        <v>18</v>
      </c>
      <c r="J796" s="7">
        <v>44247</v>
      </c>
      <c r="K796" s="7">
        <v>44459</v>
      </c>
      <c r="L796" s="5">
        <v>200</v>
      </c>
      <c r="M796" t="s">
        <v>28</v>
      </c>
      <c r="N796" t="s">
        <v>307</v>
      </c>
      <c r="O796">
        <v>200</v>
      </c>
      <c r="P796" t="s">
        <v>211</v>
      </c>
      <c r="Q796" t="s">
        <v>150</v>
      </c>
      <c r="R796">
        <v>37</v>
      </c>
      <c r="S796">
        <v>0</v>
      </c>
      <c r="T796" t="s">
        <v>80</v>
      </c>
      <c r="U796" t="s">
        <v>61</v>
      </c>
      <c r="V796">
        <v>4.63</v>
      </c>
      <c r="W796">
        <v>4.97</v>
      </c>
      <c r="X796">
        <v>2.9</v>
      </c>
      <c r="Y796">
        <v>12.4</v>
      </c>
      <c r="Z796">
        <v>14.4</v>
      </c>
    </row>
    <row r="797" spans="1:26">
      <c r="A797" t="s">
        <v>1273</v>
      </c>
      <c r="B797">
        <v>69</v>
      </c>
      <c r="C797" t="s">
        <v>71</v>
      </c>
      <c r="D797" t="s">
        <v>43</v>
      </c>
      <c r="E797" t="s">
        <v>272</v>
      </c>
      <c r="F797" t="s">
        <v>150</v>
      </c>
      <c r="G797" t="s">
        <v>294</v>
      </c>
      <c r="H797" t="s">
        <v>30</v>
      </c>
      <c r="I797" t="s">
        <v>19</v>
      </c>
      <c r="J797" s="7">
        <v>45188</v>
      </c>
      <c r="K797" s="7">
        <v>45735</v>
      </c>
      <c r="L797" s="5">
        <v>50</v>
      </c>
      <c r="M797" t="s">
        <v>25</v>
      </c>
      <c r="N797" t="s">
        <v>670</v>
      </c>
      <c r="O797">
        <v>50</v>
      </c>
      <c r="P797" t="s">
        <v>205</v>
      </c>
      <c r="Q797" t="s">
        <v>26</v>
      </c>
      <c r="R797">
        <v>54</v>
      </c>
      <c r="S797">
        <v>0</v>
      </c>
      <c r="T797" t="s">
        <v>81</v>
      </c>
      <c r="U797" t="s">
        <v>63</v>
      </c>
      <c r="V797">
        <v>2.94</v>
      </c>
      <c r="W797">
        <v>2.67</v>
      </c>
      <c r="X797">
        <v>4.2</v>
      </c>
      <c r="Y797">
        <v>16.7</v>
      </c>
      <c r="Z797">
        <v>12.8</v>
      </c>
    </row>
    <row r="798" spans="1:26">
      <c r="A798" t="s">
        <v>1274</v>
      </c>
      <c r="B798">
        <v>74</v>
      </c>
      <c r="C798" t="s">
        <v>70</v>
      </c>
      <c r="D798" t="s">
        <v>43</v>
      </c>
      <c r="E798" t="s">
        <v>255</v>
      </c>
      <c r="F798" t="s">
        <v>150</v>
      </c>
      <c r="G798" t="s">
        <v>284</v>
      </c>
      <c r="H798" t="s">
        <v>30</v>
      </c>
      <c r="I798" t="s">
        <v>19</v>
      </c>
      <c r="J798" s="7">
        <v>44998</v>
      </c>
      <c r="K798" s="7">
        <v>45486</v>
      </c>
      <c r="L798" s="5">
        <v>200</v>
      </c>
      <c r="M798" t="s">
        <v>25</v>
      </c>
      <c r="N798" t="s">
        <v>266</v>
      </c>
      <c r="O798">
        <v>200</v>
      </c>
      <c r="P798" t="s">
        <v>205</v>
      </c>
      <c r="Q798" t="s">
        <v>25</v>
      </c>
      <c r="R798">
        <v>93</v>
      </c>
      <c r="S798">
        <v>0</v>
      </c>
      <c r="T798" t="s">
        <v>80</v>
      </c>
      <c r="U798" t="s">
        <v>61</v>
      </c>
      <c r="V798">
        <v>1.65</v>
      </c>
      <c r="W798">
        <v>2.89</v>
      </c>
      <c r="X798">
        <v>6</v>
      </c>
      <c r="Y798">
        <v>16.3</v>
      </c>
      <c r="Z798">
        <v>6.6</v>
      </c>
    </row>
    <row r="799" spans="1:26">
      <c r="A799" t="s">
        <v>1275</v>
      </c>
      <c r="B799">
        <v>74</v>
      </c>
      <c r="C799" t="s">
        <v>70</v>
      </c>
      <c r="D799" t="s">
        <v>44</v>
      </c>
      <c r="E799" t="s">
        <v>272</v>
      </c>
      <c r="F799" t="s">
        <v>150</v>
      </c>
      <c r="G799" t="s">
        <v>294</v>
      </c>
      <c r="H799" t="s">
        <v>32</v>
      </c>
      <c r="I799" t="s">
        <v>19</v>
      </c>
      <c r="J799" s="7">
        <v>45057</v>
      </c>
      <c r="K799" s="7">
        <v>45607</v>
      </c>
      <c r="L799" s="5">
        <v>50</v>
      </c>
      <c r="M799" t="s">
        <v>28</v>
      </c>
      <c r="N799" t="s">
        <v>266</v>
      </c>
      <c r="O799">
        <v>50</v>
      </c>
      <c r="P799" t="s">
        <v>206</v>
      </c>
      <c r="Q799" t="s">
        <v>25</v>
      </c>
      <c r="R799">
        <v>76</v>
      </c>
      <c r="S799">
        <v>1</v>
      </c>
      <c r="T799" t="s">
        <v>83</v>
      </c>
      <c r="U799" t="s">
        <v>61</v>
      </c>
      <c r="V799">
        <v>3.97</v>
      </c>
      <c r="W799">
        <v>1.1</v>
      </c>
      <c r="X799">
        <v>4.2</v>
      </c>
      <c r="Y799">
        <v>20</v>
      </c>
      <c r="Z799">
        <v>12.6</v>
      </c>
    </row>
    <row r="800" spans="1:26">
      <c r="A800" t="s">
        <v>1276</v>
      </c>
      <c r="B800">
        <v>64</v>
      </c>
      <c r="C800" t="s">
        <v>71</v>
      </c>
      <c r="D800" t="s">
        <v>43</v>
      </c>
      <c r="E800" t="s">
        <v>311</v>
      </c>
      <c r="F800" t="s">
        <v>277</v>
      </c>
      <c r="G800" t="s">
        <v>269</v>
      </c>
      <c r="H800" t="s">
        <v>29</v>
      </c>
      <c r="I800" t="s">
        <v>20</v>
      </c>
      <c r="J800" s="7">
        <v>43582</v>
      </c>
      <c r="K800" s="7">
        <v>44039</v>
      </c>
      <c r="L800" s="5">
        <v>200</v>
      </c>
      <c r="M800" t="s">
        <v>27</v>
      </c>
      <c r="N800" t="s">
        <v>467</v>
      </c>
      <c r="O800">
        <v>200</v>
      </c>
      <c r="P800" t="s">
        <v>206</v>
      </c>
      <c r="Q800" t="s">
        <v>27</v>
      </c>
      <c r="R800">
        <v>62</v>
      </c>
      <c r="S800">
        <v>1</v>
      </c>
      <c r="T800" t="s">
        <v>83</v>
      </c>
      <c r="U800" t="s">
        <v>61</v>
      </c>
      <c r="V800">
        <v>2.04</v>
      </c>
      <c r="W800">
        <v>3.78</v>
      </c>
      <c r="X800">
        <v>6.1</v>
      </c>
      <c r="Y800">
        <v>20.3</v>
      </c>
      <c r="Z800">
        <v>15.5</v>
      </c>
    </row>
    <row r="801" spans="1:26">
      <c r="A801" t="s">
        <v>1277</v>
      </c>
      <c r="B801">
        <v>59</v>
      </c>
      <c r="C801" t="s">
        <v>70</v>
      </c>
      <c r="D801" t="s">
        <v>44</v>
      </c>
      <c r="E801" t="s">
        <v>311</v>
      </c>
      <c r="F801" t="s">
        <v>277</v>
      </c>
      <c r="G801" t="s">
        <v>291</v>
      </c>
      <c r="H801" t="s">
        <v>29</v>
      </c>
      <c r="I801" t="s">
        <v>19</v>
      </c>
      <c r="J801" s="7">
        <v>43968</v>
      </c>
      <c r="K801" s="7">
        <v>44425</v>
      </c>
      <c r="L801" s="5">
        <v>150</v>
      </c>
      <c r="M801" t="s">
        <v>28</v>
      </c>
      <c r="N801" t="s">
        <v>453</v>
      </c>
      <c r="O801">
        <v>150</v>
      </c>
      <c r="P801" t="s">
        <v>211</v>
      </c>
      <c r="Q801" t="s">
        <v>27</v>
      </c>
      <c r="R801">
        <v>100</v>
      </c>
      <c r="S801">
        <v>0</v>
      </c>
      <c r="T801" t="s">
        <v>80</v>
      </c>
      <c r="U801" t="s">
        <v>61</v>
      </c>
      <c r="V801">
        <v>3.44</v>
      </c>
      <c r="W801">
        <v>2.95</v>
      </c>
      <c r="X801">
        <v>2.2</v>
      </c>
      <c r="Y801">
        <v>10.7</v>
      </c>
      <c r="Z801">
        <v>10.1</v>
      </c>
    </row>
    <row r="802" spans="1:26">
      <c r="A802" t="s">
        <v>1278</v>
      </c>
      <c r="B802">
        <v>73</v>
      </c>
      <c r="C802" t="s">
        <v>70</v>
      </c>
      <c r="D802" t="s">
        <v>43</v>
      </c>
      <c r="E802" t="s">
        <v>311</v>
      </c>
      <c r="F802" t="s">
        <v>260</v>
      </c>
      <c r="G802" t="s">
        <v>322</v>
      </c>
      <c r="H802" t="s">
        <v>30</v>
      </c>
      <c r="I802" t="s">
        <v>16</v>
      </c>
      <c r="J802" s="7">
        <v>44361</v>
      </c>
      <c r="K802" s="7">
        <v>44695</v>
      </c>
      <c r="L802" s="5">
        <v>200</v>
      </c>
      <c r="M802" t="s">
        <v>150</v>
      </c>
      <c r="N802" t="s">
        <v>461</v>
      </c>
      <c r="O802">
        <v>200</v>
      </c>
      <c r="P802" t="s">
        <v>211</v>
      </c>
      <c r="Q802" t="s">
        <v>150</v>
      </c>
      <c r="R802">
        <v>111</v>
      </c>
      <c r="S802">
        <v>0</v>
      </c>
      <c r="T802" t="s">
        <v>78</v>
      </c>
      <c r="U802" t="s">
        <v>63</v>
      </c>
      <c r="V802">
        <v>3.4</v>
      </c>
      <c r="W802">
        <v>3.05</v>
      </c>
      <c r="X802">
        <v>3.6</v>
      </c>
      <c r="Y802">
        <v>6.1</v>
      </c>
      <c r="Z802">
        <v>11.4</v>
      </c>
    </row>
    <row r="803" spans="1:26">
      <c r="A803" t="s">
        <v>1279</v>
      </c>
      <c r="B803">
        <v>82</v>
      </c>
      <c r="C803" t="s">
        <v>44</v>
      </c>
      <c r="D803" t="s">
        <v>42</v>
      </c>
      <c r="E803" t="s">
        <v>272</v>
      </c>
      <c r="F803" t="s">
        <v>264</v>
      </c>
      <c r="G803" t="s">
        <v>322</v>
      </c>
      <c r="H803" t="s">
        <v>34</v>
      </c>
      <c r="I803" t="s">
        <v>20</v>
      </c>
      <c r="J803" s="7">
        <v>44141</v>
      </c>
      <c r="K803" s="7">
        <v>44687</v>
      </c>
      <c r="L803" s="5">
        <v>200</v>
      </c>
      <c r="M803" t="s">
        <v>150</v>
      </c>
      <c r="N803" t="s">
        <v>317</v>
      </c>
      <c r="O803">
        <v>200</v>
      </c>
      <c r="P803" t="s">
        <v>211</v>
      </c>
      <c r="Q803" t="s">
        <v>150</v>
      </c>
      <c r="R803">
        <v>118</v>
      </c>
      <c r="S803">
        <v>0</v>
      </c>
      <c r="T803" t="s">
        <v>78</v>
      </c>
      <c r="U803" t="s">
        <v>63</v>
      </c>
      <c r="V803">
        <v>2.14</v>
      </c>
      <c r="W803">
        <v>3.94</v>
      </c>
      <c r="X803">
        <v>1.2</v>
      </c>
      <c r="Y803">
        <v>16.5</v>
      </c>
      <c r="Z803">
        <v>19</v>
      </c>
    </row>
    <row r="804" spans="1:26">
      <c r="A804" t="s">
        <v>1280</v>
      </c>
      <c r="B804">
        <v>19</v>
      </c>
      <c r="C804" t="s">
        <v>44</v>
      </c>
      <c r="D804" t="s">
        <v>43</v>
      </c>
      <c r="E804" t="s">
        <v>259</v>
      </c>
      <c r="F804" t="s">
        <v>150</v>
      </c>
      <c r="G804" t="s">
        <v>284</v>
      </c>
      <c r="H804" t="s">
        <v>30</v>
      </c>
      <c r="I804" t="s">
        <v>18</v>
      </c>
      <c r="J804" s="7">
        <v>44280</v>
      </c>
      <c r="K804" s="7">
        <v>44829</v>
      </c>
      <c r="L804" s="5">
        <v>200</v>
      </c>
      <c r="M804" t="s">
        <v>27</v>
      </c>
      <c r="N804" t="s">
        <v>578</v>
      </c>
      <c r="O804">
        <v>200</v>
      </c>
      <c r="P804" t="s">
        <v>211</v>
      </c>
      <c r="Q804" t="s">
        <v>26</v>
      </c>
      <c r="R804">
        <v>110</v>
      </c>
      <c r="S804">
        <v>0</v>
      </c>
      <c r="T804" t="s">
        <v>80</v>
      </c>
      <c r="U804" t="s">
        <v>63</v>
      </c>
      <c r="V804">
        <v>1.7</v>
      </c>
      <c r="W804">
        <v>2.89</v>
      </c>
      <c r="X804">
        <v>1.8</v>
      </c>
      <c r="Y804">
        <v>17.3</v>
      </c>
      <c r="Z804">
        <v>12.4</v>
      </c>
    </row>
    <row r="805" spans="1:26">
      <c r="A805" t="s">
        <v>1281</v>
      </c>
      <c r="B805">
        <v>67</v>
      </c>
      <c r="C805" t="s">
        <v>71</v>
      </c>
      <c r="D805" t="s">
        <v>42</v>
      </c>
      <c r="E805" t="s">
        <v>311</v>
      </c>
      <c r="F805" t="s">
        <v>277</v>
      </c>
      <c r="G805" t="s">
        <v>294</v>
      </c>
      <c r="H805" t="s">
        <v>32</v>
      </c>
      <c r="I805" t="s">
        <v>19</v>
      </c>
      <c r="J805" s="7">
        <v>45190</v>
      </c>
      <c r="K805" s="7">
        <v>45556</v>
      </c>
      <c r="L805" s="5">
        <v>50</v>
      </c>
      <c r="M805" t="s">
        <v>25</v>
      </c>
      <c r="N805" t="s">
        <v>320</v>
      </c>
      <c r="O805">
        <v>50</v>
      </c>
      <c r="P805" t="s">
        <v>206</v>
      </c>
      <c r="Q805" t="s">
        <v>27</v>
      </c>
      <c r="R805">
        <v>180</v>
      </c>
      <c r="S805">
        <v>1</v>
      </c>
      <c r="T805" t="s">
        <v>80</v>
      </c>
      <c r="U805" t="s">
        <v>61</v>
      </c>
      <c r="V805">
        <v>2.63</v>
      </c>
      <c r="W805">
        <v>3.09</v>
      </c>
      <c r="X805">
        <v>9.1</v>
      </c>
      <c r="Y805">
        <v>9.5</v>
      </c>
      <c r="Z805">
        <v>3.4</v>
      </c>
    </row>
    <row r="806" spans="1:26">
      <c r="A806" t="s">
        <v>1282</v>
      </c>
      <c r="B806">
        <v>79</v>
      </c>
      <c r="C806" t="s">
        <v>44</v>
      </c>
      <c r="D806" t="s">
        <v>43</v>
      </c>
      <c r="E806" t="s">
        <v>255</v>
      </c>
      <c r="F806" t="s">
        <v>277</v>
      </c>
      <c r="G806" t="s">
        <v>288</v>
      </c>
      <c r="H806" t="s">
        <v>32</v>
      </c>
      <c r="I806" t="s">
        <v>20</v>
      </c>
      <c r="J806" s="7">
        <v>43600</v>
      </c>
      <c r="K806" s="7">
        <v>43845</v>
      </c>
      <c r="L806" s="5">
        <v>200</v>
      </c>
      <c r="M806" t="s">
        <v>26</v>
      </c>
      <c r="N806" t="s">
        <v>384</v>
      </c>
      <c r="O806">
        <v>200</v>
      </c>
      <c r="P806" t="s">
        <v>206</v>
      </c>
      <c r="Q806" t="s">
        <v>28</v>
      </c>
      <c r="R806">
        <v>72</v>
      </c>
      <c r="S806">
        <v>1</v>
      </c>
      <c r="T806" t="s">
        <v>83</v>
      </c>
      <c r="U806" t="s">
        <v>63</v>
      </c>
      <c r="V806">
        <v>4.45</v>
      </c>
      <c r="W806">
        <v>3.31</v>
      </c>
      <c r="X806">
        <v>9</v>
      </c>
      <c r="Y806">
        <v>16.7</v>
      </c>
      <c r="Z806">
        <v>16.8</v>
      </c>
    </row>
    <row r="807" spans="1:26">
      <c r="A807" t="s">
        <v>1283</v>
      </c>
      <c r="B807">
        <v>85</v>
      </c>
      <c r="C807" t="s">
        <v>70</v>
      </c>
      <c r="D807" t="s">
        <v>41</v>
      </c>
      <c r="E807" t="s">
        <v>272</v>
      </c>
      <c r="F807" t="s">
        <v>260</v>
      </c>
      <c r="G807" t="s">
        <v>327</v>
      </c>
      <c r="H807" t="s">
        <v>34</v>
      </c>
      <c r="I807" t="s">
        <v>16</v>
      </c>
      <c r="J807" s="7">
        <v>44816</v>
      </c>
      <c r="K807" s="7">
        <v>45303</v>
      </c>
      <c r="L807" s="5">
        <v>100</v>
      </c>
      <c r="M807" t="s">
        <v>150</v>
      </c>
      <c r="N807" t="s">
        <v>578</v>
      </c>
      <c r="O807">
        <v>100</v>
      </c>
      <c r="P807" t="s">
        <v>206</v>
      </c>
      <c r="Q807" t="s">
        <v>28</v>
      </c>
      <c r="R807">
        <v>172</v>
      </c>
      <c r="S807">
        <v>1</v>
      </c>
      <c r="T807" t="s">
        <v>78</v>
      </c>
      <c r="U807" t="s">
        <v>61</v>
      </c>
      <c r="V807">
        <v>2.72</v>
      </c>
      <c r="W807">
        <v>4</v>
      </c>
      <c r="X807">
        <v>9.2</v>
      </c>
      <c r="Y807">
        <v>16.3</v>
      </c>
      <c r="Z807">
        <v>6.1</v>
      </c>
    </row>
    <row r="808" spans="1:26">
      <c r="A808" t="s">
        <v>1284</v>
      </c>
      <c r="B808">
        <v>50</v>
      </c>
      <c r="C808" t="s">
        <v>70</v>
      </c>
      <c r="D808" t="s">
        <v>39</v>
      </c>
      <c r="E808" t="s">
        <v>311</v>
      </c>
      <c r="F808" t="s">
        <v>260</v>
      </c>
      <c r="G808" t="s">
        <v>322</v>
      </c>
      <c r="H808" t="s">
        <v>32</v>
      </c>
      <c r="I808" t="s">
        <v>19</v>
      </c>
      <c r="J808" s="7">
        <v>44515</v>
      </c>
      <c r="K808" s="7">
        <v>44849</v>
      </c>
      <c r="L808" s="5">
        <v>100</v>
      </c>
      <c r="M808" t="s">
        <v>28</v>
      </c>
      <c r="N808" t="s">
        <v>270</v>
      </c>
      <c r="O808">
        <v>100</v>
      </c>
      <c r="P808" t="s">
        <v>206</v>
      </c>
      <c r="Q808" t="s">
        <v>26</v>
      </c>
      <c r="R808">
        <v>69</v>
      </c>
      <c r="S808">
        <v>1</v>
      </c>
      <c r="T808" t="s">
        <v>82</v>
      </c>
      <c r="U808" t="s">
        <v>61</v>
      </c>
      <c r="V808">
        <v>2.08</v>
      </c>
      <c r="W808">
        <v>1.79</v>
      </c>
      <c r="X808">
        <v>3.2</v>
      </c>
      <c r="Y808">
        <v>11.5</v>
      </c>
      <c r="Z808">
        <v>12.4</v>
      </c>
    </row>
    <row r="809" spans="1:26">
      <c r="A809" t="s">
        <v>1285</v>
      </c>
      <c r="B809">
        <v>80</v>
      </c>
      <c r="C809" t="s">
        <v>44</v>
      </c>
      <c r="D809" t="s">
        <v>44</v>
      </c>
      <c r="E809" t="s">
        <v>311</v>
      </c>
      <c r="F809" t="s">
        <v>260</v>
      </c>
      <c r="G809" t="s">
        <v>278</v>
      </c>
      <c r="H809" t="s">
        <v>30</v>
      </c>
      <c r="I809" t="s">
        <v>19</v>
      </c>
      <c r="J809" s="7">
        <v>44049</v>
      </c>
      <c r="K809" s="7">
        <v>44233</v>
      </c>
      <c r="L809" s="5">
        <v>100</v>
      </c>
      <c r="M809" t="s">
        <v>25</v>
      </c>
      <c r="N809" t="s">
        <v>664</v>
      </c>
      <c r="O809">
        <v>100</v>
      </c>
      <c r="P809" t="s">
        <v>206</v>
      </c>
      <c r="Q809" t="s">
        <v>27</v>
      </c>
      <c r="R809">
        <v>120</v>
      </c>
      <c r="S809">
        <v>1</v>
      </c>
      <c r="T809" t="s">
        <v>83</v>
      </c>
      <c r="U809" t="s">
        <v>63</v>
      </c>
      <c r="V809">
        <v>3.35</v>
      </c>
      <c r="W809">
        <v>2.71</v>
      </c>
      <c r="X809">
        <v>6.5</v>
      </c>
      <c r="Y809">
        <v>7.5</v>
      </c>
      <c r="Z809">
        <v>4.5</v>
      </c>
    </row>
    <row r="810" spans="1:26">
      <c r="A810" t="s">
        <v>1286</v>
      </c>
      <c r="B810">
        <v>26</v>
      </c>
      <c r="C810" t="s">
        <v>44</v>
      </c>
      <c r="D810" t="s">
        <v>43</v>
      </c>
      <c r="E810" t="s">
        <v>259</v>
      </c>
      <c r="F810" t="s">
        <v>150</v>
      </c>
      <c r="G810" t="s">
        <v>322</v>
      </c>
      <c r="H810" t="s">
        <v>32</v>
      </c>
      <c r="I810" t="s">
        <v>18</v>
      </c>
      <c r="J810" s="7">
        <v>43666</v>
      </c>
      <c r="K810" s="7">
        <v>44216</v>
      </c>
      <c r="L810" s="5">
        <v>100</v>
      </c>
      <c r="M810" t="s">
        <v>25</v>
      </c>
      <c r="N810" t="s">
        <v>696</v>
      </c>
      <c r="O810">
        <v>100</v>
      </c>
      <c r="P810" t="s">
        <v>205</v>
      </c>
      <c r="Q810" t="s">
        <v>26</v>
      </c>
      <c r="R810">
        <v>114</v>
      </c>
      <c r="S810">
        <v>0</v>
      </c>
      <c r="T810" t="s">
        <v>78</v>
      </c>
      <c r="U810" t="s">
        <v>61</v>
      </c>
      <c r="V810">
        <v>1.69</v>
      </c>
      <c r="W810">
        <v>3.07</v>
      </c>
      <c r="X810">
        <v>2.9</v>
      </c>
      <c r="Y810">
        <v>11.1</v>
      </c>
      <c r="Z810">
        <v>9.8</v>
      </c>
    </row>
    <row r="811" spans="1:26">
      <c r="A811" t="s">
        <v>1287</v>
      </c>
      <c r="B811">
        <v>19</v>
      </c>
      <c r="C811" t="s">
        <v>71</v>
      </c>
      <c r="D811" t="s">
        <v>42</v>
      </c>
      <c r="E811" t="s">
        <v>255</v>
      </c>
      <c r="F811" t="s">
        <v>260</v>
      </c>
      <c r="G811" t="s">
        <v>431</v>
      </c>
      <c r="H811" t="s">
        <v>34</v>
      </c>
      <c r="I811" t="s">
        <v>19</v>
      </c>
      <c r="J811" s="7">
        <v>44984</v>
      </c>
      <c r="K811" s="7">
        <v>45349</v>
      </c>
      <c r="L811" s="5">
        <v>150</v>
      </c>
      <c r="M811" t="s">
        <v>150</v>
      </c>
      <c r="N811" t="s">
        <v>606</v>
      </c>
      <c r="O811">
        <v>150</v>
      </c>
      <c r="P811" t="s">
        <v>211</v>
      </c>
      <c r="Q811" t="s">
        <v>150</v>
      </c>
      <c r="R811">
        <v>96</v>
      </c>
      <c r="S811">
        <v>0</v>
      </c>
      <c r="T811" t="s">
        <v>81</v>
      </c>
      <c r="U811" t="s">
        <v>61</v>
      </c>
      <c r="V811">
        <v>4.25</v>
      </c>
      <c r="W811">
        <v>1.06</v>
      </c>
      <c r="X811">
        <v>6.8</v>
      </c>
      <c r="Y811">
        <v>18</v>
      </c>
      <c r="Z811">
        <v>16.6</v>
      </c>
    </row>
    <row r="812" spans="1:26">
      <c r="A812" t="s">
        <v>1288</v>
      </c>
      <c r="B812">
        <v>24</v>
      </c>
      <c r="C812" t="s">
        <v>44</v>
      </c>
      <c r="D812" t="s">
        <v>41</v>
      </c>
      <c r="E812" t="s">
        <v>255</v>
      </c>
      <c r="F812" t="s">
        <v>150</v>
      </c>
      <c r="G812" t="s">
        <v>294</v>
      </c>
      <c r="H812" t="s">
        <v>34</v>
      </c>
      <c r="I812" t="s">
        <v>18</v>
      </c>
      <c r="J812" s="7">
        <v>44921</v>
      </c>
      <c r="K812" s="7">
        <v>45348</v>
      </c>
      <c r="L812" s="5">
        <v>50</v>
      </c>
      <c r="M812" t="s">
        <v>150</v>
      </c>
      <c r="N812" t="s">
        <v>620</v>
      </c>
      <c r="O812">
        <v>50</v>
      </c>
      <c r="P812" t="s">
        <v>205</v>
      </c>
      <c r="Q812" t="s">
        <v>25</v>
      </c>
      <c r="R812">
        <v>61</v>
      </c>
      <c r="S812">
        <v>0</v>
      </c>
      <c r="T812" t="s">
        <v>78</v>
      </c>
      <c r="U812" t="s">
        <v>61</v>
      </c>
      <c r="V812">
        <v>4.73</v>
      </c>
      <c r="W812">
        <v>1.08</v>
      </c>
      <c r="X812">
        <v>2.4</v>
      </c>
      <c r="Y812">
        <v>22</v>
      </c>
      <c r="Z812">
        <v>10.8</v>
      </c>
    </row>
    <row r="813" spans="1:26">
      <c r="A813" t="s">
        <v>1289</v>
      </c>
      <c r="B813">
        <v>82</v>
      </c>
      <c r="C813" t="s">
        <v>44</v>
      </c>
      <c r="D813" t="s">
        <v>39</v>
      </c>
      <c r="E813" t="s">
        <v>255</v>
      </c>
      <c r="F813" t="s">
        <v>150</v>
      </c>
      <c r="G813" t="s">
        <v>306</v>
      </c>
      <c r="H813" t="s">
        <v>34</v>
      </c>
      <c r="I813" t="s">
        <v>18</v>
      </c>
      <c r="J813" s="7">
        <v>44936</v>
      </c>
      <c r="K813" s="7">
        <v>45270</v>
      </c>
      <c r="L813" s="5">
        <v>200</v>
      </c>
      <c r="M813" t="s">
        <v>26</v>
      </c>
      <c r="N813" t="s">
        <v>413</v>
      </c>
      <c r="O813">
        <v>200</v>
      </c>
      <c r="P813" t="s">
        <v>211</v>
      </c>
      <c r="Q813" t="s">
        <v>26</v>
      </c>
      <c r="R813">
        <v>94</v>
      </c>
      <c r="S813">
        <v>0</v>
      </c>
      <c r="T813" t="s">
        <v>82</v>
      </c>
      <c r="U813" t="s">
        <v>63</v>
      </c>
      <c r="V813">
        <v>3.26</v>
      </c>
      <c r="W813">
        <v>3.65</v>
      </c>
      <c r="X813">
        <v>7.1</v>
      </c>
      <c r="Y813">
        <v>22.8</v>
      </c>
      <c r="Z813">
        <v>19.9</v>
      </c>
    </row>
    <row r="814" spans="1:26">
      <c r="A814" t="s">
        <v>1290</v>
      </c>
      <c r="B814">
        <v>22</v>
      </c>
      <c r="C814" t="s">
        <v>71</v>
      </c>
      <c r="D814" t="s">
        <v>44</v>
      </c>
      <c r="E814" t="s">
        <v>255</v>
      </c>
      <c r="F814" t="s">
        <v>150</v>
      </c>
      <c r="G814" t="s">
        <v>297</v>
      </c>
      <c r="H814" t="s">
        <v>32</v>
      </c>
      <c r="I814" t="s">
        <v>18</v>
      </c>
      <c r="J814" s="7">
        <v>44262</v>
      </c>
      <c r="K814" s="7">
        <v>44688</v>
      </c>
      <c r="L814" s="5">
        <v>100</v>
      </c>
      <c r="M814" t="s">
        <v>27</v>
      </c>
      <c r="N814" t="s">
        <v>408</v>
      </c>
      <c r="O814">
        <v>100</v>
      </c>
      <c r="P814" t="s">
        <v>206</v>
      </c>
      <c r="Q814" t="s">
        <v>25</v>
      </c>
      <c r="R814">
        <v>56</v>
      </c>
      <c r="S814">
        <v>1</v>
      </c>
      <c r="T814" t="s">
        <v>78</v>
      </c>
      <c r="U814" t="s">
        <v>63</v>
      </c>
      <c r="V814">
        <v>3.88</v>
      </c>
      <c r="W814">
        <v>2.15</v>
      </c>
      <c r="X814">
        <v>8.9</v>
      </c>
      <c r="Y814">
        <v>6.9</v>
      </c>
      <c r="Z814">
        <v>6.9</v>
      </c>
    </row>
    <row r="815" spans="1:26">
      <c r="A815" t="s">
        <v>1291</v>
      </c>
      <c r="B815">
        <v>81</v>
      </c>
      <c r="C815" t="s">
        <v>71</v>
      </c>
      <c r="D815" t="s">
        <v>43</v>
      </c>
      <c r="E815" t="s">
        <v>259</v>
      </c>
      <c r="F815" t="s">
        <v>150</v>
      </c>
      <c r="G815" t="s">
        <v>274</v>
      </c>
      <c r="H815" t="s">
        <v>30</v>
      </c>
      <c r="I815" t="s">
        <v>18</v>
      </c>
      <c r="J815" s="7">
        <v>45171</v>
      </c>
      <c r="K815" s="7">
        <v>45690</v>
      </c>
      <c r="L815" s="5">
        <v>100</v>
      </c>
      <c r="M815" t="s">
        <v>26</v>
      </c>
      <c r="N815" t="s">
        <v>512</v>
      </c>
      <c r="O815">
        <v>100</v>
      </c>
      <c r="P815" t="s">
        <v>206</v>
      </c>
      <c r="Q815" t="s">
        <v>28</v>
      </c>
      <c r="R815">
        <v>33</v>
      </c>
      <c r="S815">
        <v>1</v>
      </c>
      <c r="T815" t="s">
        <v>78</v>
      </c>
      <c r="U815" t="s">
        <v>63</v>
      </c>
      <c r="V815">
        <v>4.59</v>
      </c>
      <c r="W815">
        <v>2.02</v>
      </c>
      <c r="X815">
        <v>3</v>
      </c>
      <c r="Y815">
        <v>8.5</v>
      </c>
      <c r="Z815">
        <v>17.6</v>
      </c>
    </row>
    <row r="816" spans="1:26">
      <c r="A816" t="s">
        <v>1292</v>
      </c>
      <c r="B816">
        <v>40</v>
      </c>
      <c r="C816" t="s">
        <v>71</v>
      </c>
      <c r="D816" t="s">
        <v>42</v>
      </c>
      <c r="E816" t="s">
        <v>311</v>
      </c>
      <c r="F816" t="s">
        <v>150</v>
      </c>
      <c r="G816" t="s">
        <v>297</v>
      </c>
      <c r="H816" t="s">
        <v>34</v>
      </c>
      <c r="I816" t="s">
        <v>20</v>
      </c>
      <c r="J816" s="7">
        <v>44594</v>
      </c>
      <c r="K816" s="7">
        <v>44775</v>
      </c>
      <c r="L816" s="5">
        <v>200</v>
      </c>
      <c r="M816" t="s">
        <v>27</v>
      </c>
      <c r="N816" t="s">
        <v>1063</v>
      </c>
      <c r="O816">
        <v>200</v>
      </c>
      <c r="P816" t="s">
        <v>206</v>
      </c>
      <c r="Q816" t="s">
        <v>150</v>
      </c>
      <c r="R816">
        <v>78</v>
      </c>
      <c r="S816">
        <v>1</v>
      </c>
      <c r="T816" t="s">
        <v>81</v>
      </c>
      <c r="U816" t="s">
        <v>61</v>
      </c>
      <c r="V816">
        <v>3</v>
      </c>
      <c r="W816">
        <v>3.7</v>
      </c>
      <c r="X816">
        <v>3.2</v>
      </c>
      <c r="Y816">
        <v>19.6</v>
      </c>
      <c r="Z816">
        <v>15.9</v>
      </c>
    </row>
    <row r="817" spans="1:26">
      <c r="A817" t="s">
        <v>1293</v>
      </c>
      <c r="B817">
        <v>29</v>
      </c>
      <c r="C817" t="s">
        <v>70</v>
      </c>
      <c r="D817" t="s">
        <v>42</v>
      </c>
      <c r="E817" t="s">
        <v>259</v>
      </c>
      <c r="F817" t="s">
        <v>150</v>
      </c>
      <c r="G817" t="s">
        <v>362</v>
      </c>
      <c r="H817" t="s">
        <v>32</v>
      </c>
      <c r="I817" t="s">
        <v>18</v>
      </c>
      <c r="J817" s="7">
        <v>43755</v>
      </c>
      <c r="K817" s="7">
        <v>44303</v>
      </c>
      <c r="L817" s="5">
        <v>50</v>
      </c>
      <c r="M817" t="s">
        <v>150</v>
      </c>
      <c r="N817" t="s">
        <v>791</v>
      </c>
      <c r="O817">
        <v>50</v>
      </c>
      <c r="P817" t="s">
        <v>205</v>
      </c>
      <c r="Q817" t="s">
        <v>26</v>
      </c>
      <c r="R817">
        <v>79</v>
      </c>
      <c r="S817">
        <v>0</v>
      </c>
      <c r="T817" t="s">
        <v>81</v>
      </c>
      <c r="U817" t="s">
        <v>61</v>
      </c>
      <c r="V817">
        <v>2.25</v>
      </c>
      <c r="W817">
        <v>2.64</v>
      </c>
      <c r="X817">
        <v>2.9</v>
      </c>
      <c r="Y817">
        <v>23.6</v>
      </c>
      <c r="Z817">
        <v>14</v>
      </c>
    </row>
    <row r="818" spans="1:26">
      <c r="A818" t="s">
        <v>1294</v>
      </c>
      <c r="B818">
        <v>70</v>
      </c>
      <c r="C818" t="s">
        <v>44</v>
      </c>
      <c r="D818" t="s">
        <v>39</v>
      </c>
      <c r="E818" t="s">
        <v>311</v>
      </c>
      <c r="F818" t="s">
        <v>273</v>
      </c>
      <c r="G818" t="s">
        <v>312</v>
      </c>
      <c r="H818" t="s">
        <v>34</v>
      </c>
      <c r="I818" t="s">
        <v>20</v>
      </c>
      <c r="J818" s="7">
        <v>43842</v>
      </c>
      <c r="K818" s="7">
        <v>44147</v>
      </c>
      <c r="L818" s="5">
        <v>150</v>
      </c>
      <c r="M818" t="s">
        <v>25</v>
      </c>
      <c r="N818" t="s">
        <v>384</v>
      </c>
      <c r="O818">
        <v>150</v>
      </c>
      <c r="P818" t="s">
        <v>211</v>
      </c>
      <c r="Q818" t="s">
        <v>28</v>
      </c>
      <c r="R818">
        <v>41</v>
      </c>
      <c r="S818">
        <v>0</v>
      </c>
      <c r="T818" t="s">
        <v>82</v>
      </c>
      <c r="U818" t="s">
        <v>61</v>
      </c>
      <c r="V818">
        <v>4.74</v>
      </c>
      <c r="W818">
        <v>2.21</v>
      </c>
      <c r="X818">
        <v>8</v>
      </c>
      <c r="Y818">
        <v>19.8</v>
      </c>
      <c r="Z818">
        <v>14.8</v>
      </c>
    </row>
    <row r="819" spans="1:26">
      <c r="A819" t="s">
        <v>1295</v>
      </c>
      <c r="B819">
        <v>67</v>
      </c>
      <c r="C819" t="s">
        <v>70</v>
      </c>
      <c r="D819" t="s">
        <v>39</v>
      </c>
      <c r="E819" t="s">
        <v>311</v>
      </c>
      <c r="F819" t="s">
        <v>260</v>
      </c>
      <c r="G819" t="s">
        <v>327</v>
      </c>
      <c r="H819" t="s">
        <v>32</v>
      </c>
      <c r="I819" t="s">
        <v>16</v>
      </c>
      <c r="J819" s="7">
        <v>43826</v>
      </c>
      <c r="K819" s="7">
        <v>44101</v>
      </c>
      <c r="L819" s="5">
        <v>150</v>
      </c>
      <c r="M819" t="s">
        <v>27</v>
      </c>
      <c r="N819" t="s">
        <v>718</v>
      </c>
      <c r="O819">
        <v>150</v>
      </c>
      <c r="P819" t="s">
        <v>211</v>
      </c>
      <c r="Q819" t="s">
        <v>28</v>
      </c>
      <c r="R819">
        <v>132</v>
      </c>
      <c r="S819">
        <v>0</v>
      </c>
      <c r="T819" t="s">
        <v>80</v>
      </c>
      <c r="U819" t="s">
        <v>61</v>
      </c>
      <c r="V819">
        <v>4.86</v>
      </c>
      <c r="W819">
        <v>2.57</v>
      </c>
      <c r="X819">
        <v>2.2</v>
      </c>
      <c r="Y819">
        <v>18.1</v>
      </c>
      <c r="Z819">
        <v>15.4</v>
      </c>
    </row>
    <row r="820" spans="1:26">
      <c r="A820" t="s">
        <v>1296</v>
      </c>
      <c r="B820">
        <v>78</v>
      </c>
      <c r="C820" t="s">
        <v>71</v>
      </c>
      <c r="D820" t="s">
        <v>44</v>
      </c>
      <c r="E820" t="s">
        <v>255</v>
      </c>
      <c r="F820" t="s">
        <v>268</v>
      </c>
      <c r="G820" t="s">
        <v>278</v>
      </c>
      <c r="H820" t="s">
        <v>34</v>
      </c>
      <c r="I820" t="s">
        <v>20</v>
      </c>
      <c r="J820" s="7">
        <v>45026</v>
      </c>
      <c r="K820" s="7">
        <v>45453</v>
      </c>
      <c r="L820" s="5">
        <v>100</v>
      </c>
      <c r="M820" t="s">
        <v>25</v>
      </c>
      <c r="N820" t="s">
        <v>1297</v>
      </c>
      <c r="O820">
        <v>100</v>
      </c>
      <c r="P820" t="s">
        <v>211</v>
      </c>
      <c r="Q820" t="s">
        <v>25</v>
      </c>
      <c r="R820">
        <v>147</v>
      </c>
      <c r="S820">
        <v>0</v>
      </c>
      <c r="T820" t="s">
        <v>83</v>
      </c>
      <c r="U820" t="s">
        <v>63</v>
      </c>
      <c r="V820">
        <v>3.3</v>
      </c>
      <c r="W820">
        <v>1.83</v>
      </c>
      <c r="X820">
        <v>5.5</v>
      </c>
      <c r="Y820">
        <v>11.6</v>
      </c>
      <c r="Z820">
        <v>10.3</v>
      </c>
    </row>
    <row r="821" spans="1:26">
      <c r="A821" t="s">
        <v>1298</v>
      </c>
      <c r="B821">
        <v>73</v>
      </c>
      <c r="C821" t="s">
        <v>44</v>
      </c>
      <c r="D821" t="s">
        <v>44</v>
      </c>
      <c r="E821" t="s">
        <v>255</v>
      </c>
      <c r="F821" t="s">
        <v>150</v>
      </c>
      <c r="G821" t="s">
        <v>274</v>
      </c>
      <c r="H821" t="s">
        <v>29</v>
      </c>
      <c r="I821" t="s">
        <v>20</v>
      </c>
      <c r="J821" s="7">
        <v>45252</v>
      </c>
      <c r="K821" s="7">
        <v>45738</v>
      </c>
      <c r="L821" s="5">
        <v>200</v>
      </c>
      <c r="M821" t="s">
        <v>28</v>
      </c>
      <c r="N821" t="s">
        <v>724</v>
      </c>
      <c r="O821">
        <v>200</v>
      </c>
      <c r="P821" t="s">
        <v>205</v>
      </c>
      <c r="Q821" t="s">
        <v>27</v>
      </c>
      <c r="R821">
        <v>76</v>
      </c>
      <c r="S821">
        <v>0</v>
      </c>
      <c r="T821" t="s">
        <v>81</v>
      </c>
      <c r="U821" t="s">
        <v>61</v>
      </c>
      <c r="V821">
        <v>3.58</v>
      </c>
      <c r="W821">
        <v>3.98</v>
      </c>
      <c r="X821">
        <v>3.1</v>
      </c>
      <c r="Y821">
        <v>13.3</v>
      </c>
      <c r="Z821">
        <v>7.6</v>
      </c>
    </row>
    <row r="822" spans="1:26">
      <c r="A822" t="s">
        <v>1299</v>
      </c>
      <c r="B822">
        <v>27</v>
      </c>
      <c r="C822" t="s">
        <v>44</v>
      </c>
      <c r="D822" t="s">
        <v>43</v>
      </c>
      <c r="E822" t="s">
        <v>272</v>
      </c>
      <c r="F822" t="s">
        <v>268</v>
      </c>
      <c r="G822" t="s">
        <v>265</v>
      </c>
      <c r="H822" t="s">
        <v>30</v>
      </c>
      <c r="I822" t="s">
        <v>16</v>
      </c>
      <c r="J822" s="7">
        <v>43538</v>
      </c>
      <c r="K822" s="7">
        <v>44057</v>
      </c>
      <c r="L822" s="5">
        <v>150</v>
      </c>
      <c r="M822" t="s">
        <v>25</v>
      </c>
      <c r="N822" t="s">
        <v>442</v>
      </c>
      <c r="O822">
        <v>150</v>
      </c>
      <c r="P822" t="s">
        <v>206</v>
      </c>
      <c r="Q822" t="s">
        <v>150</v>
      </c>
      <c r="R822">
        <v>50</v>
      </c>
      <c r="S822">
        <v>1</v>
      </c>
      <c r="T822" t="s">
        <v>80</v>
      </c>
      <c r="U822" t="s">
        <v>63</v>
      </c>
      <c r="V822">
        <v>1.79</v>
      </c>
      <c r="W822">
        <v>4.13</v>
      </c>
      <c r="X822">
        <v>9.2</v>
      </c>
      <c r="Y822">
        <v>12.7</v>
      </c>
      <c r="Z822">
        <v>15.8</v>
      </c>
    </row>
    <row r="823" spans="1:26">
      <c r="A823" t="s">
        <v>1300</v>
      </c>
      <c r="B823">
        <v>65</v>
      </c>
      <c r="C823" t="s">
        <v>71</v>
      </c>
      <c r="D823" t="s">
        <v>42</v>
      </c>
      <c r="E823" t="s">
        <v>272</v>
      </c>
      <c r="F823" t="s">
        <v>268</v>
      </c>
      <c r="G823" t="s">
        <v>256</v>
      </c>
      <c r="H823" t="s">
        <v>29</v>
      </c>
      <c r="I823" t="s">
        <v>20</v>
      </c>
      <c r="J823" s="7">
        <v>44783</v>
      </c>
      <c r="K823" s="7">
        <v>45301</v>
      </c>
      <c r="L823" s="5">
        <v>50</v>
      </c>
      <c r="M823" t="s">
        <v>26</v>
      </c>
      <c r="N823" t="s">
        <v>966</v>
      </c>
      <c r="O823">
        <v>50</v>
      </c>
      <c r="P823" t="s">
        <v>205</v>
      </c>
      <c r="Q823" t="s">
        <v>26</v>
      </c>
      <c r="R823">
        <v>49</v>
      </c>
      <c r="S823">
        <v>0</v>
      </c>
      <c r="T823" t="s">
        <v>83</v>
      </c>
      <c r="U823" t="s">
        <v>63</v>
      </c>
      <c r="V823">
        <v>4.59</v>
      </c>
      <c r="W823">
        <v>4.38</v>
      </c>
      <c r="X823">
        <v>2.6</v>
      </c>
      <c r="Y823">
        <v>23.2</v>
      </c>
      <c r="Z823">
        <v>9.4</v>
      </c>
    </row>
    <row r="824" spans="1:26">
      <c r="A824" t="s">
        <v>1301</v>
      </c>
      <c r="B824">
        <v>53</v>
      </c>
      <c r="C824" t="s">
        <v>71</v>
      </c>
      <c r="D824" t="s">
        <v>44</v>
      </c>
      <c r="E824" t="s">
        <v>255</v>
      </c>
      <c r="F824" t="s">
        <v>273</v>
      </c>
      <c r="G824" t="s">
        <v>261</v>
      </c>
      <c r="H824" t="s">
        <v>32</v>
      </c>
      <c r="I824" t="s">
        <v>18</v>
      </c>
      <c r="J824" s="7">
        <v>43910</v>
      </c>
      <c r="K824" s="7">
        <v>44306</v>
      </c>
      <c r="L824" s="5">
        <v>150</v>
      </c>
      <c r="M824" t="s">
        <v>25</v>
      </c>
      <c r="N824" t="s">
        <v>598</v>
      </c>
      <c r="O824">
        <v>150</v>
      </c>
      <c r="P824" t="s">
        <v>205</v>
      </c>
      <c r="Q824" t="s">
        <v>150</v>
      </c>
      <c r="R824">
        <v>123</v>
      </c>
      <c r="S824">
        <v>0</v>
      </c>
      <c r="T824" t="s">
        <v>81</v>
      </c>
      <c r="U824" t="s">
        <v>63</v>
      </c>
      <c r="V824">
        <v>2.36</v>
      </c>
      <c r="W824">
        <v>1.25</v>
      </c>
      <c r="X824">
        <v>5.4</v>
      </c>
      <c r="Y824">
        <v>8</v>
      </c>
      <c r="Z824">
        <v>7.2</v>
      </c>
    </row>
    <row r="825" spans="1:26">
      <c r="A825" t="s">
        <v>1302</v>
      </c>
      <c r="B825">
        <v>31</v>
      </c>
      <c r="C825" t="s">
        <v>44</v>
      </c>
      <c r="D825" t="s">
        <v>39</v>
      </c>
      <c r="E825" t="s">
        <v>150</v>
      </c>
      <c r="F825" t="s">
        <v>277</v>
      </c>
      <c r="G825" t="s">
        <v>256</v>
      </c>
      <c r="H825" t="s">
        <v>34</v>
      </c>
      <c r="I825" t="s">
        <v>18</v>
      </c>
      <c r="J825" s="7">
        <v>43743</v>
      </c>
      <c r="K825" s="7">
        <v>43987</v>
      </c>
      <c r="L825" s="5">
        <v>150</v>
      </c>
      <c r="M825" t="s">
        <v>28</v>
      </c>
      <c r="N825" t="s">
        <v>810</v>
      </c>
      <c r="O825">
        <v>150</v>
      </c>
      <c r="P825" t="s">
        <v>206</v>
      </c>
      <c r="Q825" t="s">
        <v>28</v>
      </c>
      <c r="R825">
        <v>132</v>
      </c>
      <c r="S825">
        <v>1</v>
      </c>
      <c r="T825" t="s">
        <v>78</v>
      </c>
      <c r="U825" t="s">
        <v>61</v>
      </c>
      <c r="V825">
        <v>2.27</v>
      </c>
      <c r="W825">
        <v>4.24</v>
      </c>
      <c r="X825">
        <v>8.9</v>
      </c>
      <c r="Y825">
        <v>11.4</v>
      </c>
      <c r="Z825">
        <v>17.6</v>
      </c>
    </row>
    <row r="826" spans="1:26">
      <c r="A826" t="s">
        <v>1303</v>
      </c>
      <c r="B826">
        <v>70</v>
      </c>
      <c r="C826" t="s">
        <v>70</v>
      </c>
      <c r="D826" t="s">
        <v>42</v>
      </c>
      <c r="E826" t="s">
        <v>272</v>
      </c>
      <c r="F826" t="s">
        <v>273</v>
      </c>
      <c r="G826" t="s">
        <v>322</v>
      </c>
      <c r="H826" t="s">
        <v>34</v>
      </c>
      <c r="I826" t="s">
        <v>18</v>
      </c>
      <c r="J826" s="7">
        <v>45003</v>
      </c>
      <c r="K826" s="7">
        <v>45461</v>
      </c>
      <c r="L826" s="5">
        <v>150</v>
      </c>
      <c r="M826" t="s">
        <v>150</v>
      </c>
      <c r="N826" t="s">
        <v>704</v>
      </c>
      <c r="O826">
        <v>150</v>
      </c>
      <c r="P826" t="s">
        <v>211</v>
      </c>
      <c r="Q826" t="s">
        <v>25</v>
      </c>
      <c r="R826">
        <v>162</v>
      </c>
      <c r="S826">
        <v>0</v>
      </c>
      <c r="T826" t="s">
        <v>78</v>
      </c>
      <c r="U826" t="s">
        <v>63</v>
      </c>
      <c r="V826">
        <v>4.43</v>
      </c>
      <c r="W826">
        <v>4.06</v>
      </c>
      <c r="X826">
        <v>2.3</v>
      </c>
      <c r="Y826">
        <v>18.4</v>
      </c>
      <c r="Z826">
        <v>19.1</v>
      </c>
    </row>
    <row r="827" spans="1:26">
      <c r="A827" t="s">
        <v>1304</v>
      </c>
      <c r="B827">
        <v>51</v>
      </c>
      <c r="C827" t="s">
        <v>44</v>
      </c>
      <c r="D827" t="s">
        <v>43</v>
      </c>
      <c r="E827" t="s">
        <v>259</v>
      </c>
      <c r="F827" t="s">
        <v>260</v>
      </c>
      <c r="G827" t="s">
        <v>294</v>
      </c>
      <c r="H827" t="s">
        <v>34</v>
      </c>
      <c r="I827" t="s">
        <v>19</v>
      </c>
      <c r="J827" s="7">
        <v>43680</v>
      </c>
      <c r="K827" s="7">
        <v>43864</v>
      </c>
      <c r="L827" s="5">
        <v>150</v>
      </c>
      <c r="M827" t="s">
        <v>28</v>
      </c>
      <c r="N827" t="s">
        <v>509</v>
      </c>
      <c r="O827">
        <v>150</v>
      </c>
      <c r="P827" t="s">
        <v>211</v>
      </c>
      <c r="Q827" t="s">
        <v>28</v>
      </c>
      <c r="R827">
        <v>75</v>
      </c>
      <c r="S827">
        <v>0</v>
      </c>
      <c r="T827" t="s">
        <v>82</v>
      </c>
      <c r="U827" t="s">
        <v>63</v>
      </c>
      <c r="V827">
        <v>3.73</v>
      </c>
      <c r="W827">
        <v>2.33</v>
      </c>
      <c r="X827">
        <v>5.5</v>
      </c>
      <c r="Y827">
        <v>17.6</v>
      </c>
      <c r="Z827">
        <v>11.7</v>
      </c>
    </row>
    <row r="828" spans="1:26">
      <c r="A828" t="s">
        <v>1305</v>
      </c>
      <c r="B828">
        <v>29</v>
      </c>
      <c r="C828" t="s">
        <v>70</v>
      </c>
      <c r="D828" t="s">
        <v>41</v>
      </c>
      <c r="E828" t="s">
        <v>272</v>
      </c>
      <c r="F828" t="s">
        <v>277</v>
      </c>
      <c r="G828" t="s">
        <v>327</v>
      </c>
      <c r="H828" t="s">
        <v>30</v>
      </c>
      <c r="I828" t="s">
        <v>20</v>
      </c>
      <c r="J828" s="7">
        <v>43743</v>
      </c>
      <c r="K828" s="7">
        <v>44017</v>
      </c>
      <c r="L828" s="5">
        <v>50</v>
      </c>
      <c r="M828" t="s">
        <v>27</v>
      </c>
      <c r="N828" t="s">
        <v>514</v>
      </c>
      <c r="O828">
        <v>50</v>
      </c>
      <c r="P828" t="s">
        <v>211</v>
      </c>
      <c r="Q828" t="s">
        <v>25</v>
      </c>
      <c r="R828">
        <v>110</v>
      </c>
      <c r="S828">
        <v>0</v>
      </c>
      <c r="T828" t="s">
        <v>83</v>
      </c>
      <c r="U828" t="s">
        <v>63</v>
      </c>
      <c r="V828">
        <v>1.48</v>
      </c>
      <c r="W828">
        <v>2.25</v>
      </c>
      <c r="X828">
        <v>8.2</v>
      </c>
      <c r="Y828">
        <v>21.5</v>
      </c>
      <c r="Z828">
        <v>5.3</v>
      </c>
    </row>
    <row r="829" spans="1:26">
      <c r="A829" t="s">
        <v>1306</v>
      </c>
      <c r="B829">
        <v>79</v>
      </c>
      <c r="C829" t="s">
        <v>70</v>
      </c>
      <c r="D829" t="s">
        <v>42</v>
      </c>
      <c r="E829" t="s">
        <v>255</v>
      </c>
      <c r="F829" t="s">
        <v>150</v>
      </c>
      <c r="G829" t="s">
        <v>362</v>
      </c>
      <c r="H829" t="s">
        <v>32</v>
      </c>
      <c r="I829" t="s">
        <v>19</v>
      </c>
      <c r="J829" s="7">
        <v>44140</v>
      </c>
      <c r="K829" s="7">
        <v>44686</v>
      </c>
      <c r="L829" s="5">
        <v>200</v>
      </c>
      <c r="M829" t="s">
        <v>25</v>
      </c>
      <c r="N829" t="s">
        <v>486</v>
      </c>
      <c r="O829">
        <v>200</v>
      </c>
      <c r="P829" t="s">
        <v>211</v>
      </c>
      <c r="Q829" t="s">
        <v>26</v>
      </c>
      <c r="R829">
        <v>95</v>
      </c>
      <c r="S829">
        <v>0</v>
      </c>
      <c r="T829" t="s">
        <v>81</v>
      </c>
      <c r="U829" t="s">
        <v>61</v>
      </c>
      <c r="V829">
        <v>4.81</v>
      </c>
      <c r="W829">
        <v>2.32</v>
      </c>
      <c r="X829">
        <v>7</v>
      </c>
      <c r="Y829">
        <v>19.5</v>
      </c>
      <c r="Z829">
        <v>16.8</v>
      </c>
    </row>
    <row r="830" spans="1:26">
      <c r="A830" t="s">
        <v>1307</v>
      </c>
      <c r="B830">
        <v>32</v>
      </c>
      <c r="C830" t="s">
        <v>70</v>
      </c>
      <c r="D830" t="s">
        <v>42</v>
      </c>
      <c r="E830" t="s">
        <v>255</v>
      </c>
      <c r="F830" t="s">
        <v>150</v>
      </c>
      <c r="G830" t="s">
        <v>349</v>
      </c>
      <c r="H830" t="s">
        <v>30</v>
      </c>
      <c r="I830" t="s">
        <v>20</v>
      </c>
      <c r="J830" s="7">
        <v>43977</v>
      </c>
      <c r="K830" s="7">
        <v>44403</v>
      </c>
      <c r="L830" s="5">
        <v>50</v>
      </c>
      <c r="M830" t="s">
        <v>28</v>
      </c>
      <c r="N830" t="s">
        <v>371</v>
      </c>
      <c r="O830">
        <v>50</v>
      </c>
      <c r="P830" t="s">
        <v>211</v>
      </c>
      <c r="Q830" t="s">
        <v>150</v>
      </c>
      <c r="R830">
        <v>41</v>
      </c>
      <c r="S830">
        <v>0</v>
      </c>
      <c r="T830" t="s">
        <v>78</v>
      </c>
      <c r="U830" t="s">
        <v>61</v>
      </c>
      <c r="V830">
        <v>4.78</v>
      </c>
      <c r="W830">
        <v>2.25</v>
      </c>
      <c r="X830">
        <v>8.7</v>
      </c>
      <c r="Y830">
        <v>8.4</v>
      </c>
      <c r="Z830">
        <v>15</v>
      </c>
    </row>
    <row r="831" spans="1:26">
      <c r="A831" t="s">
        <v>1308</v>
      </c>
      <c r="B831">
        <v>69</v>
      </c>
      <c r="C831" t="s">
        <v>71</v>
      </c>
      <c r="D831" t="s">
        <v>41</v>
      </c>
      <c r="E831" t="s">
        <v>311</v>
      </c>
      <c r="F831" t="s">
        <v>264</v>
      </c>
      <c r="G831" t="s">
        <v>278</v>
      </c>
      <c r="H831" t="s">
        <v>32</v>
      </c>
      <c r="I831" t="s">
        <v>20</v>
      </c>
      <c r="J831" s="7">
        <v>44464</v>
      </c>
      <c r="K831" s="7">
        <v>44737</v>
      </c>
      <c r="L831" s="5">
        <v>150</v>
      </c>
      <c r="M831" t="s">
        <v>27</v>
      </c>
      <c r="N831" t="s">
        <v>390</v>
      </c>
      <c r="O831">
        <v>150</v>
      </c>
      <c r="P831" t="s">
        <v>206</v>
      </c>
      <c r="Q831" t="s">
        <v>27</v>
      </c>
      <c r="R831">
        <v>99</v>
      </c>
      <c r="S831">
        <v>1</v>
      </c>
      <c r="T831" t="s">
        <v>80</v>
      </c>
      <c r="U831" t="s">
        <v>61</v>
      </c>
      <c r="V831">
        <v>3.97</v>
      </c>
      <c r="W831">
        <v>3.71</v>
      </c>
      <c r="X831">
        <v>3.3</v>
      </c>
      <c r="Y831">
        <v>21.7</v>
      </c>
      <c r="Z831">
        <v>5.9</v>
      </c>
    </row>
    <row r="832" spans="1:26">
      <c r="A832" t="s">
        <v>1309</v>
      </c>
      <c r="B832">
        <v>22</v>
      </c>
      <c r="C832" t="s">
        <v>44</v>
      </c>
      <c r="D832" t="s">
        <v>43</v>
      </c>
      <c r="E832" t="s">
        <v>272</v>
      </c>
      <c r="F832" t="s">
        <v>268</v>
      </c>
      <c r="G832" t="s">
        <v>265</v>
      </c>
      <c r="H832" t="s">
        <v>32</v>
      </c>
      <c r="I832" t="s">
        <v>19</v>
      </c>
      <c r="J832" s="7">
        <v>45176</v>
      </c>
      <c r="K832" s="7">
        <v>45603</v>
      </c>
      <c r="L832" s="5">
        <v>150</v>
      </c>
      <c r="M832" t="s">
        <v>150</v>
      </c>
      <c r="N832" t="s">
        <v>358</v>
      </c>
      <c r="O832">
        <v>150</v>
      </c>
      <c r="P832" t="s">
        <v>211</v>
      </c>
      <c r="Q832" t="s">
        <v>150</v>
      </c>
      <c r="R832">
        <v>133</v>
      </c>
      <c r="S832">
        <v>0</v>
      </c>
      <c r="T832" t="s">
        <v>78</v>
      </c>
      <c r="U832" t="s">
        <v>63</v>
      </c>
      <c r="V832">
        <v>1.21</v>
      </c>
      <c r="W832">
        <v>3.87</v>
      </c>
      <c r="X832">
        <v>5.3</v>
      </c>
      <c r="Y832">
        <v>21.3</v>
      </c>
      <c r="Z832">
        <v>9.5</v>
      </c>
    </row>
    <row r="833" spans="1:26">
      <c r="A833" t="s">
        <v>1310</v>
      </c>
      <c r="B833">
        <v>60</v>
      </c>
      <c r="C833" t="s">
        <v>70</v>
      </c>
      <c r="D833" t="s">
        <v>42</v>
      </c>
      <c r="E833" t="s">
        <v>272</v>
      </c>
      <c r="F833" t="s">
        <v>150</v>
      </c>
      <c r="G833" t="s">
        <v>322</v>
      </c>
      <c r="H833" t="s">
        <v>29</v>
      </c>
      <c r="I833" t="s">
        <v>20</v>
      </c>
      <c r="J833" s="7">
        <v>44428</v>
      </c>
      <c r="K833" s="7">
        <v>44762</v>
      </c>
      <c r="L833" s="5">
        <v>150</v>
      </c>
      <c r="M833" t="s">
        <v>150</v>
      </c>
      <c r="N833" t="s">
        <v>469</v>
      </c>
      <c r="O833">
        <v>150</v>
      </c>
      <c r="P833" t="s">
        <v>206</v>
      </c>
      <c r="Q833" t="s">
        <v>26</v>
      </c>
      <c r="R833">
        <v>174</v>
      </c>
      <c r="S833">
        <v>1</v>
      </c>
      <c r="T833" t="s">
        <v>78</v>
      </c>
      <c r="U833" t="s">
        <v>63</v>
      </c>
      <c r="V833">
        <v>1.67</v>
      </c>
      <c r="W833">
        <v>4.35</v>
      </c>
      <c r="X833">
        <v>5.9</v>
      </c>
      <c r="Y833">
        <v>9.4</v>
      </c>
      <c r="Z833">
        <v>15.2</v>
      </c>
    </row>
    <row r="834" spans="1:26">
      <c r="A834" t="s">
        <v>1311</v>
      </c>
      <c r="B834">
        <v>22</v>
      </c>
      <c r="C834" t="s">
        <v>44</v>
      </c>
      <c r="D834" t="s">
        <v>39</v>
      </c>
      <c r="E834" t="s">
        <v>150</v>
      </c>
      <c r="F834" t="s">
        <v>260</v>
      </c>
      <c r="G834" t="s">
        <v>362</v>
      </c>
      <c r="H834" t="s">
        <v>29</v>
      </c>
      <c r="I834" t="s">
        <v>16</v>
      </c>
      <c r="J834" s="7">
        <v>43864</v>
      </c>
      <c r="K834" s="7">
        <v>44077</v>
      </c>
      <c r="L834" s="5">
        <v>200</v>
      </c>
      <c r="M834" t="s">
        <v>27</v>
      </c>
      <c r="N834" t="s">
        <v>457</v>
      </c>
      <c r="O834">
        <v>200</v>
      </c>
      <c r="P834" t="s">
        <v>206</v>
      </c>
      <c r="Q834" t="s">
        <v>26</v>
      </c>
      <c r="R834">
        <v>114</v>
      </c>
      <c r="S834">
        <v>1</v>
      </c>
      <c r="T834" t="s">
        <v>81</v>
      </c>
      <c r="U834" t="s">
        <v>61</v>
      </c>
      <c r="V834">
        <v>3.04</v>
      </c>
      <c r="W834">
        <v>3.42</v>
      </c>
      <c r="X834">
        <v>5.1</v>
      </c>
      <c r="Y834">
        <v>20.9</v>
      </c>
      <c r="Z834">
        <v>17.1</v>
      </c>
    </row>
    <row r="835" spans="1:26">
      <c r="A835" t="s">
        <v>1312</v>
      </c>
      <c r="B835">
        <v>67</v>
      </c>
      <c r="C835" t="s">
        <v>71</v>
      </c>
      <c r="D835" t="s">
        <v>41</v>
      </c>
      <c r="E835" t="s">
        <v>259</v>
      </c>
      <c r="F835" t="s">
        <v>150</v>
      </c>
      <c r="G835" t="s">
        <v>297</v>
      </c>
      <c r="H835" t="s">
        <v>32</v>
      </c>
      <c r="I835" t="s">
        <v>18</v>
      </c>
      <c r="J835" s="7">
        <v>44339</v>
      </c>
      <c r="K835" s="7">
        <v>44553</v>
      </c>
      <c r="L835" s="5">
        <v>100</v>
      </c>
      <c r="M835" t="s">
        <v>28</v>
      </c>
      <c r="N835" t="s">
        <v>352</v>
      </c>
      <c r="O835">
        <v>100</v>
      </c>
      <c r="P835" t="s">
        <v>206</v>
      </c>
      <c r="Q835" t="s">
        <v>26</v>
      </c>
      <c r="R835">
        <v>142</v>
      </c>
      <c r="S835">
        <v>1</v>
      </c>
      <c r="T835" t="s">
        <v>81</v>
      </c>
      <c r="U835" t="s">
        <v>61</v>
      </c>
      <c r="V835">
        <v>3.84</v>
      </c>
      <c r="W835">
        <v>1.42</v>
      </c>
      <c r="X835">
        <v>8.5</v>
      </c>
      <c r="Y835">
        <v>18.1</v>
      </c>
      <c r="Z835">
        <v>14.8</v>
      </c>
    </row>
    <row r="836" spans="1:26">
      <c r="A836" t="s">
        <v>1313</v>
      </c>
      <c r="B836">
        <v>25</v>
      </c>
      <c r="C836" t="s">
        <v>71</v>
      </c>
      <c r="D836" t="s">
        <v>41</v>
      </c>
      <c r="E836" t="s">
        <v>272</v>
      </c>
      <c r="F836" t="s">
        <v>150</v>
      </c>
      <c r="G836" t="s">
        <v>291</v>
      </c>
      <c r="H836" t="s">
        <v>29</v>
      </c>
      <c r="I836" t="s">
        <v>19</v>
      </c>
      <c r="J836" s="7">
        <v>43623</v>
      </c>
      <c r="K836" s="7">
        <v>44142</v>
      </c>
      <c r="L836" s="5">
        <v>100</v>
      </c>
      <c r="M836" t="s">
        <v>25</v>
      </c>
      <c r="N836" t="s">
        <v>398</v>
      </c>
      <c r="O836">
        <v>100</v>
      </c>
      <c r="P836" t="s">
        <v>205</v>
      </c>
      <c r="Q836" t="s">
        <v>25</v>
      </c>
      <c r="R836">
        <v>116</v>
      </c>
      <c r="S836">
        <v>0</v>
      </c>
      <c r="T836" t="s">
        <v>83</v>
      </c>
      <c r="U836" t="s">
        <v>61</v>
      </c>
      <c r="V836">
        <v>2.45</v>
      </c>
      <c r="W836">
        <v>4.52</v>
      </c>
      <c r="X836">
        <v>7.5</v>
      </c>
      <c r="Y836">
        <v>8</v>
      </c>
      <c r="Z836">
        <v>9.9</v>
      </c>
    </row>
    <row r="837" spans="1:26">
      <c r="A837" t="s">
        <v>1314</v>
      </c>
      <c r="B837">
        <v>54</v>
      </c>
      <c r="C837" t="s">
        <v>71</v>
      </c>
      <c r="D837" t="s">
        <v>43</v>
      </c>
      <c r="E837" t="s">
        <v>311</v>
      </c>
      <c r="F837" t="s">
        <v>150</v>
      </c>
      <c r="G837" t="s">
        <v>278</v>
      </c>
      <c r="H837" t="s">
        <v>30</v>
      </c>
      <c r="I837" t="s">
        <v>20</v>
      </c>
      <c r="J837" s="7">
        <v>45171</v>
      </c>
      <c r="K837" s="7">
        <v>45506</v>
      </c>
      <c r="L837" s="5">
        <v>150</v>
      </c>
      <c r="M837" t="s">
        <v>28</v>
      </c>
      <c r="N837" t="s">
        <v>791</v>
      </c>
      <c r="O837">
        <v>150</v>
      </c>
      <c r="P837" t="s">
        <v>206</v>
      </c>
      <c r="Q837" t="s">
        <v>28</v>
      </c>
      <c r="R837">
        <v>32</v>
      </c>
      <c r="S837">
        <v>1</v>
      </c>
      <c r="T837" t="s">
        <v>82</v>
      </c>
      <c r="U837" t="s">
        <v>61</v>
      </c>
      <c r="V837">
        <v>4.55</v>
      </c>
      <c r="W837">
        <v>1.19</v>
      </c>
      <c r="X837">
        <v>9.7</v>
      </c>
      <c r="Y837">
        <v>18.2</v>
      </c>
      <c r="Z837">
        <v>13.7</v>
      </c>
    </row>
    <row r="838" spans="1:26">
      <c r="A838" t="s">
        <v>1315</v>
      </c>
      <c r="B838">
        <v>45</v>
      </c>
      <c r="C838" t="s">
        <v>70</v>
      </c>
      <c r="D838" t="s">
        <v>42</v>
      </c>
      <c r="E838" t="s">
        <v>259</v>
      </c>
      <c r="F838" t="s">
        <v>150</v>
      </c>
      <c r="G838" t="s">
        <v>274</v>
      </c>
      <c r="H838" t="s">
        <v>29</v>
      </c>
      <c r="I838" t="s">
        <v>16</v>
      </c>
      <c r="J838" s="7">
        <v>44352</v>
      </c>
      <c r="K838" s="7">
        <v>44535</v>
      </c>
      <c r="L838" s="5">
        <v>100</v>
      </c>
      <c r="M838" t="s">
        <v>28</v>
      </c>
      <c r="N838" t="s">
        <v>584</v>
      </c>
      <c r="O838">
        <v>100</v>
      </c>
      <c r="P838" t="s">
        <v>206</v>
      </c>
      <c r="Q838" t="s">
        <v>25</v>
      </c>
      <c r="R838">
        <v>106</v>
      </c>
      <c r="S838">
        <v>1</v>
      </c>
      <c r="T838" t="s">
        <v>80</v>
      </c>
      <c r="U838" t="s">
        <v>63</v>
      </c>
      <c r="V838">
        <v>2.08</v>
      </c>
      <c r="W838">
        <v>2</v>
      </c>
      <c r="X838">
        <v>9.5</v>
      </c>
      <c r="Y838">
        <v>11.4</v>
      </c>
      <c r="Z838">
        <v>16.2</v>
      </c>
    </row>
    <row r="839" spans="1:26">
      <c r="A839" t="s">
        <v>1316</v>
      </c>
      <c r="B839">
        <v>46</v>
      </c>
      <c r="C839" t="s">
        <v>44</v>
      </c>
      <c r="D839" t="s">
        <v>39</v>
      </c>
      <c r="E839" t="s">
        <v>255</v>
      </c>
      <c r="F839" t="s">
        <v>150</v>
      </c>
      <c r="G839" t="s">
        <v>288</v>
      </c>
      <c r="H839" t="s">
        <v>32</v>
      </c>
      <c r="I839" t="s">
        <v>19</v>
      </c>
      <c r="J839" s="7">
        <v>44004</v>
      </c>
      <c r="K839" s="7">
        <v>44461</v>
      </c>
      <c r="L839" s="5">
        <v>150</v>
      </c>
      <c r="M839" t="s">
        <v>28</v>
      </c>
      <c r="N839" t="s">
        <v>323</v>
      </c>
      <c r="O839">
        <v>150</v>
      </c>
      <c r="P839" t="s">
        <v>211</v>
      </c>
      <c r="Q839" t="s">
        <v>28</v>
      </c>
      <c r="R839">
        <v>38</v>
      </c>
      <c r="S839">
        <v>0</v>
      </c>
      <c r="T839" t="s">
        <v>83</v>
      </c>
      <c r="U839" t="s">
        <v>61</v>
      </c>
      <c r="V839">
        <v>2.57</v>
      </c>
      <c r="W839">
        <v>1.56</v>
      </c>
      <c r="X839">
        <v>1.1</v>
      </c>
      <c r="Y839">
        <v>15.8</v>
      </c>
      <c r="Z839">
        <v>19.6</v>
      </c>
    </row>
    <row r="840" spans="1:26">
      <c r="A840" t="s">
        <v>1317</v>
      </c>
      <c r="B840">
        <v>80</v>
      </c>
      <c r="C840" t="s">
        <v>44</v>
      </c>
      <c r="D840" t="s">
        <v>44</v>
      </c>
      <c r="E840" t="s">
        <v>311</v>
      </c>
      <c r="F840" t="s">
        <v>150</v>
      </c>
      <c r="G840" t="s">
        <v>297</v>
      </c>
      <c r="H840" t="s">
        <v>34</v>
      </c>
      <c r="I840" t="s">
        <v>16</v>
      </c>
      <c r="J840" s="7">
        <v>43721</v>
      </c>
      <c r="K840" s="7">
        <v>44240</v>
      </c>
      <c r="L840" s="5">
        <v>200</v>
      </c>
      <c r="M840" t="s">
        <v>150</v>
      </c>
      <c r="N840" t="s">
        <v>419</v>
      </c>
      <c r="O840">
        <v>200</v>
      </c>
      <c r="P840" t="s">
        <v>205</v>
      </c>
      <c r="Q840" t="s">
        <v>26</v>
      </c>
      <c r="R840">
        <v>152</v>
      </c>
      <c r="S840">
        <v>0</v>
      </c>
      <c r="T840" t="s">
        <v>80</v>
      </c>
      <c r="U840" t="s">
        <v>61</v>
      </c>
      <c r="V840">
        <v>2.48</v>
      </c>
      <c r="W840">
        <v>2.43</v>
      </c>
      <c r="X840">
        <v>4.1</v>
      </c>
      <c r="Y840">
        <v>15.4</v>
      </c>
      <c r="Z840">
        <v>10.5</v>
      </c>
    </row>
    <row r="841" spans="1:26">
      <c r="A841" t="s">
        <v>1318</v>
      </c>
      <c r="B841">
        <v>34</v>
      </c>
      <c r="C841" t="s">
        <v>44</v>
      </c>
      <c r="D841" t="s">
        <v>41</v>
      </c>
      <c r="E841" t="s">
        <v>259</v>
      </c>
      <c r="F841" t="s">
        <v>150</v>
      </c>
      <c r="G841" t="s">
        <v>362</v>
      </c>
      <c r="H841" t="s">
        <v>32</v>
      </c>
      <c r="I841" t="s">
        <v>19</v>
      </c>
      <c r="J841" s="7">
        <v>43831</v>
      </c>
      <c r="K841" s="7">
        <v>44197</v>
      </c>
      <c r="L841" s="5">
        <v>200</v>
      </c>
      <c r="M841" t="s">
        <v>27</v>
      </c>
      <c r="N841" t="s">
        <v>712</v>
      </c>
      <c r="O841">
        <v>200</v>
      </c>
      <c r="P841" t="s">
        <v>211</v>
      </c>
      <c r="Q841" t="s">
        <v>28</v>
      </c>
      <c r="R841">
        <v>85</v>
      </c>
      <c r="S841">
        <v>0</v>
      </c>
      <c r="T841" t="s">
        <v>78</v>
      </c>
      <c r="U841" t="s">
        <v>61</v>
      </c>
      <c r="V841">
        <v>4.52</v>
      </c>
      <c r="W841">
        <v>3.02</v>
      </c>
      <c r="X841">
        <v>5.6</v>
      </c>
      <c r="Y841">
        <v>8.5</v>
      </c>
      <c r="Z841">
        <v>19.7</v>
      </c>
    </row>
    <row r="842" spans="1:26">
      <c r="A842" t="s">
        <v>1319</v>
      </c>
      <c r="B842">
        <v>19</v>
      </c>
      <c r="C842" t="s">
        <v>71</v>
      </c>
      <c r="D842" t="s">
        <v>43</v>
      </c>
      <c r="E842" t="s">
        <v>259</v>
      </c>
      <c r="F842" t="s">
        <v>150</v>
      </c>
      <c r="G842" t="s">
        <v>256</v>
      </c>
      <c r="H842" t="s">
        <v>32</v>
      </c>
      <c r="I842" t="s">
        <v>18</v>
      </c>
      <c r="J842" s="7">
        <v>44630</v>
      </c>
      <c r="K842" s="7">
        <v>44844</v>
      </c>
      <c r="L842" s="5">
        <v>200</v>
      </c>
      <c r="M842" t="s">
        <v>150</v>
      </c>
      <c r="N842" t="s">
        <v>347</v>
      </c>
      <c r="O842">
        <v>200</v>
      </c>
      <c r="P842" t="s">
        <v>205</v>
      </c>
      <c r="Q842" t="s">
        <v>26</v>
      </c>
      <c r="R842">
        <v>176</v>
      </c>
      <c r="S842">
        <v>0</v>
      </c>
      <c r="T842" t="s">
        <v>78</v>
      </c>
      <c r="U842" t="s">
        <v>63</v>
      </c>
      <c r="V842">
        <v>2</v>
      </c>
      <c r="W842">
        <v>1.29</v>
      </c>
      <c r="X842">
        <v>7</v>
      </c>
      <c r="Y842">
        <v>16.7</v>
      </c>
      <c r="Z842">
        <v>10.1</v>
      </c>
    </row>
    <row r="843" spans="1:26">
      <c r="A843" t="s">
        <v>1320</v>
      </c>
      <c r="B843">
        <v>46</v>
      </c>
      <c r="C843" t="s">
        <v>70</v>
      </c>
      <c r="D843" t="s">
        <v>39</v>
      </c>
      <c r="E843" t="s">
        <v>311</v>
      </c>
      <c r="F843" t="s">
        <v>277</v>
      </c>
      <c r="G843" t="s">
        <v>274</v>
      </c>
      <c r="H843" t="s">
        <v>29</v>
      </c>
      <c r="I843" t="s">
        <v>20</v>
      </c>
      <c r="J843" s="7">
        <v>43624</v>
      </c>
      <c r="K843" s="7">
        <v>43807</v>
      </c>
      <c r="L843" s="5">
        <v>200</v>
      </c>
      <c r="M843" t="s">
        <v>150</v>
      </c>
      <c r="N843" t="s">
        <v>289</v>
      </c>
      <c r="O843">
        <v>200</v>
      </c>
      <c r="P843" t="s">
        <v>206</v>
      </c>
      <c r="Q843" t="s">
        <v>28</v>
      </c>
      <c r="R843">
        <v>128</v>
      </c>
      <c r="S843">
        <v>1</v>
      </c>
      <c r="T843" t="s">
        <v>82</v>
      </c>
      <c r="U843" t="s">
        <v>61</v>
      </c>
      <c r="V843">
        <v>2.69</v>
      </c>
      <c r="W843">
        <v>4.14</v>
      </c>
      <c r="X843">
        <v>2.8</v>
      </c>
      <c r="Y843">
        <v>20.8</v>
      </c>
      <c r="Z843">
        <v>14</v>
      </c>
    </row>
    <row r="844" spans="1:26">
      <c r="A844" t="s">
        <v>1321</v>
      </c>
      <c r="B844">
        <v>46</v>
      </c>
      <c r="C844" t="s">
        <v>71</v>
      </c>
      <c r="D844" t="s">
        <v>44</v>
      </c>
      <c r="E844" t="s">
        <v>311</v>
      </c>
      <c r="F844" t="s">
        <v>264</v>
      </c>
      <c r="G844" t="s">
        <v>431</v>
      </c>
      <c r="H844" t="s">
        <v>32</v>
      </c>
      <c r="I844" t="s">
        <v>20</v>
      </c>
      <c r="J844" s="7">
        <v>44497</v>
      </c>
      <c r="K844" s="7">
        <v>44740</v>
      </c>
      <c r="L844" s="5">
        <v>50</v>
      </c>
      <c r="M844" t="s">
        <v>25</v>
      </c>
      <c r="N844" t="s">
        <v>459</v>
      </c>
      <c r="O844">
        <v>50</v>
      </c>
      <c r="P844" t="s">
        <v>205</v>
      </c>
      <c r="Q844" t="s">
        <v>27</v>
      </c>
      <c r="R844">
        <v>109</v>
      </c>
      <c r="S844">
        <v>0</v>
      </c>
      <c r="T844" t="s">
        <v>78</v>
      </c>
      <c r="U844" t="s">
        <v>61</v>
      </c>
      <c r="V844">
        <v>2.68</v>
      </c>
      <c r="W844">
        <v>2.83</v>
      </c>
      <c r="X844">
        <v>3.3</v>
      </c>
      <c r="Y844">
        <v>19.5</v>
      </c>
      <c r="Z844">
        <v>11.7</v>
      </c>
    </row>
    <row r="845" spans="1:26">
      <c r="A845" t="s">
        <v>1322</v>
      </c>
      <c r="B845">
        <v>23</v>
      </c>
      <c r="C845" t="s">
        <v>71</v>
      </c>
      <c r="D845" t="s">
        <v>41</v>
      </c>
      <c r="E845" t="s">
        <v>272</v>
      </c>
      <c r="F845" t="s">
        <v>150</v>
      </c>
      <c r="G845" t="s">
        <v>288</v>
      </c>
      <c r="H845" t="s">
        <v>29</v>
      </c>
      <c r="I845" t="s">
        <v>18</v>
      </c>
      <c r="J845" s="7">
        <v>44724</v>
      </c>
      <c r="K845" s="7">
        <v>45150</v>
      </c>
      <c r="L845" s="5">
        <v>100</v>
      </c>
      <c r="M845" t="s">
        <v>150</v>
      </c>
      <c r="N845" t="s">
        <v>670</v>
      </c>
      <c r="O845">
        <v>100</v>
      </c>
      <c r="P845" t="s">
        <v>211</v>
      </c>
      <c r="Q845" t="s">
        <v>28</v>
      </c>
      <c r="R845">
        <v>62</v>
      </c>
      <c r="S845">
        <v>0</v>
      </c>
      <c r="T845" t="s">
        <v>83</v>
      </c>
      <c r="U845" t="s">
        <v>61</v>
      </c>
      <c r="V845">
        <v>2.28</v>
      </c>
      <c r="W845">
        <v>3.38</v>
      </c>
      <c r="X845">
        <v>10</v>
      </c>
      <c r="Y845">
        <v>13.8</v>
      </c>
      <c r="Z845">
        <v>18.7</v>
      </c>
    </row>
    <row r="846" spans="1:26">
      <c r="A846" t="s">
        <v>1323</v>
      </c>
      <c r="B846">
        <v>32</v>
      </c>
      <c r="C846" t="s">
        <v>71</v>
      </c>
      <c r="D846" t="s">
        <v>39</v>
      </c>
      <c r="E846" t="s">
        <v>259</v>
      </c>
      <c r="F846" t="s">
        <v>268</v>
      </c>
      <c r="G846" t="s">
        <v>312</v>
      </c>
      <c r="H846" t="s">
        <v>30</v>
      </c>
      <c r="I846" t="s">
        <v>18</v>
      </c>
      <c r="J846" s="7">
        <v>44901</v>
      </c>
      <c r="K846" s="7">
        <v>45113</v>
      </c>
      <c r="L846" s="5">
        <v>100</v>
      </c>
      <c r="M846" t="s">
        <v>150</v>
      </c>
      <c r="N846" t="s">
        <v>538</v>
      </c>
      <c r="O846">
        <v>100</v>
      </c>
      <c r="P846" t="s">
        <v>206</v>
      </c>
      <c r="Q846" t="s">
        <v>25</v>
      </c>
      <c r="R846">
        <v>176</v>
      </c>
      <c r="S846">
        <v>1</v>
      </c>
      <c r="T846" t="s">
        <v>82</v>
      </c>
      <c r="U846" t="s">
        <v>63</v>
      </c>
      <c r="V846">
        <v>2.38</v>
      </c>
      <c r="W846">
        <v>1.22</v>
      </c>
      <c r="X846">
        <v>2.8</v>
      </c>
      <c r="Y846">
        <v>13.5</v>
      </c>
      <c r="Z846">
        <v>6.7</v>
      </c>
    </row>
    <row r="847" spans="1:26">
      <c r="A847" t="s">
        <v>1324</v>
      </c>
      <c r="B847">
        <v>64</v>
      </c>
      <c r="C847" t="s">
        <v>44</v>
      </c>
      <c r="D847" t="s">
        <v>42</v>
      </c>
      <c r="E847" t="s">
        <v>272</v>
      </c>
      <c r="F847" t="s">
        <v>277</v>
      </c>
      <c r="G847" t="s">
        <v>349</v>
      </c>
      <c r="H847" t="s">
        <v>34</v>
      </c>
      <c r="I847" t="s">
        <v>18</v>
      </c>
      <c r="J847" s="7">
        <v>45088</v>
      </c>
      <c r="K847" s="7">
        <v>45515</v>
      </c>
      <c r="L847" s="5">
        <v>50</v>
      </c>
      <c r="M847" t="s">
        <v>25</v>
      </c>
      <c r="N847" t="s">
        <v>1182</v>
      </c>
      <c r="O847">
        <v>50</v>
      </c>
      <c r="P847" t="s">
        <v>211</v>
      </c>
      <c r="Q847" t="s">
        <v>27</v>
      </c>
      <c r="R847">
        <v>72</v>
      </c>
      <c r="S847">
        <v>0</v>
      </c>
      <c r="T847" t="s">
        <v>83</v>
      </c>
      <c r="U847" t="s">
        <v>61</v>
      </c>
      <c r="V847">
        <v>1</v>
      </c>
      <c r="W847">
        <v>4.66</v>
      </c>
      <c r="X847">
        <v>8.6</v>
      </c>
      <c r="Y847">
        <v>19.4</v>
      </c>
      <c r="Z847">
        <v>5.9</v>
      </c>
    </row>
    <row r="848" spans="1:26">
      <c r="A848" t="s">
        <v>1325</v>
      </c>
      <c r="B848">
        <v>84</v>
      </c>
      <c r="C848" t="s">
        <v>71</v>
      </c>
      <c r="D848" t="s">
        <v>42</v>
      </c>
      <c r="E848" t="s">
        <v>150</v>
      </c>
      <c r="F848" t="s">
        <v>150</v>
      </c>
      <c r="G848" t="s">
        <v>269</v>
      </c>
      <c r="H848" t="s">
        <v>30</v>
      </c>
      <c r="I848" t="s">
        <v>16</v>
      </c>
      <c r="J848" s="7">
        <v>45127</v>
      </c>
      <c r="K848" s="7">
        <v>45371</v>
      </c>
      <c r="L848" s="5">
        <v>200</v>
      </c>
      <c r="M848" t="s">
        <v>25</v>
      </c>
      <c r="N848" t="s">
        <v>413</v>
      </c>
      <c r="O848">
        <v>200</v>
      </c>
      <c r="P848" t="s">
        <v>211</v>
      </c>
      <c r="Q848" t="s">
        <v>150</v>
      </c>
      <c r="R848">
        <v>43</v>
      </c>
      <c r="S848">
        <v>0</v>
      </c>
      <c r="T848" t="s">
        <v>83</v>
      </c>
      <c r="U848" t="s">
        <v>63</v>
      </c>
      <c r="V848">
        <v>1.48</v>
      </c>
      <c r="W848">
        <v>1.27</v>
      </c>
      <c r="X848">
        <v>7.5</v>
      </c>
      <c r="Y848">
        <v>22.7</v>
      </c>
      <c r="Z848">
        <v>10.3</v>
      </c>
    </row>
    <row r="849" spans="1:26">
      <c r="A849" t="s">
        <v>1326</v>
      </c>
      <c r="B849">
        <v>39</v>
      </c>
      <c r="C849" t="s">
        <v>44</v>
      </c>
      <c r="D849" t="s">
        <v>43</v>
      </c>
      <c r="E849" t="s">
        <v>259</v>
      </c>
      <c r="F849" t="s">
        <v>273</v>
      </c>
      <c r="G849" t="s">
        <v>319</v>
      </c>
      <c r="H849" t="s">
        <v>30</v>
      </c>
      <c r="I849" t="s">
        <v>19</v>
      </c>
      <c r="J849" s="7">
        <v>45006</v>
      </c>
      <c r="K849" s="7">
        <v>45281</v>
      </c>
      <c r="L849" s="5">
        <v>100</v>
      </c>
      <c r="M849" t="s">
        <v>26</v>
      </c>
      <c r="N849" t="s">
        <v>704</v>
      </c>
      <c r="O849">
        <v>100</v>
      </c>
      <c r="P849" t="s">
        <v>211</v>
      </c>
      <c r="Q849" t="s">
        <v>150</v>
      </c>
      <c r="R849">
        <v>154</v>
      </c>
      <c r="S849">
        <v>0</v>
      </c>
      <c r="T849" t="s">
        <v>81</v>
      </c>
      <c r="U849" t="s">
        <v>63</v>
      </c>
      <c r="V849">
        <v>1.48</v>
      </c>
      <c r="W849">
        <v>3.05</v>
      </c>
      <c r="X849">
        <v>4.1</v>
      </c>
      <c r="Y849">
        <v>12.7</v>
      </c>
      <c r="Z849">
        <v>13.6</v>
      </c>
    </row>
    <row r="850" spans="1:26">
      <c r="A850" t="s">
        <v>1327</v>
      </c>
      <c r="B850">
        <v>34</v>
      </c>
      <c r="C850" t="s">
        <v>44</v>
      </c>
      <c r="D850" t="s">
        <v>44</v>
      </c>
      <c r="E850" t="s">
        <v>311</v>
      </c>
      <c r="F850" t="s">
        <v>264</v>
      </c>
      <c r="G850" t="s">
        <v>274</v>
      </c>
      <c r="H850" t="s">
        <v>30</v>
      </c>
      <c r="I850" t="s">
        <v>16</v>
      </c>
      <c r="J850" s="7">
        <v>44186</v>
      </c>
      <c r="K850" s="7">
        <v>44702</v>
      </c>
      <c r="L850" s="5">
        <v>50</v>
      </c>
      <c r="M850" t="s">
        <v>28</v>
      </c>
      <c r="N850" t="s">
        <v>365</v>
      </c>
      <c r="O850">
        <v>50</v>
      </c>
      <c r="P850" t="s">
        <v>206</v>
      </c>
      <c r="Q850" t="s">
        <v>28</v>
      </c>
      <c r="R850">
        <v>100</v>
      </c>
      <c r="S850">
        <v>1</v>
      </c>
      <c r="T850" t="s">
        <v>78</v>
      </c>
      <c r="U850" t="s">
        <v>63</v>
      </c>
      <c r="V850">
        <v>3.87</v>
      </c>
      <c r="W850">
        <v>1.44</v>
      </c>
      <c r="X850">
        <v>1.3</v>
      </c>
      <c r="Y850">
        <v>23.9</v>
      </c>
      <c r="Z850">
        <v>7</v>
      </c>
    </row>
    <row r="851" spans="1:26">
      <c r="A851" t="s">
        <v>1328</v>
      </c>
      <c r="B851">
        <v>34</v>
      </c>
      <c r="C851" t="s">
        <v>71</v>
      </c>
      <c r="D851" t="s">
        <v>43</v>
      </c>
      <c r="E851" t="s">
        <v>272</v>
      </c>
      <c r="F851" t="s">
        <v>273</v>
      </c>
      <c r="G851" t="s">
        <v>284</v>
      </c>
      <c r="H851" t="s">
        <v>30</v>
      </c>
      <c r="I851" t="s">
        <v>19</v>
      </c>
      <c r="J851" s="7">
        <v>43855</v>
      </c>
      <c r="K851" s="7">
        <v>44402</v>
      </c>
      <c r="L851" s="5">
        <v>100</v>
      </c>
      <c r="M851" t="s">
        <v>28</v>
      </c>
      <c r="N851" t="s">
        <v>1095</v>
      </c>
      <c r="O851">
        <v>100</v>
      </c>
      <c r="P851" t="s">
        <v>211</v>
      </c>
      <c r="Q851" t="s">
        <v>150</v>
      </c>
      <c r="R851">
        <v>131</v>
      </c>
      <c r="S851">
        <v>0</v>
      </c>
      <c r="T851" t="s">
        <v>78</v>
      </c>
      <c r="U851" t="s">
        <v>63</v>
      </c>
      <c r="V851">
        <v>1.22</v>
      </c>
      <c r="W851">
        <v>1.76</v>
      </c>
      <c r="X851">
        <v>1.4</v>
      </c>
      <c r="Y851">
        <v>13.1</v>
      </c>
      <c r="Z851">
        <v>16.6</v>
      </c>
    </row>
    <row r="852" spans="1:26">
      <c r="A852" t="s">
        <v>1329</v>
      </c>
      <c r="B852">
        <v>25</v>
      </c>
      <c r="C852" t="s">
        <v>70</v>
      </c>
      <c r="D852" t="s">
        <v>44</v>
      </c>
      <c r="E852" t="s">
        <v>259</v>
      </c>
      <c r="F852" t="s">
        <v>150</v>
      </c>
      <c r="G852" t="s">
        <v>431</v>
      </c>
      <c r="H852" t="s">
        <v>34</v>
      </c>
      <c r="I852" t="s">
        <v>20</v>
      </c>
      <c r="J852" s="7">
        <v>44396</v>
      </c>
      <c r="K852" s="7">
        <v>44611</v>
      </c>
      <c r="L852" s="5">
        <v>100</v>
      </c>
      <c r="M852" t="s">
        <v>28</v>
      </c>
      <c r="N852" t="s">
        <v>457</v>
      </c>
      <c r="O852">
        <v>100</v>
      </c>
      <c r="P852" t="s">
        <v>206</v>
      </c>
      <c r="Q852" t="s">
        <v>26</v>
      </c>
      <c r="R852">
        <v>52</v>
      </c>
      <c r="S852">
        <v>1</v>
      </c>
      <c r="T852" t="s">
        <v>82</v>
      </c>
      <c r="U852" t="s">
        <v>63</v>
      </c>
      <c r="V852">
        <v>2.36</v>
      </c>
      <c r="W852">
        <v>2.78</v>
      </c>
      <c r="X852">
        <v>7.1</v>
      </c>
      <c r="Y852">
        <v>15.2</v>
      </c>
      <c r="Z852">
        <v>17.6</v>
      </c>
    </row>
    <row r="853" spans="1:26">
      <c r="A853" t="s">
        <v>1330</v>
      </c>
      <c r="B853">
        <v>78</v>
      </c>
      <c r="C853" t="s">
        <v>70</v>
      </c>
      <c r="D853" t="s">
        <v>43</v>
      </c>
      <c r="E853" t="s">
        <v>255</v>
      </c>
      <c r="F853" t="s">
        <v>273</v>
      </c>
      <c r="G853" t="s">
        <v>274</v>
      </c>
      <c r="H853" t="s">
        <v>30</v>
      </c>
      <c r="I853" t="s">
        <v>16</v>
      </c>
      <c r="J853" s="7">
        <v>43593</v>
      </c>
      <c r="K853" s="7">
        <v>44112</v>
      </c>
      <c r="L853" s="5">
        <v>150</v>
      </c>
      <c r="M853" t="s">
        <v>25</v>
      </c>
      <c r="N853" t="s">
        <v>495</v>
      </c>
      <c r="O853">
        <v>150</v>
      </c>
      <c r="P853" t="s">
        <v>211</v>
      </c>
      <c r="Q853" t="s">
        <v>26</v>
      </c>
      <c r="R853">
        <v>68</v>
      </c>
      <c r="S853">
        <v>0</v>
      </c>
      <c r="T853" t="s">
        <v>80</v>
      </c>
      <c r="U853" t="s">
        <v>63</v>
      </c>
      <c r="V853">
        <v>4.46</v>
      </c>
      <c r="W853">
        <v>1.04</v>
      </c>
      <c r="X853">
        <v>8</v>
      </c>
      <c r="Y853">
        <v>14.3</v>
      </c>
      <c r="Z853">
        <v>19.8</v>
      </c>
    </row>
    <row r="854" spans="1:26">
      <c r="A854" t="s">
        <v>1331</v>
      </c>
      <c r="B854">
        <v>43</v>
      </c>
      <c r="C854" t="s">
        <v>71</v>
      </c>
      <c r="D854" t="s">
        <v>43</v>
      </c>
      <c r="E854" t="s">
        <v>272</v>
      </c>
      <c r="F854" t="s">
        <v>277</v>
      </c>
      <c r="G854" t="s">
        <v>327</v>
      </c>
      <c r="H854" t="s">
        <v>34</v>
      </c>
      <c r="I854" t="s">
        <v>19</v>
      </c>
      <c r="J854" s="7">
        <v>44757</v>
      </c>
      <c r="K854" s="7">
        <v>45306</v>
      </c>
      <c r="L854" s="5">
        <v>50</v>
      </c>
      <c r="M854" t="s">
        <v>26</v>
      </c>
      <c r="N854" t="s">
        <v>545</v>
      </c>
      <c r="O854">
        <v>50</v>
      </c>
      <c r="P854" t="s">
        <v>206</v>
      </c>
      <c r="Q854" t="s">
        <v>25</v>
      </c>
      <c r="R854">
        <v>161</v>
      </c>
      <c r="S854">
        <v>1</v>
      </c>
      <c r="T854" t="s">
        <v>82</v>
      </c>
      <c r="U854" t="s">
        <v>61</v>
      </c>
      <c r="V854">
        <v>2.93</v>
      </c>
      <c r="W854">
        <v>4.95</v>
      </c>
      <c r="X854">
        <v>7.8</v>
      </c>
      <c r="Y854">
        <v>10.5</v>
      </c>
      <c r="Z854">
        <v>12.2</v>
      </c>
    </row>
    <row r="855" spans="1:26">
      <c r="A855" t="s">
        <v>1332</v>
      </c>
      <c r="B855">
        <v>64</v>
      </c>
      <c r="C855" t="s">
        <v>71</v>
      </c>
      <c r="D855" t="s">
        <v>39</v>
      </c>
      <c r="E855" t="s">
        <v>255</v>
      </c>
      <c r="F855" t="s">
        <v>264</v>
      </c>
      <c r="G855" t="s">
        <v>362</v>
      </c>
      <c r="H855" t="s">
        <v>29</v>
      </c>
      <c r="I855" t="s">
        <v>20</v>
      </c>
      <c r="J855" s="7">
        <v>44749</v>
      </c>
      <c r="K855" s="7">
        <v>45237</v>
      </c>
      <c r="L855" s="5">
        <v>150</v>
      </c>
      <c r="M855" t="s">
        <v>26</v>
      </c>
      <c r="N855" t="s">
        <v>275</v>
      </c>
      <c r="O855">
        <v>150</v>
      </c>
      <c r="P855" t="s">
        <v>211</v>
      </c>
      <c r="Q855" t="s">
        <v>28</v>
      </c>
      <c r="R855">
        <v>107</v>
      </c>
      <c r="S855">
        <v>0</v>
      </c>
      <c r="T855" t="s">
        <v>80</v>
      </c>
      <c r="U855" t="s">
        <v>61</v>
      </c>
      <c r="V855">
        <v>4.97</v>
      </c>
      <c r="W855">
        <v>4.43</v>
      </c>
      <c r="X855">
        <v>1.9</v>
      </c>
      <c r="Y855">
        <v>18.7</v>
      </c>
      <c r="Z855">
        <v>8.9</v>
      </c>
    </row>
    <row r="856" spans="1:26">
      <c r="A856" t="s">
        <v>1333</v>
      </c>
      <c r="B856">
        <v>39</v>
      </c>
      <c r="C856" t="s">
        <v>70</v>
      </c>
      <c r="D856" t="s">
        <v>41</v>
      </c>
      <c r="E856" t="s">
        <v>259</v>
      </c>
      <c r="F856" t="s">
        <v>150</v>
      </c>
      <c r="G856" t="s">
        <v>297</v>
      </c>
      <c r="H856" t="s">
        <v>30</v>
      </c>
      <c r="I856" t="s">
        <v>20</v>
      </c>
      <c r="J856" s="7">
        <v>43506</v>
      </c>
      <c r="K856" s="7">
        <v>43748</v>
      </c>
      <c r="L856" s="5">
        <v>150</v>
      </c>
      <c r="M856" t="s">
        <v>27</v>
      </c>
      <c r="N856" t="s">
        <v>352</v>
      </c>
      <c r="O856">
        <v>150</v>
      </c>
      <c r="P856" t="s">
        <v>206</v>
      </c>
      <c r="Q856" t="s">
        <v>150</v>
      </c>
      <c r="R856">
        <v>172</v>
      </c>
      <c r="S856">
        <v>1</v>
      </c>
      <c r="T856" t="s">
        <v>81</v>
      </c>
      <c r="U856" t="s">
        <v>61</v>
      </c>
      <c r="V856">
        <v>1.03</v>
      </c>
      <c r="W856">
        <v>2.61</v>
      </c>
      <c r="X856">
        <v>3.1</v>
      </c>
      <c r="Y856">
        <v>20.7</v>
      </c>
      <c r="Z856">
        <v>8.7</v>
      </c>
    </row>
    <row r="857" spans="1:26">
      <c r="A857" t="s">
        <v>1334</v>
      </c>
      <c r="B857">
        <v>37</v>
      </c>
      <c r="C857" t="s">
        <v>71</v>
      </c>
      <c r="D857" t="s">
        <v>44</v>
      </c>
      <c r="E857" t="s">
        <v>255</v>
      </c>
      <c r="F857" t="s">
        <v>150</v>
      </c>
      <c r="G857" t="s">
        <v>291</v>
      </c>
      <c r="H857" t="s">
        <v>34</v>
      </c>
      <c r="I857" t="s">
        <v>16</v>
      </c>
      <c r="J857" s="7">
        <v>45112</v>
      </c>
      <c r="K857" s="7">
        <v>45601</v>
      </c>
      <c r="L857" s="5">
        <v>100</v>
      </c>
      <c r="M857" t="s">
        <v>150</v>
      </c>
      <c r="N857" t="s">
        <v>735</v>
      </c>
      <c r="O857">
        <v>100</v>
      </c>
      <c r="P857" t="s">
        <v>205</v>
      </c>
      <c r="Q857" t="s">
        <v>27</v>
      </c>
      <c r="R857">
        <v>97</v>
      </c>
      <c r="S857">
        <v>0</v>
      </c>
      <c r="T857" t="s">
        <v>78</v>
      </c>
      <c r="U857" t="s">
        <v>63</v>
      </c>
      <c r="V857">
        <v>4.31</v>
      </c>
      <c r="W857">
        <v>1</v>
      </c>
      <c r="X857">
        <v>3.8</v>
      </c>
      <c r="Y857">
        <v>10.3</v>
      </c>
      <c r="Z857">
        <v>7</v>
      </c>
    </row>
    <row r="858" spans="1:26">
      <c r="A858" t="s">
        <v>1335</v>
      </c>
      <c r="B858">
        <v>61</v>
      </c>
      <c r="C858" t="s">
        <v>71</v>
      </c>
      <c r="D858" t="s">
        <v>41</v>
      </c>
      <c r="E858" t="s">
        <v>150</v>
      </c>
      <c r="F858" t="s">
        <v>150</v>
      </c>
      <c r="G858" t="s">
        <v>288</v>
      </c>
      <c r="H858" t="s">
        <v>32</v>
      </c>
      <c r="I858" t="s">
        <v>16</v>
      </c>
      <c r="J858" s="7">
        <v>44447</v>
      </c>
      <c r="K858" s="7">
        <v>44720</v>
      </c>
      <c r="L858" s="5">
        <v>100</v>
      </c>
      <c r="M858" t="s">
        <v>26</v>
      </c>
      <c r="N858" t="s">
        <v>433</v>
      </c>
      <c r="O858">
        <v>100</v>
      </c>
      <c r="P858" t="s">
        <v>206</v>
      </c>
      <c r="Q858" t="s">
        <v>28</v>
      </c>
      <c r="R858">
        <v>50</v>
      </c>
      <c r="S858">
        <v>1</v>
      </c>
      <c r="T858" t="s">
        <v>81</v>
      </c>
      <c r="U858" t="s">
        <v>61</v>
      </c>
      <c r="V858">
        <v>1.27</v>
      </c>
      <c r="W858">
        <v>1.75</v>
      </c>
      <c r="X858">
        <v>6</v>
      </c>
      <c r="Y858">
        <v>11.2</v>
      </c>
      <c r="Z858">
        <v>10.1</v>
      </c>
    </row>
    <row r="859" spans="1:26">
      <c r="A859" t="s">
        <v>1336</v>
      </c>
      <c r="B859">
        <v>69</v>
      </c>
      <c r="C859" t="s">
        <v>71</v>
      </c>
      <c r="D859" t="s">
        <v>39</v>
      </c>
      <c r="E859" t="s">
        <v>150</v>
      </c>
      <c r="F859" t="s">
        <v>260</v>
      </c>
      <c r="G859" t="s">
        <v>297</v>
      </c>
      <c r="H859" t="s">
        <v>32</v>
      </c>
      <c r="I859" t="s">
        <v>20</v>
      </c>
      <c r="J859" s="7">
        <v>44421</v>
      </c>
      <c r="K859" s="7">
        <v>44878</v>
      </c>
      <c r="L859" s="5">
        <v>150</v>
      </c>
      <c r="M859" t="s">
        <v>150</v>
      </c>
      <c r="N859" t="s">
        <v>620</v>
      </c>
      <c r="O859">
        <v>150</v>
      </c>
      <c r="P859" t="s">
        <v>211</v>
      </c>
      <c r="Q859" t="s">
        <v>150</v>
      </c>
      <c r="R859">
        <v>174</v>
      </c>
      <c r="S859">
        <v>0</v>
      </c>
      <c r="T859" t="s">
        <v>82</v>
      </c>
      <c r="U859" t="s">
        <v>61</v>
      </c>
      <c r="V859">
        <v>2.51</v>
      </c>
      <c r="W859">
        <v>4.5</v>
      </c>
      <c r="X859">
        <v>9.1</v>
      </c>
      <c r="Y859">
        <v>14.9</v>
      </c>
      <c r="Z859">
        <v>8.6</v>
      </c>
    </row>
    <row r="860" spans="1:26">
      <c r="A860" t="s">
        <v>1337</v>
      </c>
      <c r="B860">
        <v>68</v>
      </c>
      <c r="C860" t="s">
        <v>70</v>
      </c>
      <c r="D860" t="s">
        <v>44</v>
      </c>
      <c r="E860" t="s">
        <v>255</v>
      </c>
      <c r="F860" t="s">
        <v>277</v>
      </c>
      <c r="G860" t="s">
        <v>261</v>
      </c>
      <c r="H860" t="s">
        <v>30</v>
      </c>
      <c r="I860" t="s">
        <v>19</v>
      </c>
      <c r="J860" s="7">
        <v>43867</v>
      </c>
      <c r="K860" s="7">
        <v>44202</v>
      </c>
      <c r="L860" s="5">
        <v>150</v>
      </c>
      <c r="M860" t="s">
        <v>28</v>
      </c>
      <c r="N860" t="s">
        <v>461</v>
      </c>
      <c r="O860">
        <v>150</v>
      </c>
      <c r="P860" t="s">
        <v>211</v>
      </c>
      <c r="Q860" t="s">
        <v>25</v>
      </c>
      <c r="R860">
        <v>108</v>
      </c>
      <c r="S860">
        <v>0</v>
      </c>
      <c r="T860" t="s">
        <v>80</v>
      </c>
      <c r="U860" t="s">
        <v>63</v>
      </c>
      <c r="V860">
        <v>1.43</v>
      </c>
      <c r="W860">
        <v>4.81</v>
      </c>
      <c r="X860">
        <v>1.5</v>
      </c>
      <c r="Y860">
        <v>11.4</v>
      </c>
      <c r="Z860">
        <v>8.1</v>
      </c>
    </row>
    <row r="861" spans="1:26">
      <c r="A861" t="s">
        <v>1338</v>
      </c>
      <c r="B861">
        <v>61</v>
      </c>
      <c r="C861" t="s">
        <v>71</v>
      </c>
      <c r="D861" t="s">
        <v>43</v>
      </c>
      <c r="E861" t="s">
        <v>255</v>
      </c>
      <c r="F861" t="s">
        <v>264</v>
      </c>
      <c r="G861" t="s">
        <v>274</v>
      </c>
      <c r="H861" t="s">
        <v>34</v>
      </c>
      <c r="I861" t="s">
        <v>20</v>
      </c>
      <c r="J861" s="7">
        <v>44414</v>
      </c>
      <c r="K861" s="7">
        <v>44626</v>
      </c>
      <c r="L861" s="5">
        <v>100</v>
      </c>
      <c r="M861" t="s">
        <v>27</v>
      </c>
      <c r="N861" t="s">
        <v>413</v>
      </c>
      <c r="O861">
        <v>100</v>
      </c>
      <c r="P861" t="s">
        <v>206</v>
      </c>
      <c r="Q861" t="s">
        <v>26</v>
      </c>
      <c r="R861">
        <v>124</v>
      </c>
      <c r="S861">
        <v>1</v>
      </c>
      <c r="T861" t="s">
        <v>80</v>
      </c>
      <c r="U861" t="s">
        <v>63</v>
      </c>
      <c r="V861">
        <v>2.28</v>
      </c>
      <c r="W861">
        <v>1.66</v>
      </c>
      <c r="X861">
        <v>8</v>
      </c>
      <c r="Y861">
        <v>8.2</v>
      </c>
      <c r="Z861">
        <v>13.8</v>
      </c>
    </row>
    <row r="862" spans="1:26">
      <c r="A862" t="s">
        <v>1339</v>
      </c>
      <c r="B862">
        <v>52</v>
      </c>
      <c r="C862" t="s">
        <v>71</v>
      </c>
      <c r="D862" t="s">
        <v>43</v>
      </c>
      <c r="E862" t="s">
        <v>311</v>
      </c>
      <c r="F862" t="s">
        <v>150</v>
      </c>
      <c r="G862" t="s">
        <v>362</v>
      </c>
      <c r="H862" t="s">
        <v>29</v>
      </c>
      <c r="I862" t="s">
        <v>19</v>
      </c>
      <c r="J862" s="7">
        <v>45206</v>
      </c>
      <c r="K862" s="7">
        <v>45480</v>
      </c>
      <c r="L862" s="5">
        <v>100</v>
      </c>
      <c r="M862" t="s">
        <v>28</v>
      </c>
      <c r="N862" t="s">
        <v>888</v>
      </c>
      <c r="O862">
        <v>100</v>
      </c>
      <c r="P862" t="s">
        <v>211</v>
      </c>
      <c r="Q862" t="s">
        <v>150</v>
      </c>
      <c r="R862">
        <v>84</v>
      </c>
      <c r="S862">
        <v>0</v>
      </c>
      <c r="T862" t="s">
        <v>83</v>
      </c>
      <c r="U862" t="s">
        <v>61</v>
      </c>
      <c r="V862">
        <v>1.5</v>
      </c>
      <c r="W862">
        <v>1.28</v>
      </c>
      <c r="X862">
        <v>9.2</v>
      </c>
      <c r="Y862">
        <v>9.4</v>
      </c>
      <c r="Z862">
        <v>17</v>
      </c>
    </row>
    <row r="863" spans="1:26">
      <c r="A863" t="s">
        <v>1340</v>
      </c>
      <c r="B863">
        <v>70</v>
      </c>
      <c r="C863" t="s">
        <v>71</v>
      </c>
      <c r="D863" t="s">
        <v>43</v>
      </c>
      <c r="E863" t="s">
        <v>259</v>
      </c>
      <c r="F863" t="s">
        <v>277</v>
      </c>
      <c r="G863" t="s">
        <v>312</v>
      </c>
      <c r="H863" t="s">
        <v>29</v>
      </c>
      <c r="I863" t="s">
        <v>20</v>
      </c>
      <c r="J863" s="7">
        <v>45083</v>
      </c>
      <c r="K863" s="7">
        <v>45328</v>
      </c>
      <c r="L863" s="5">
        <v>50</v>
      </c>
      <c r="M863" t="s">
        <v>150</v>
      </c>
      <c r="N863" t="s">
        <v>782</v>
      </c>
      <c r="O863">
        <v>50</v>
      </c>
      <c r="P863" t="s">
        <v>205</v>
      </c>
      <c r="Q863" t="s">
        <v>27</v>
      </c>
      <c r="R863">
        <v>53</v>
      </c>
      <c r="S863">
        <v>0</v>
      </c>
      <c r="T863" t="s">
        <v>80</v>
      </c>
      <c r="U863" t="s">
        <v>61</v>
      </c>
      <c r="V863">
        <v>3.18</v>
      </c>
      <c r="W863">
        <v>1.31</v>
      </c>
      <c r="X863">
        <v>9.6</v>
      </c>
      <c r="Y863">
        <v>10.4</v>
      </c>
      <c r="Z863">
        <v>17.6</v>
      </c>
    </row>
    <row r="864" spans="1:26">
      <c r="A864" t="s">
        <v>1341</v>
      </c>
      <c r="B864">
        <v>58</v>
      </c>
      <c r="C864" t="s">
        <v>71</v>
      </c>
      <c r="D864" t="s">
        <v>41</v>
      </c>
      <c r="E864" t="s">
        <v>150</v>
      </c>
      <c r="F864" t="s">
        <v>150</v>
      </c>
      <c r="G864" t="s">
        <v>322</v>
      </c>
      <c r="H864" t="s">
        <v>30</v>
      </c>
      <c r="I864" t="s">
        <v>20</v>
      </c>
      <c r="J864" s="7">
        <v>45147</v>
      </c>
      <c r="K864" s="7">
        <v>45452</v>
      </c>
      <c r="L864" s="5">
        <v>200</v>
      </c>
      <c r="M864" t="s">
        <v>28</v>
      </c>
      <c r="N864" t="s">
        <v>997</v>
      </c>
      <c r="O864">
        <v>200</v>
      </c>
      <c r="P864" t="s">
        <v>206</v>
      </c>
      <c r="Q864" t="s">
        <v>26</v>
      </c>
      <c r="R864">
        <v>36</v>
      </c>
      <c r="S864">
        <v>1</v>
      </c>
      <c r="T864" t="s">
        <v>80</v>
      </c>
      <c r="U864" t="s">
        <v>61</v>
      </c>
      <c r="V864">
        <v>1.68</v>
      </c>
      <c r="W864">
        <v>4.42</v>
      </c>
      <c r="X864">
        <v>1.1</v>
      </c>
      <c r="Y864">
        <v>15.2</v>
      </c>
      <c r="Z864">
        <v>16.1</v>
      </c>
    </row>
    <row r="865" spans="1:26">
      <c r="A865" t="s">
        <v>1342</v>
      </c>
      <c r="B865">
        <v>61</v>
      </c>
      <c r="C865" t="s">
        <v>44</v>
      </c>
      <c r="D865" t="s">
        <v>41</v>
      </c>
      <c r="E865" t="s">
        <v>259</v>
      </c>
      <c r="F865" t="s">
        <v>150</v>
      </c>
      <c r="G865" t="s">
        <v>431</v>
      </c>
      <c r="H865" t="s">
        <v>34</v>
      </c>
      <c r="I865" t="s">
        <v>18</v>
      </c>
      <c r="J865" s="7">
        <v>45120</v>
      </c>
      <c r="K865" s="7">
        <v>45609</v>
      </c>
      <c r="L865" s="5">
        <v>150</v>
      </c>
      <c r="M865" t="s">
        <v>26</v>
      </c>
      <c r="N865" t="s">
        <v>373</v>
      </c>
      <c r="O865">
        <v>150</v>
      </c>
      <c r="P865" t="s">
        <v>206</v>
      </c>
      <c r="Q865" t="s">
        <v>28</v>
      </c>
      <c r="R865">
        <v>101</v>
      </c>
      <c r="S865">
        <v>1</v>
      </c>
      <c r="T865" t="s">
        <v>83</v>
      </c>
      <c r="U865" t="s">
        <v>63</v>
      </c>
      <c r="V865">
        <v>4.74</v>
      </c>
      <c r="W865">
        <v>4.64</v>
      </c>
      <c r="X865">
        <v>8.4</v>
      </c>
      <c r="Y865">
        <v>22</v>
      </c>
      <c r="Z865">
        <v>6.4</v>
      </c>
    </row>
    <row r="866" spans="1:26">
      <c r="A866" t="s">
        <v>1343</v>
      </c>
      <c r="B866">
        <v>63</v>
      </c>
      <c r="C866" t="s">
        <v>71</v>
      </c>
      <c r="D866" t="s">
        <v>43</v>
      </c>
      <c r="E866" t="s">
        <v>255</v>
      </c>
      <c r="F866" t="s">
        <v>264</v>
      </c>
      <c r="G866" t="s">
        <v>256</v>
      </c>
      <c r="H866" t="s">
        <v>29</v>
      </c>
      <c r="I866" t="s">
        <v>16</v>
      </c>
      <c r="J866" s="7">
        <v>43540</v>
      </c>
      <c r="K866" s="7">
        <v>44028</v>
      </c>
      <c r="L866" s="5">
        <v>100</v>
      </c>
      <c r="M866" t="s">
        <v>26</v>
      </c>
      <c r="N866" t="s">
        <v>406</v>
      </c>
      <c r="O866">
        <v>100</v>
      </c>
      <c r="P866" t="s">
        <v>211</v>
      </c>
      <c r="Q866" t="s">
        <v>27</v>
      </c>
      <c r="R866">
        <v>79</v>
      </c>
      <c r="S866">
        <v>0</v>
      </c>
      <c r="T866" t="s">
        <v>83</v>
      </c>
      <c r="U866" t="s">
        <v>61</v>
      </c>
      <c r="V866">
        <v>2.14</v>
      </c>
      <c r="W866">
        <v>2.16</v>
      </c>
      <c r="X866">
        <v>4.4</v>
      </c>
      <c r="Y866">
        <v>13.1</v>
      </c>
      <c r="Z866">
        <v>12.3</v>
      </c>
    </row>
    <row r="867" spans="1:26">
      <c r="A867" t="s">
        <v>1344</v>
      </c>
      <c r="B867">
        <v>21</v>
      </c>
      <c r="C867" t="s">
        <v>44</v>
      </c>
      <c r="D867" t="s">
        <v>39</v>
      </c>
      <c r="E867" t="s">
        <v>259</v>
      </c>
      <c r="F867" t="s">
        <v>150</v>
      </c>
      <c r="G867" t="s">
        <v>284</v>
      </c>
      <c r="H867" t="s">
        <v>30</v>
      </c>
      <c r="I867" t="s">
        <v>20</v>
      </c>
      <c r="J867" s="7">
        <v>45253</v>
      </c>
      <c r="K867" s="7">
        <v>45466</v>
      </c>
      <c r="L867" s="5">
        <v>200</v>
      </c>
      <c r="M867" t="s">
        <v>28</v>
      </c>
      <c r="N867" t="s">
        <v>682</v>
      </c>
      <c r="O867">
        <v>200</v>
      </c>
      <c r="P867" t="s">
        <v>206</v>
      </c>
      <c r="Q867" t="s">
        <v>26</v>
      </c>
      <c r="R867">
        <v>126</v>
      </c>
      <c r="S867">
        <v>1</v>
      </c>
      <c r="T867" t="s">
        <v>80</v>
      </c>
      <c r="U867" t="s">
        <v>61</v>
      </c>
      <c r="V867">
        <v>1.64</v>
      </c>
      <c r="W867">
        <v>3.76</v>
      </c>
      <c r="X867">
        <v>2.5</v>
      </c>
      <c r="Y867">
        <v>11.6</v>
      </c>
      <c r="Z867">
        <v>11.6</v>
      </c>
    </row>
    <row r="868" spans="1:26">
      <c r="A868" t="s">
        <v>1345</v>
      </c>
      <c r="B868">
        <v>62</v>
      </c>
      <c r="C868" t="s">
        <v>44</v>
      </c>
      <c r="D868" t="s">
        <v>41</v>
      </c>
      <c r="E868" t="s">
        <v>255</v>
      </c>
      <c r="F868" t="s">
        <v>150</v>
      </c>
      <c r="G868" t="s">
        <v>288</v>
      </c>
      <c r="H868" t="s">
        <v>29</v>
      </c>
      <c r="I868" t="s">
        <v>18</v>
      </c>
      <c r="J868" s="7">
        <v>45281</v>
      </c>
      <c r="K868" s="7">
        <v>45678</v>
      </c>
      <c r="L868" s="5">
        <v>100</v>
      </c>
      <c r="M868" t="s">
        <v>26</v>
      </c>
      <c r="N868" t="s">
        <v>266</v>
      </c>
      <c r="O868">
        <v>100</v>
      </c>
      <c r="P868" t="s">
        <v>211</v>
      </c>
      <c r="Q868" t="s">
        <v>26</v>
      </c>
      <c r="R868">
        <v>90</v>
      </c>
      <c r="S868">
        <v>0</v>
      </c>
      <c r="T868" t="s">
        <v>78</v>
      </c>
      <c r="U868" t="s">
        <v>63</v>
      </c>
      <c r="V868">
        <v>4.19</v>
      </c>
      <c r="W868">
        <v>3.96</v>
      </c>
      <c r="X868">
        <v>6.8</v>
      </c>
      <c r="Y868">
        <v>8.8</v>
      </c>
      <c r="Z868">
        <v>12.3</v>
      </c>
    </row>
    <row r="869" spans="1:26">
      <c r="A869" t="s">
        <v>1346</v>
      </c>
      <c r="B869">
        <v>37</v>
      </c>
      <c r="C869" t="s">
        <v>44</v>
      </c>
      <c r="D869" t="s">
        <v>43</v>
      </c>
      <c r="E869" t="s">
        <v>259</v>
      </c>
      <c r="F869" t="s">
        <v>150</v>
      </c>
      <c r="G869" t="s">
        <v>278</v>
      </c>
      <c r="H869" t="s">
        <v>30</v>
      </c>
      <c r="I869" t="s">
        <v>16</v>
      </c>
      <c r="J869" s="7">
        <v>44375</v>
      </c>
      <c r="K869" s="7">
        <v>44770</v>
      </c>
      <c r="L869" s="5">
        <v>100</v>
      </c>
      <c r="M869" t="s">
        <v>26</v>
      </c>
      <c r="N869" t="s">
        <v>358</v>
      </c>
      <c r="O869">
        <v>100</v>
      </c>
      <c r="P869" t="s">
        <v>211</v>
      </c>
      <c r="Q869" t="s">
        <v>27</v>
      </c>
      <c r="R869">
        <v>52</v>
      </c>
      <c r="S869">
        <v>0</v>
      </c>
      <c r="T869" t="s">
        <v>80</v>
      </c>
      <c r="U869" t="s">
        <v>61</v>
      </c>
      <c r="V869">
        <v>1.35</v>
      </c>
      <c r="W869">
        <v>2.51</v>
      </c>
      <c r="X869">
        <v>4.7</v>
      </c>
      <c r="Y869">
        <v>6.7</v>
      </c>
      <c r="Z869">
        <v>7.7</v>
      </c>
    </row>
    <row r="870" spans="1:26">
      <c r="A870" t="s">
        <v>1347</v>
      </c>
      <c r="B870">
        <v>22</v>
      </c>
      <c r="C870" t="s">
        <v>70</v>
      </c>
      <c r="D870" t="s">
        <v>43</v>
      </c>
      <c r="E870" t="s">
        <v>311</v>
      </c>
      <c r="F870" t="s">
        <v>150</v>
      </c>
      <c r="G870" t="s">
        <v>319</v>
      </c>
      <c r="H870" t="s">
        <v>34</v>
      </c>
      <c r="I870" t="s">
        <v>16</v>
      </c>
      <c r="J870" s="7">
        <v>44998</v>
      </c>
      <c r="K870" s="7">
        <v>45456</v>
      </c>
      <c r="L870" s="5">
        <v>200</v>
      </c>
      <c r="M870" t="s">
        <v>25</v>
      </c>
      <c r="N870" t="s">
        <v>1297</v>
      </c>
      <c r="O870">
        <v>200</v>
      </c>
      <c r="P870" t="s">
        <v>206</v>
      </c>
      <c r="Q870" t="s">
        <v>27</v>
      </c>
      <c r="R870">
        <v>39</v>
      </c>
      <c r="S870">
        <v>1</v>
      </c>
      <c r="T870" t="s">
        <v>83</v>
      </c>
      <c r="U870" t="s">
        <v>63</v>
      </c>
      <c r="V870">
        <v>4.82</v>
      </c>
      <c r="W870">
        <v>4.81</v>
      </c>
      <c r="X870">
        <v>4.2</v>
      </c>
      <c r="Y870">
        <v>6.8</v>
      </c>
      <c r="Z870">
        <v>6</v>
      </c>
    </row>
    <row r="871" spans="1:26">
      <c r="A871" t="s">
        <v>1348</v>
      </c>
      <c r="B871">
        <v>80</v>
      </c>
      <c r="C871" t="s">
        <v>71</v>
      </c>
      <c r="D871" t="s">
        <v>41</v>
      </c>
      <c r="E871" t="s">
        <v>272</v>
      </c>
      <c r="F871" t="s">
        <v>268</v>
      </c>
      <c r="G871" t="s">
        <v>265</v>
      </c>
      <c r="H871" t="s">
        <v>30</v>
      </c>
      <c r="I871" t="s">
        <v>16</v>
      </c>
      <c r="J871" s="7">
        <v>44891</v>
      </c>
      <c r="K871" s="7">
        <v>45377</v>
      </c>
      <c r="L871" s="5">
        <v>200</v>
      </c>
      <c r="M871" t="s">
        <v>150</v>
      </c>
      <c r="N871" t="s">
        <v>325</v>
      </c>
      <c r="O871">
        <v>200</v>
      </c>
      <c r="P871" t="s">
        <v>206</v>
      </c>
      <c r="Q871" t="s">
        <v>150</v>
      </c>
      <c r="R871">
        <v>143</v>
      </c>
      <c r="S871">
        <v>1</v>
      </c>
      <c r="T871" t="s">
        <v>81</v>
      </c>
      <c r="U871" t="s">
        <v>63</v>
      </c>
      <c r="V871">
        <v>2.57</v>
      </c>
      <c r="W871">
        <v>4.79</v>
      </c>
      <c r="X871">
        <v>2.3</v>
      </c>
      <c r="Y871">
        <v>19.7</v>
      </c>
      <c r="Z871">
        <v>4.8</v>
      </c>
    </row>
    <row r="872" spans="1:26">
      <c r="A872" t="s">
        <v>1349</v>
      </c>
      <c r="B872">
        <v>36</v>
      </c>
      <c r="C872" t="s">
        <v>71</v>
      </c>
      <c r="D872" t="s">
        <v>41</v>
      </c>
      <c r="E872" t="s">
        <v>259</v>
      </c>
      <c r="F872" t="s">
        <v>273</v>
      </c>
      <c r="G872" t="s">
        <v>349</v>
      </c>
      <c r="H872" t="s">
        <v>29</v>
      </c>
      <c r="I872" t="s">
        <v>16</v>
      </c>
      <c r="J872" s="7">
        <v>45055</v>
      </c>
      <c r="K872" s="7">
        <v>45300</v>
      </c>
      <c r="L872" s="5">
        <v>150</v>
      </c>
      <c r="M872" t="s">
        <v>25</v>
      </c>
      <c r="N872" t="s">
        <v>352</v>
      </c>
      <c r="O872">
        <v>150</v>
      </c>
      <c r="P872" t="s">
        <v>205</v>
      </c>
      <c r="Q872" t="s">
        <v>26</v>
      </c>
      <c r="R872">
        <v>75</v>
      </c>
      <c r="S872">
        <v>0</v>
      </c>
      <c r="T872" t="s">
        <v>81</v>
      </c>
      <c r="U872" t="s">
        <v>61</v>
      </c>
      <c r="V872">
        <v>4.93</v>
      </c>
      <c r="W872">
        <v>2.53</v>
      </c>
      <c r="X872">
        <v>8</v>
      </c>
      <c r="Y872">
        <v>12.2</v>
      </c>
      <c r="Z872">
        <v>13.7</v>
      </c>
    </row>
    <row r="873" spans="1:26">
      <c r="A873" t="s">
        <v>1350</v>
      </c>
      <c r="B873">
        <v>25</v>
      </c>
      <c r="C873" t="s">
        <v>70</v>
      </c>
      <c r="D873" t="s">
        <v>41</v>
      </c>
      <c r="E873" t="s">
        <v>255</v>
      </c>
      <c r="F873" t="s">
        <v>150</v>
      </c>
      <c r="G873" t="s">
        <v>256</v>
      </c>
      <c r="H873" t="s">
        <v>30</v>
      </c>
      <c r="I873" t="s">
        <v>19</v>
      </c>
      <c r="J873" s="7">
        <v>43654</v>
      </c>
      <c r="K873" s="7">
        <v>44143</v>
      </c>
      <c r="L873" s="5">
        <v>200</v>
      </c>
      <c r="M873" t="s">
        <v>28</v>
      </c>
      <c r="N873" t="s">
        <v>292</v>
      </c>
      <c r="O873">
        <v>200</v>
      </c>
      <c r="P873" t="s">
        <v>206</v>
      </c>
      <c r="Q873" t="s">
        <v>25</v>
      </c>
      <c r="R873">
        <v>44</v>
      </c>
      <c r="S873">
        <v>1</v>
      </c>
      <c r="T873" t="s">
        <v>81</v>
      </c>
      <c r="U873" t="s">
        <v>61</v>
      </c>
      <c r="V873">
        <v>1.77</v>
      </c>
      <c r="W873">
        <v>1.58</v>
      </c>
      <c r="X873">
        <v>9.4</v>
      </c>
      <c r="Y873">
        <v>22.5</v>
      </c>
      <c r="Z873">
        <v>18.1</v>
      </c>
    </row>
    <row r="874" spans="1:26">
      <c r="A874" t="s">
        <v>1351</v>
      </c>
      <c r="B874">
        <v>80</v>
      </c>
      <c r="C874" t="s">
        <v>70</v>
      </c>
      <c r="D874" t="s">
        <v>42</v>
      </c>
      <c r="E874" t="s">
        <v>259</v>
      </c>
      <c r="F874" t="s">
        <v>264</v>
      </c>
      <c r="G874" t="s">
        <v>265</v>
      </c>
      <c r="H874" t="s">
        <v>32</v>
      </c>
      <c r="I874" t="s">
        <v>16</v>
      </c>
      <c r="J874" s="7">
        <v>45082</v>
      </c>
      <c r="K874" s="7">
        <v>45265</v>
      </c>
      <c r="L874" s="5">
        <v>50</v>
      </c>
      <c r="M874" t="s">
        <v>27</v>
      </c>
      <c r="N874" t="s">
        <v>779</v>
      </c>
      <c r="O874">
        <v>50</v>
      </c>
      <c r="P874" t="s">
        <v>211</v>
      </c>
      <c r="Q874" t="s">
        <v>28</v>
      </c>
      <c r="R874">
        <v>160</v>
      </c>
      <c r="S874">
        <v>0</v>
      </c>
      <c r="T874" t="s">
        <v>81</v>
      </c>
      <c r="U874" t="s">
        <v>61</v>
      </c>
      <c r="V874">
        <v>3.5</v>
      </c>
      <c r="W874">
        <v>4.23</v>
      </c>
      <c r="X874">
        <v>1.6</v>
      </c>
      <c r="Y874">
        <v>12</v>
      </c>
      <c r="Z874">
        <v>8.3</v>
      </c>
    </row>
    <row r="875" spans="1:26">
      <c r="A875" t="s">
        <v>1352</v>
      </c>
      <c r="B875">
        <v>47</v>
      </c>
      <c r="C875" t="s">
        <v>44</v>
      </c>
      <c r="D875" t="s">
        <v>43</v>
      </c>
      <c r="E875" t="s">
        <v>150</v>
      </c>
      <c r="F875" t="s">
        <v>264</v>
      </c>
      <c r="G875" t="s">
        <v>322</v>
      </c>
      <c r="H875" t="s">
        <v>34</v>
      </c>
      <c r="I875" t="s">
        <v>16</v>
      </c>
      <c r="J875" s="7">
        <v>44356</v>
      </c>
      <c r="K875" s="7">
        <v>44813</v>
      </c>
      <c r="L875" s="5">
        <v>50</v>
      </c>
      <c r="M875" t="s">
        <v>28</v>
      </c>
      <c r="N875" t="s">
        <v>724</v>
      </c>
      <c r="O875">
        <v>50</v>
      </c>
      <c r="P875" t="s">
        <v>206</v>
      </c>
      <c r="Q875" t="s">
        <v>27</v>
      </c>
      <c r="R875">
        <v>98</v>
      </c>
      <c r="S875">
        <v>1</v>
      </c>
      <c r="T875" t="s">
        <v>83</v>
      </c>
      <c r="U875" t="s">
        <v>63</v>
      </c>
      <c r="V875">
        <v>3.54</v>
      </c>
      <c r="W875">
        <v>2.42</v>
      </c>
      <c r="X875">
        <v>2.3</v>
      </c>
      <c r="Y875">
        <v>16.7</v>
      </c>
      <c r="Z875">
        <v>16.8</v>
      </c>
    </row>
    <row r="876" spans="1:26">
      <c r="A876" t="s">
        <v>1353</v>
      </c>
      <c r="B876">
        <v>61</v>
      </c>
      <c r="C876" t="s">
        <v>70</v>
      </c>
      <c r="D876" t="s">
        <v>43</v>
      </c>
      <c r="E876" t="s">
        <v>150</v>
      </c>
      <c r="F876" t="s">
        <v>277</v>
      </c>
      <c r="G876" t="s">
        <v>274</v>
      </c>
      <c r="H876" t="s">
        <v>34</v>
      </c>
      <c r="I876" t="s">
        <v>18</v>
      </c>
      <c r="J876" s="7">
        <v>45092</v>
      </c>
      <c r="K876" s="7">
        <v>45519</v>
      </c>
      <c r="L876" s="5">
        <v>200</v>
      </c>
      <c r="M876" t="s">
        <v>26</v>
      </c>
      <c r="N876" t="s">
        <v>325</v>
      </c>
      <c r="O876">
        <v>200</v>
      </c>
      <c r="P876" t="s">
        <v>206</v>
      </c>
      <c r="Q876" t="s">
        <v>26</v>
      </c>
      <c r="R876">
        <v>34</v>
      </c>
      <c r="S876">
        <v>1</v>
      </c>
      <c r="T876" t="s">
        <v>81</v>
      </c>
      <c r="U876" t="s">
        <v>63</v>
      </c>
      <c r="V876">
        <v>2.53</v>
      </c>
      <c r="W876">
        <v>1.53</v>
      </c>
      <c r="X876">
        <v>2.8</v>
      </c>
      <c r="Y876">
        <v>10.3</v>
      </c>
      <c r="Z876">
        <v>8.1</v>
      </c>
    </row>
    <row r="877" spans="1:26">
      <c r="A877" t="s">
        <v>1354</v>
      </c>
      <c r="B877">
        <v>73</v>
      </c>
      <c r="C877" t="s">
        <v>71</v>
      </c>
      <c r="D877" t="s">
        <v>42</v>
      </c>
      <c r="E877" t="s">
        <v>311</v>
      </c>
      <c r="F877" t="s">
        <v>150</v>
      </c>
      <c r="G877" t="s">
        <v>269</v>
      </c>
      <c r="H877" t="s">
        <v>29</v>
      </c>
      <c r="I877" t="s">
        <v>18</v>
      </c>
      <c r="J877" s="7">
        <v>43534</v>
      </c>
      <c r="K877" s="7">
        <v>43748</v>
      </c>
      <c r="L877" s="5">
        <v>100</v>
      </c>
      <c r="M877" t="s">
        <v>26</v>
      </c>
      <c r="N877" t="s">
        <v>336</v>
      </c>
      <c r="O877">
        <v>100</v>
      </c>
      <c r="P877" t="s">
        <v>211</v>
      </c>
      <c r="Q877" t="s">
        <v>25</v>
      </c>
      <c r="R877">
        <v>175</v>
      </c>
      <c r="S877">
        <v>0</v>
      </c>
      <c r="T877" t="s">
        <v>82</v>
      </c>
      <c r="U877" t="s">
        <v>61</v>
      </c>
      <c r="V877">
        <v>3.57</v>
      </c>
      <c r="W877">
        <v>3.4</v>
      </c>
      <c r="X877">
        <v>7.3</v>
      </c>
      <c r="Y877">
        <v>12.5</v>
      </c>
      <c r="Z877">
        <v>17</v>
      </c>
    </row>
    <row r="878" spans="1:26">
      <c r="A878" t="s">
        <v>1355</v>
      </c>
      <c r="B878">
        <v>22</v>
      </c>
      <c r="C878" t="s">
        <v>44</v>
      </c>
      <c r="D878" t="s">
        <v>44</v>
      </c>
      <c r="E878" t="s">
        <v>272</v>
      </c>
      <c r="F878" t="s">
        <v>273</v>
      </c>
      <c r="G878" t="s">
        <v>261</v>
      </c>
      <c r="H878" t="s">
        <v>34</v>
      </c>
      <c r="I878" t="s">
        <v>20</v>
      </c>
      <c r="J878" s="7">
        <v>43887</v>
      </c>
      <c r="K878" s="7">
        <v>44342</v>
      </c>
      <c r="L878" s="5">
        <v>100</v>
      </c>
      <c r="M878" t="s">
        <v>27</v>
      </c>
      <c r="N878" t="s">
        <v>1356</v>
      </c>
      <c r="O878">
        <v>100</v>
      </c>
      <c r="P878" t="s">
        <v>211</v>
      </c>
      <c r="Q878" t="s">
        <v>28</v>
      </c>
      <c r="R878">
        <v>147</v>
      </c>
      <c r="S878">
        <v>0</v>
      </c>
      <c r="T878" t="s">
        <v>81</v>
      </c>
      <c r="U878" t="s">
        <v>61</v>
      </c>
      <c r="V878">
        <v>1.82</v>
      </c>
      <c r="W878">
        <v>2.88</v>
      </c>
      <c r="X878">
        <v>8.2</v>
      </c>
      <c r="Y878">
        <v>9.2</v>
      </c>
      <c r="Z878">
        <v>4.9</v>
      </c>
    </row>
    <row r="879" spans="1:26">
      <c r="A879" t="s">
        <v>1357</v>
      </c>
      <c r="B879">
        <v>71</v>
      </c>
      <c r="C879" t="s">
        <v>70</v>
      </c>
      <c r="D879" t="s">
        <v>41</v>
      </c>
      <c r="E879" t="s">
        <v>259</v>
      </c>
      <c r="F879" t="s">
        <v>150</v>
      </c>
      <c r="G879" t="s">
        <v>274</v>
      </c>
      <c r="H879" t="s">
        <v>32</v>
      </c>
      <c r="I879" t="s">
        <v>18</v>
      </c>
      <c r="J879" s="7">
        <v>43741</v>
      </c>
      <c r="K879" s="7">
        <v>44230</v>
      </c>
      <c r="L879" s="5">
        <v>200</v>
      </c>
      <c r="M879" t="s">
        <v>150</v>
      </c>
      <c r="N879" t="s">
        <v>581</v>
      </c>
      <c r="O879">
        <v>200</v>
      </c>
      <c r="P879" t="s">
        <v>205</v>
      </c>
      <c r="Q879" t="s">
        <v>25</v>
      </c>
      <c r="R879">
        <v>115</v>
      </c>
      <c r="S879">
        <v>0</v>
      </c>
      <c r="T879" t="s">
        <v>78</v>
      </c>
      <c r="U879" t="s">
        <v>63</v>
      </c>
      <c r="V879">
        <v>4.53</v>
      </c>
      <c r="W879">
        <v>2.37</v>
      </c>
      <c r="X879">
        <v>7.2</v>
      </c>
      <c r="Y879">
        <v>6.5</v>
      </c>
      <c r="Z879">
        <v>14.7</v>
      </c>
    </row>
    <row r="880" spans="1:26">
      <c r="A880" t="s">
        <v>1358</v>
      </c>
      <c r="B880">
        <v>33</v>
      </c>
      <c r="C880" t="s">
        <v>71</v>
      </c>
      <c r="D880" t="s">
        <v>42</v>
      </c>
      <c r="E880" t="s">
        <v>259</v>
      </c>
      <c r="F880" t="s">
        <v>277</v>
      </c>
      <c r="G880" t="s">
        <v>327</v>
      </c>
      <c r="H880" t="s">
        <v>29</v>
      </c>
      <c r="I880" t="s">
        <v>19</v>
      </c>
      <c r="J880" s="7">
        <v>44751</v>
      </c>
      <c r="K880" s="7">
        <v>45055</v>
      </c>
      <c r="L880" s="5">
        <v>200</v>
      </c>
      <c r="M880" t="s">
        <v>27</v>
      </c>
      <c r="N880" t="s">
        <v>350</v>
      </c>
      <c r="O880">
        <v>200</v>
      </c>
      <c r="P880" t="s">
        <v>206</v>
      </c>
      <c r="Q880" t="s">
        <v>28</v>
      </c>
      <c r="R880">
        <v>65</v>
      </c>
      <c r="S880">
        <v>1</v>
      </c>
      <c r="T880" t="s">
        <v>82</v>
      </c>
      <c r="U880" t="s">
        <v>61</v>
      </c>
      <c r="V880">
        <v>2.26</v>
      </c>
      <c r="W880">
        <v>1.22</v>
      </c>
      <c r="X880">
        <v>6.5</v>
      </c>
      <c r="Y880">
        <v>10.3</v>
      </c>
      <c r="Z880">
        <v>9.6</v>
      </c>
    </row>
    <row r="881" spans="1:26">
      <c r="A881" t="s">
        <v>1359</v>
      </c>
      <c r="B881">
        <v>68</v>
      </c>
      <c r="C881" t="s">
        <v>70</v>
      </c>
      <c r="D881" t="s">
        <v>39</v>
      </c>
      <c r="E881" t="s">
        <v>255</v>
      </c>
      <c r="F881" t="s">
        <v>150</v>
      </c>
      <c r="G881" t="s">
        <v>261</v>
      </c>
      <c r="H881" t="s">
        <v>34</v>
      </c>
      <c r="I881" t="s">
        <v>20</v>
      </c>
      <c r="J881" s="7">
        <v>44484</v>
      </c>
      <c r="K881" s="7">
        <v>44941</v>
      </c>
      <c r="L881" s="5">
        <v>200</v>
      </c>
      <c r="M881" t="s">
        <v>28</v>
      </c>
      <c r="N881" t="s">
        <v>404</v>
      </c>
      <c r="O881">
        <v>200</v>
      </c>
      <c r="P881" t="s">
        <v>211</v>
      </c>
      <c r="Q881" t="s">
        <v>150</v>
      </c>
      <c r="R881">
        <v>139</v>
      </c>
      <c r="S881">
        <v>0</v>
      </c>
      <c r="T881" t="s">
        <v>83</v>
      </c>
      <c r="U881" t="s">
        <v>61</v>
      </c>
      <c r="V881">
        <v>1.32</v>
      </c>
      <c r="W881">
        <v>1.59</v>
      </c>
      <c r="X881">
        <v>3.7</v>
      </c>
      <c r="Y881">
        <v>7.6</v>
      </c>
      <c r="Z881">
        <v>18.5</v>
      </c>
    </row>
    <row r="882" spans="1:26">
      <c r="A882" t="s">
        <v>1360</v>
      </c>
      <c r="B882">
        <v>60</v>
      </c>
      <c r="C882" t="s">
        <v>71</v>
      </c>
      <c r="D882" t="s">
        <v>42</v>
      </c>
      <c r="E882" t="s">
        <v>272</v>
      </c>
      <c r="F882" t="s">
        <v>264</v>
      </c>
      <c r="G882" t="s">
        <v>265</v>
      </c>
      <c r="H882" t="s">
        <v>34</v>
      </c>
      <c r="I882" t="s">
        <v>18</v>
      </c>
      <c r="J882" s="7">
        <v>43762</v>
      </c>
      <c r="K882" s="7">
        <v>44128</v>
      </c>
      <c r="L882" s="5">
        <v>150</v>
      </c>
      <c r="M882" t="s">
        <v>27</v>
      </c>
      <c r="N882" t="s">
        <v>398</v>
      </c>
      <c r="O882">
        <v>150</v>
      </c>
      <c r="P882" t="s">
        <v>206</v>
      </c>
      <c r="Q882" t="s">
        <v>28</v>
      </c>
      <c r="R882">
        <v>174</v>
      </c>
      <c r="S882">
        <v>1</v>
      </c>
      <c r="T882" t="s">
        <v>81</v>
      </c>
      <c r="U882" t="s">
        <v>63</v>
      </c>
      <c r="V882">
        <v>1.02</v>
      </c>
      <c r="W882">
        <v>2.94</v>
      </c>
      <c r="X882">
        <v>2.1</v>
      </c>
      <c r="Y882">
        <v>11.5</v>
      </c>
      <c r="Z882">
        <v>18.7</v>
      </c>
    </row>
    <row r="883" spans="1:26">
      <c r="A883" t="s">
        <v>1361</v>
      </c>
      <c r="B883">
        <v>66</v>
      </c>
      <c r="C883" t="s">
        <v>71</v>
      </c>
      <c r="D883" t="s">
        <v>39</v>
      </c>
      <c r="E883" t="s">
        <v>259</v>
      </c>
      <c r="F883" t="s">
        <v>264</v>
      </c>
      <c r="G883" t="s">
        <v>274</v>
      </c>
      <c r="H883" t="s">
        <v>34</v>
      </c>
      <c r="I883" t="s">
        <v>16</v>
      </c>
      <c r="J883" s="7">
        <v>43994</v>
      </c>
      <c r="K883" s="7">
        <v>44208</v>
      </c>
      <c r="L883" s="5">
        <v>100</v>
      </c>
      <c r="M883" t="s">
        <v>26</v>
      </c>
      <c r="N883" t="s">
        <v>660</v>
      </c>
      <c r="O883">
        <v>100</v>
      </c>
      <c r="P883" t="s">
        <v>206</v>
      </c>
      <c r="Q883" t="s">
        <v>27</v>
      </c>
      <c r="R883">
        <v>106</v>
      </c>
      <c r="S883">
        <v>1</v>
      </c>
      <c r="T883" t="s">
        <v>78</v>
      </c>
      <c r="U883" t="s">
        <v>63</v>
      </c>
      <c r="V883">
        <v>1.65</v>
      </c>
      <c r="W883">
        <v>4.86</v>
      </c>
      <c r="X883">
        <v>2.9</v>
      </c>
      <c r="Y883">
        <v>19.3</v>
      </c>
      <c r="Z883">
        <v>12.3</v>
      </c>
    </row>
    <row r="884" spans="1:26">
      <c r="A884" t="s">
        <v>1362</v>
      </c>
      <c r="B884">
        <v>58</v>
      </c>
      <c r="C884" t="s">
        <v>44</v>
      </c>
      <c r="D884" t="s">
        <v>39</v>
      </c>
      <c r="E884" t="s">
        <v>255</v>
      </c>
      <c r="F884" t="s">
        <v>150</v>
      </c>
      <c r="G884" t="s">
        <v>319</v>
      </c>
      <c r="H884" t="s">
        <v>32</v>
      </c>
      <c r="I884" t="s">
        <v>20</v>
      </c>
      <c r="J884" s="7">
        <v>44330</v>
      </c>
      <c r="K884" s="7">
        <v>44818</v>
      </c>
      <c r="L884" s="5">
        <v>200</v>
      </c>
      <c r="M884" t="s">
        <v>150</v>
      </c>
      <c r="N884" t="s">
        <v>257</v>
      </c>
      <c r="O884">
        <v>200</v>
      </c>
      <c r="P884" t="s">
        <v>211</v>
      </c>
      <c r="Q884" t="s">
        <v>150</v>
      </c>
      <c r="R884">
        <v>86</v>
      </c>
      <c r="S884">
        <v>0</v>
      </c>
      <c r="T884" t="s">
        <v>81</v>
      </c>
      <c r="U884" t="s">
        <v>61</v>
      </c>
      <c r="V884">
        <v>4.54</v>
      </c>
      <c r="W884">
        <v>3.22</v>
      </c>
      <c r="X884">
        <v>5.8</v>
      </c>
      <c r="Y884">
        <v>9.5</v>
      </c>
      <c r="Z884">
        <v>5.8</v>
      </c>
    </row>
    <row r="885" spans="1:26">
      <c r="A885" t="s">
        <v>1363</v>
      </c>
      <c r="B885">
        <v>27</v>
      </c>
      <c r="C885" t="s">
        <v>70</v>
      </c>
      <c r="D885" t="s">
        <v>44</v>
      </c>
      <c r="E885" t="s">
        <v>311</v>
      </c>
      <c r="F885" t="s">
        <v>268</v>
      </c>
      <c r="G885" t="s">
        <v>274</v>
      </c>
      <c r="H885" t="s">
        <v>30</v>
      </c>
      <c r="I885" t="s">
        <v>18</v>
      </c>
      <c r="J885" s="7">
        <v>44335</v>
      </c>
      <c r="K885" s="7">
        <v>44731</v>
      </c>
      <c r="L885" s="5">
        <v>150</v>
      </c>
      <c r="M885" t="s">
        <v>25</v>
      </c>
      <c r="N885" t="s">
        <v>890</v>
      </c>
      <c r="O885">
        <v>150</v>
      </c>
      <c r="P885" t="s">
        <v>211</v>
      </c>
      <c r="Q885" t="s">
        <v>150</v>
      </c>
      <c r="R885">
        <v>34</v>
      </c>
      <c r="S885">
        <v>0</v>
      </c>
      <c r="T885" t="s">
        <v>80</v>
      </c>
      <c r="U885" t="s">
        <v>63</v>
      </c>
      <c r="V885">
        <v>4.67</v>
      </c>
      <c r="W885">
        <v>2.31</v>
      </c>
      <c r="X885">
        <v>4.3</v>
      </c>
      <c r="Y885">
        <v>19.7</v>
      </c>
      <c r="Z885">
        <v>8.8</v>
      </c>
    </row>
    <row r="886" spans="1:26">
      <c r="A886" t="s">
        <v>1364</v>
      </c>
      <c r="B886">
        <v>36</v>
      </c>
      <c r="C886" t="s">
        <v>71</v>
      </c>
      <c r="D886" t="s">
        <v>42</v>
      </c>
      <c r="E886" t="s">
        <v>255</v>
      </c>
      <c r="F886" t="s">
        <v>260</v>
      </c>
      <c r="G886" t="s">
        <v>281</v>
      </c>
      <c r="H886" t="s">
        <v>34</v>
      </c>
      <c r="I886" t="s">
        <v>18</v>
      </c>
      <c r="J886" s="7">
        <v>45257</v>
      </c>
      <c r="K886" s="7">
        <v>45684</v>
      </c>
      <c r="L886" s="5">
        <v>150</v>
      </c>
      <c r="M886" t="s">
        <v>26</v>
      </c>
      <c r="N886" t="s">
        <v>1297</v>
      </c>
      <c r="O886">
        <v>150</v>
      </c>
      <c r="P886" t="s">
        <v>206</v>
      </c>
      <c r="Q886" t="s">
        <v>28</v>
      </c>
      <c r="R886">
        <v>176</v>
      </c>
      <c r="S886">
        <v>1</v>
      </c>
      <c r="T886" t="s">
        <v>82</v>
      </c>
      <c r="U886" t="s">
        <v>63</v>
      </c>
      <c r="V886">
        <v>4.81</v>
      </c>
      <c r="W886">
        <v>3.95</v>
      </c>
      <c r="X886">
        <v>6.4</v>
      </c>
      <c r="Y886">
        <v>21.9</v>
      </c>
      <c r="Z886">
        <v>3.8</v>
      </c>
    </row>
    <row r="887" spans="1:26">
      <c r="A887" t="s">
        <v>1365</v>
      </c>
      <c r="B887">
        <v>25</v>
      </c>
      <c r="C887" t="s">
        <v>44</v>
      </c>
      <c r="D887" t="s">
        <v>41</v>
      </c>
      <c r="E887" t="s">
        <v>311</v>
      </c>
      <c r="F887" t="s">
        <v>150</v>
      </c>
      <c r="G887" t="s">
        <v>291</v>
      </c>
      <c r="H887" t="s">
        <v>34</v>
      </c>
      <c r="I887" t="s">
        <v>19</v>
      </c>
      <c r="J887" s="7">
        <v>44451</v>
      </c>
      <c r="K887" s="7">
        <v>44724</v>
      </c>
      <c r="L887" s="5">
        <v>150</v>
      </c>
      <c r="M887" t="s">
        <v>27</v>
      </c>
      <c r="N887" t="s">
        <v>526</v>
      </c>
      <c r="O887">
        <v>150</v>
      </c>
      <c r="P887" t="s">
        <v>205</v>
      </c>
      <c r="Q887" t="s">
        <v>26</v>
      </c>
      <c r="R887">
        <v>62</v>
      </c>
      <c r="S887">
        <v>0</v>
      </c>
      <c r="T887" t="s">
        <v>83</v>
      </c>
      <c r="U887" t="s">
        <v>63</v>
      </c>
      <c r="V887">
        <v>2.03</v>
      </c>
      <c r="W887">
        <v>2.86</v>
      </c>
      <c r="X887">
        <v>3</v>
      </c>
      <c r="Y887">
        <v>19.4</v>
      </c>
      <c r="Z887">
        <v>18.6</v>
      </c>
    </row>
    <row r="888" spans="1:26">
      <c r="A888" t="s">
        <v>1366</v>
      </c>
      <c r="B888">
        <v>19</v>
      </c>
      <c r="C888" t="s">
        <v>71</v>
      </c>
      <c r="D888" t="s">
        <v>39</v>
      </c>
      <c r="E888" t="s">
        <v>150</v>
      </c>
      <c r="F888" t="s">
        <v>150</v>
      </c>
      <c r="G888" t="s">
        <v>362</v>
      </c>
      <c r="H888" t="s">
        <v>34</v>
      </c>
      <c r="I888" t="s">
        <v>16</v>
      </c>
      <c r="J888" s="7">
        <v>44185</v>
      </c>
      <c r="K888" s="7">
        <v>44459</v>
      </c>
      <c r="L888" s="5">
        <v>50</v>
      </c>
      <c r="M888" t="s">
        <v>26</v>
      </c>
      <c r="N888" t="s">
        <v>459</v>
      </c>
      <c r="O888">
        <v>50</v>
      </c>
      <c r="P888" t="s">
        <v>211</v>
      </c>
      <c r="Q888" t="s">
        <v>28</v>
      </c>
      <c r="R888">
        <v>64</v>
      </c>
      <c r="S888">
        <v>0</v>
      </c>
      <c r="T888" t="s">
        <v>83</v>
      </c>
      <c r="U888" t="s">
        <v>63</v>
      </c>
      <c r="V888">
        <v>2.7</v>
      </c>
      <c r="W888">
        <v>2.37</v>
      </c>
      <c r="X888">
        <v>9.7</v>
      </c>
      <c r="Y888">
        <v>14</v>
      </c>
      <c r="Z888">
        <v>11.3</v>
      </c>
    </row>
    <row r="889" spans="1:26">
      <c r="A889" t="s">
        <v>1367</v>
      </c>
      <c r="B889">
        <v>77</v>
      </c>
      <c r="C889" t="s">
        <v>70</v>
      </c>
      <c r="D889" t="s">
        <v>43</v>
      </c>
      <c r="E889" t="s">
        <v>150</v>
      </c>
      <c r="F889" t="s">
        <v>150</v>
      </c>
      <c r="G889" t="s">
        <v>306</v>
      </c>
      <c r="H889" t="s">
        <v>34</v>
      </c>
      <c r="I889" t="s">
        <v>18</v>
      </c>
      <c r="J889" s="7">
        <v>44480</v>
      </c>
      <c r="K889" s="7">
        <v>44968</v>
      </c>
      <c r="L889" s="5">
        <v>200</v>
      </c>
      <c r="M889" t="s">
        <v>25</v>
      </c>
      <c r="N889" t="s">
        <v>658</v>
      </c>
      <c r="O889">
        <v>200</v>
      </c>
      <c r="P889" t="s">
        <v>206</v>
      </c>
      <c r="Q889" t="s">
        <v>25</v>
      </c>
      <c r="R889">
        <v>85</v>
      </c>
      <c r="S889">
        <v>1</v>
      </c>
      <c r="T889" t="s">
        <v>83</v>
      </c>
      <c r="U889" t="s">
        <v>61</v>
      </c>
      <c r="V889">
        <v>2.41</v>
      </c>
      <c r="W889">
        <v>4.64</v>
      </c>
      <c r="X889">
        <v>6.1</v>
      </c>
      <c r="Y889">
        <v>19.7</v>
      </c>
      <c r="Z889">
        <v>16.8</v>
      </c>
    </row>
    <row r="890" spans="1:26">
      <c r="A890" t="s">
        <v>1368</v>
      </c>
      <c r="B890">
        <v>64</v>
      </c>
      <c r="C890" t="s">
        <v>44</v>
      </c>
      <c r="D890" t="s">
        <v>39</v>
      </c>
      <c r="E890" t="s">
        <v>259</v>
      </c>
      <c r="F890" t="s">
        <v>264</v>
      </c>
      <c r="G890" t="s">
        <v>297</v>
      </c>
      <c r="H890" t="s">
        <v>34</v>
      </c>
      <c r="I890" t="s">
        <v>18</v>
      </c>
      <c r="J890" s="7">
        <v>43504</v>
      </c>
      <c r="K890" s="7">
        <v>43929</v>
      </c>
      <c r="L890" s="5">
        <v>150</v>
      </c>
      <c r="M890" t="s">
        <v>26</v>
      </c>
      <c r="N890" t="s">
        <v>453</v>
      </c>
      <c r="O890">
        <v>150</v>
      </c>
      <c r="P890" t="s">
        <v>206</v>
      </c>
      <c r="Q890" t="s">
        <v>26</v>
      </c>
      <c r="R890">
        <v>134</v>
      </c>
      <c r="S890">
        <v>1</v>
      </c>
      <c r="T890" t="s">
        <v>78</v>
      </c>
      <c r="U890" t="s">
        <v>63</v>
      </c>
      <c r="V890">
        <v>2.37</v>
      </c>
      <c r="W890">
        <v>2.73</v>
      </c>
      <c r="X890">
        <v>8.6</v>
      </c>
      <c r="Y890">
        <v>12.5</v>
      </c>
      <c r="Z890">
        <v>16.5</v>
      </c>
    </row>
    <row r="891" spans="1:26">
      <c r="A891" t="s">
        <v>1369</v>
      </c>
      <c r="B891">
        <v>22</v>
      </c>
      <c r="C891" t="s">
        <v>71</v>
      </c>
      <c r="D891" t="s">
        <v>41</v>
      </c>
      <c r="E891" t="s">
        <v>150</v>
      </c>
      <c r="F891" t="s">
        <v>273</v>
      </c>
      <c r="G891" t="s">
        <v>322</v>
      </c>
      <c r="H891" t="s">
        <v>34</v>
      </c>
      <c r="I891" t="s">
        <v>18</v>
      </c>
      <c r="J891" s="7">
        <v>43475</v>
      </c>
      <c r="K891" s="7">
        <v>43748</v>
      </c>
      <c r="L891" s="5">
        <v>200</v>
      </c>
      <c r="M891" t="s">
        <v>25</v>
      </c>
      <c r="N891" t="s">
        <v>601</v>
      </c>
      <c r="O891">
        <v>200</v>
      </c>
      <c r="P891" t="s">
        <v>205</v>
      </c>
      <c r="Q891" t="s">
        <v>27</v>
      </c>
      <c r="R891">
        <v>168</v>
      </c>
      <c r="S891">
        <v>0</v>
      </c>
      <c r="T891" t="s">
        <v>83</v>
      </c>
      <c r="U891" t="s">
        <v>63</v>
      </c>
      <c r="V891">
        <v>4.76</v>
      </c>
      <c r="W891">
        <v>3.49</v>
      </c>
      <c r="X891">
        <v>7.7</v>
      </c>
      <c r="Y891">
        <v>20.5</v>
      </c>
      <c r="Z891">
        <v>17.4</v>
      </c>
    </row>
    <row r="892" spans="1:26">
      <c r="A892" t="s">
        <v>1370</v>
      </c>
      <c r="B892">
        <v>58</v>
      </c>
      <c r="C892" t="s">
        <v>44</v>
      </c>
      <c r="D892" t="s">
        <v>41</v>
      </c>
      <c r="E892" t="s">
        <v>255</v>
      </c>
      <c r="F892" t="s">
        <v>150</v>
      </c>
      <c r="G892" t="s">
        <v>297</v>
      </c>
      <c r="H892" t="s">
        <v>29</v>
      </c>
      <c r="I892" t="s">
        <v>18</v>
      </c>
      <c r="J892" s="7">
        <v>43791</v>
      </c>
      <c r="K892" s="7">
        <v>44187</v>
      </c>
      <c r="L892" s="5">
        <v>200</v>
      </c>
      <c r="M892" t="s">
        <v>28</v>
      </c>
      <c r="N892" t="s">
        <v>481</v>
      </c>
      <c r="O892">
        <v>200</v>
      </c>
      <c r="P892" t="s">
        <v>206</v>
      </c>
      <c r="Q892" t="s">
        <v>28</v>
      </c>
      <c r="R892">
        <v>107</v>
      </c>
      <c r="S892">
        <v>1</v>
      </c>
      <c r="T892" t="s">
        <v>78</v>
      </c>
      <c r="U892" t="s">
        <v>61</v>
      </c>
      <c r="V892">
        <v>2.58</v>
      </c>
      <c r="W892">
        <v>1.21</v>
      </c>
      <c r="X892">
        <v>4.6</v>
      </c>
      <c r="Y892">
        <v>18.1</v>
      </c>
      <c r="Z892">
        <v>10.7</v>
      </c>
    </row>
    <row r="893" spans="1:26">
      <c r="A893" t="s">
        <v>1371</v>
      </c>
      <c r="B893">
        <v>25</v>
      </c>
      <c r="C893" t="s">
        <v>71</v>
      </c>
      <c r="D893" t="s">
        <v>41</v>
      </c>
      <c r="E893" t="s">
        <v>255</v>
      </c>
      <c r="F893" t="s">
        <v>150</v>
      </c>
      <c r="G893" t="s">
        <v>327</v>
      </c>
      <c r="H893" t="s">
        <v>29</v>
      </c>
      <c r="I893" t="s">
        <v>18</v>
      </c>
      <c r="J893" s="7">
        <v>44094</v>
      </c>
      <c r="K893" s="7">
        <v>44397</v>
      </c>
      <c r="L893" s="5">
        <v>200</v>
      </c>
      <c r="M893" t="s">
        <v>150</v>
      </c>
      <c r="N893" t="s">
        <v>554</v>
      </c>
      <c r="O893">
        <v>200</v>
      </c>
      <c r="P893" t="s">
        <v>211</v>
      </c>
      <c r="Q893" t="s">
        <v>26</v>
      </c>
      <c r="R893">
        <v>80</v>
      </c>
      <c r="S893">
        <v>0</v>
      </c>
      <c r="T893" t="s">
        <v>78</v>
      </c>
      <c r="U893" t="s">
        <v>63</v>
      </c>
      <c r="V893">
        <v>4</v>
      </c>
      <c r="W893">
        <v>2.43</v>
      </c>
      <c r="X893">
        <v>6.7</v>
      </c>
      <c r="Y893">
        <v>9.4</v>
      </c>
      <c r="Z893">
        <v>15.7</v>
      </c>
    </row>
    <row r="894" spans="1:26">
      <c r="A894" t="s">
        <v>1372</v>
      </c>
      <c r="B894">
        <v>84</v>
      </c>
      <c r="C894" t="s">
        <v>71</v>
      </c>
      <c r="D894" t="s">
        <v>44</v>
      </c>
      <c r="E894" t="s">
        <v>259</v>
      </c>
      <c r="F894" t="s">
        <v>277</v>
      </c>
      <c r="G894" t="s">
        <v>281</v>
      </c>
      <c r="H894" t="s">
        <v>32</v>
      </c>
      <c r="I894" t="s">
        <v>20</v>
      </c>
      <c r="J894" s="7">
        <v>44964</v>
      </c>
      <c r="K894" s="7">
        <v>45237</v>
      </c>
      <c r="L894" s="5">
        <v>50</v>
      </c>
      <c r="M894" t="s">
        <v>28</v>
      </c>
      <c r="N894" t="s">
        <v>799</v>
      </c>
      <c r="O894">
        <v>50</v>
      </c>
      <c r="P894" t="s">
        <v>206</v>
      </c>
      <c r="Q894" t="s">
        <v>150</v>
      </c>
      <c r="R894">
        <v>134</v>
      </c>
      <c r="S894">
        <v>1</v>
      </c>
      <c r="T894" t="s">
        <v>82</v>
      </c>
      <c r="U894" t="s">
        <v>61</v>
      </c>
      <c r="V894">
        <v>3.18</v>
      </c>
      <c r="W894">
        <v>1.82</v>
      </c>
      <c r="X894">
        <v>3.6</v>
      </c>
      <c r="Y894">
        <v>19.5</v>
      </c>
      <c r="Z894">
        <v>11.2</v>
      </c>
    </row>
    <row r="895" spans="1:26">
      <c r="A895" t="s">
        <v>1373</v>
      </c>
      <c r="B895">
        <v>26</v>
      </c>
      <c r="C895" t="s">
        <v>44</v>
      </c>
      <c r="D895" t="s">
        <v>42</v>
      </c>
      <c r="E895" t="s">
        <v>272</v>
      </c>
      <c r="F895" t="s">
        <v>150</v>
      </c>
      <c r="G895" t="s">
        <v>327</v>
      </c>
      <c r="H895" t="s">
        <v>29</v>
      </c>
      <c r="I895" t="s">
        <v>20</v>
      </c>
      <c r="J895" s="7">
        <v>44645</v>
      </c>
      <c r="K895" s="7">
        <v>45041</v>
      </c>
      <c r="L895" s="5">
        <v>150</v>
      </c>
      <c r="M895" t="s">
        <v>26</v>
      </c>
      <c r="N895" t="s">
        <v>779</v>
      </c>
      <c r="O895">
        <v>150</v>
      </c>
      <c r="P895" t="s">
        <v>211</v>
      </c>
      <c r="Q895" t="s">
        <v>150</v>
      </c>
      <c r="R895">
        <v>83</v>
      </c>
      <c r="S895">
        <v>0</v>
      </c>
      <c r="T895" t="s">
        <v>83</v>
      </c>
      <c r="U895" t="s">
        <v>63</v>
      </c>
      <c r="V895">
        <v>1.86</v>
      </c>
      <c r="W895">
        <v>4.87</v>
      </c>
      <c r="X895">
        <v>7.4</v>
      </c>
      <c r="Y895">
        <v>23.2</v>
      </c>
      <c r="Z895">
        <v>10.3</v>
      </c>
    </row>
    <row r="896" spans="1:26">
      <c r="A896" t="s">
        <v>1374</v>
      </c>
      <c r="B896">
        <v>40</v>
      </c>
      <c r="C896" t="s">
        <v>71</v>
      </c>
      <c r="D896" t="s">
        <v>44</v>
      </c>
      <c r="E896" t="s">
        <v>255</v>
      </c>
      <c r="F896" t="s">
        <v>150</v>
      </c>
      <c r="G896" t="s">
        <v>269</v>
      </c>
      <c r="H896" t="s">
        <v>30</v>
      </c>
      <c r="I896" t="s">
        <v>18</v>
      </c>
      <c r="J896" s="7">
        <v>43564</v>
      </c>
      <c r="K896" s="7">
        <v>44083</v>
      </c>
      <c r="L896" s="5">
        <v>100</v>
      </c>
      <c r="M896" t="s">
        <v>26</v>
      </c>
      <c r="N896" t="s">
        <v>718</v>
      </c>
      <c r="O896">
        <v>100</v>
      </c>
      <c r="P896" t="s">
        <v>211</v>
      </c>
      <c r="Q896" t="s">
        <v>27</v>
      </c>
      <c r="R896">
        <v>47</v>
      </c>
      <c r="S896">
        <v>0</v>
      </c>
      <c r="T896" t="s">
        <v>80</v>
      </c>
      <c r="U896" t="s">
        <v>63</v>
      </c>
      <c r="V896">
        <v>2.9</v>
      </c>
      <c r="W896">
        <v>4.59</v>
      </c>
      <c r="X896">
        <v>5.7</v>
      </c>
      <c r="Y896">
        <v>18.7</v>
      </c>
      <c r="Z896">
        <v>7.3</v>
      </c>
    </row>
    <row r="897" spans="1:26">
      <c r="A897" t="s">
        <v>1375</v>
      </c>
      <c r="B897">
        <v>29</v>
      </c>
      <c r="C897" t="s">
        <v>70</v>
      </c>
      <c r="D897" t="s">
        <v>41</v>
      </c>
      <c r="E897" t="s">
        <v>259</v>
      </c>
      <c r="F897" t="s">
        <v>150</v>
      </c>
      <c r="G897" t="s">
        <v>281</v>
      </c>
      <c r="H897" t="s">
        <v>32</v>
      </c>
      <c r="I897" t="s">
        <v>16</v>
      </c>
      <c r="J897" s="7">
        <v>44211</v>
      </c>
      <c r="K897" s="7">
        <v>44727</v>
      </c>
      <c r="L897" s="5">
        <v>200</v>
      </c>
      <c r="M897" t="s">
        <v>25</v>
      </c>
      <c r="N897" t="s">
        <v>782</v>
      </c>
      <c r="O897">
        <v>200</v>
      </c>
      <c r="P897" t="s">
        <v>206</v>
      </c>
      <c r="Q897" t="s">
        <v>27</v>
      </c>
      <c r="R897">
        <v>156</v>
      </c>
      <c r="S897">
        <v>1</v>
      </c>
      <c r="T897" t="s">
        <v>81</v>
      </c>
      <c r="U897" t="s">
        <v>61</v>
      </c>
      <c r="V897">
        <v>2.79</v>
      </c>
      <c r="W897">
        <v>1.49</v>
      </c>
      <c r="X897">
        <v>2.9</v>
      </c>
      <c r="Y897">
        <v>6</v>
      </c>
      <c r="Z897">
        <v>3.7</v>
      </c>
    </row>
    <row r="898" spans="1:26">
      <c r="A898" t="s">
        <v>1376</v>
      </c>
      <c r="B898">
        <v>70</v>
      </c>
      <c r="C898" t="s">
        <v>71</v>
      </c>
      <c r="D898" t="s">
        <v>44</v>
      </c>
      <c r="E898" t="s">
        <v>255</v>
      </c>
      <c r="F898" t="s">
        <v>150</v>
      </c>
      <c r="G898" t="s">
        <v>288</v>
      </c>
      <c r="H898" t="s">
        <v>32</v>
      </c>
      <c r="I898" t="s">
        <v>16</v>
      </c>
      <c r="J898" s="7">
        <v>44733</v>
      </c>
      <c r="K898" s="7">
        <v>45159</v>
      </c>
      <c r="L898" s="5">
        <v>100</v>
      </c>
      <c r="M898" t="s">
        <v>27</v>
      </c>
      <c r="N898" t="s">
        <v>526</v>
      </c>
      <c r="O898">
        <v>100</v>
      </c>
      <c r="P898" t="s">
        <v>205</v>
      </c>
      <c r="Q898" t="s">
        <v>26</v>
      </c>
      <c r="R898">
        <v>116</v>
      </c>
      <c r="S898">
        <v>0</v>
      </c>
      <c r="T898" t="s">
        <v>80</v>
      </c>
      <c r="U898" t="s">
        <v>63</v>
      </c>
      <c r="V898">
        <v>4.91</v>
      </c>
      <c r="W898">
        <v>1.97</v>
      </c>
      <c r="X898">
        <v>7</v>
      </c>
      <c r="Y898">
        <v>21.1</v>
      </c>
      <c r="Z898">
        <v>12.4</v>
      </c>
    </row>
    <row r="899" spans="1:26">
      <c r="A899" t="s">
        <v>1377</v>
      </c>
      <c r="B899">
        <v>41</v>
      </c>
      <c r="C899" t="s">
        <v>71</v>
      </c>
      <c r="D899" t="s">
        <v>39</v>
      </c>
      <c r="E899" t="s">
        <v>255</v>
      </c>
      <c r="F899" t="s">
        <v>268</v>
      </c>
      <c r="G899" t="s">
        <v>256</v>
      </c>
      <c r="H899" t="s">
        <v>34</v>
      </c>
      <c r="I899" t="s">
        <v>20</v>
      </c>
      <c r="J899" s="7">
        <v>45069</v>
      </c>
      <c r="K899" s="7">
        <v>45374</v>
      </c>
      <c r="L899" s="5">
        <v>100</v>
      </c>
      <c r="M899" t="s">
        <v>27</v>
      </c>
      <c r="N899" t="s">
        <v>941</v>
      </c>
      <c r="O899">
        <v>100</v>
      </c>
      <c r="P899" t="s">
        <v>205</v>
      </c>
      <c r="Q899" t="s">
        <v>26</v>
      </c>
      <c r="R899">
        <v>145</v>
      </c>
      <c r="S899">
        <v>0</v>
      </c>
      <c r="T899" t="s">
        <v>80</v>
      </c>
      <c r="U899" t="s">
        <v>63</v>
      </c>
      <c r="V899">
        <v>1.61</v>
      </c>
      <c r="W899">
        <v>3.91</v>
      </c>
      <c r="X899">
        <v>6.4</v>
      </c>
      <c r="Y899">
        <v>19.2</v>
      </c>
      <c r="Z899">
        <v>16.1</v>
      </c>
    </row>
    <row r="900" spans="1:26">
      <c r="A900" t="s">
        <v>1378</v>
      </c>
      <c r="B900">
        <v>41</v>
      </c>
      <c r="C900" t="s">
        <v>71</v>
      </c>
      <c r="D900" t="s">
        <v>41</v>
      </c>
      <c r="E900" t="s">
        <v>311</v>
      </c>
      <c r="F900" t="s">
        <v>277</v>
      </c>
      <c r="G900" t="s">
        <v>284</v>
      </c>
      <c r="H900" t="s">
        <v>34</v>
      </c>
      <c r="I900" t="s">
        <v>16</v>
      </c>
      <c r="J900" s="7">
        <v>44177</v>
      </c>
      <c r="K900" s="7">
        <v>44693</v>
      </c>
      <c r="L900" s="5">
        <v>200</v>
      </c>
      <c r="M900" t="s">
        <v>25</v>
      </c>
      <c r="N900" t="s">
        <v>514</v>
      </c>
      <c r="O900">
        <v>200</v>
      </c>
      <c r="P900" t="s">
        <v>211</v>
      </c>
      <c r="Q900" t="s">
        <v>28</v>
      </c>
      <c r="R900">
        <v>154</v>
      </c>
      <c r="S900">
        <v>0</v>
      </c>
      <c r="T900" t="s">
        <v>81</v>
      </c>
      <c r="U900" t="s">
        <v>63</v>
      </c>
      <c r="V900">
        <v>4.9</v>
      </c>
      <c r="W900">
        <v>3.29</v>
      </c>
      <c r="X900">
        <v>4.1</v>
      </c>
      <c r="Y900">
        <v>17.7</v>
      </c>
      <c r="Z900">
        <v>4.2</v>
      </c>
    </row>
    <row r="901" spans="1:26">
      <c r="A901" t="s">
        <v>1379</v>
      </c>
      <c r="B901">
        <v>46</v>
      </c>
      <c r="C901" t="s">
        <v>44</v>
      </c>
      <c r="D901" t="s">
        <v>41</v>
      </c>
      <c r="E901" t="s">
        <v>150</v>
      </c>
      <c r="F901" t="s">
        <v>268</v>
      </c>
      <c r="G901" t="s">
        <v>306</v>
      </c>
      <c r="H901" t="s">
        <v>32</v>
      </c>
      <c r="I901" t="s">
        <v>19</v>
      </c>
      <c r="J901" s="7">
        <v>44115</v>
      </c>
      <c r="K901" s="7">
        <v>44631</v>
      </c>
      <c r="L901" s="5">
        <v>50</v>
      </c>
      <c r="M901" t="s">
        <v>28</v>
      </c>
      <c r="N901" t="s">
        <v>779</v>
      </c>
      <c r="O901">
        <v>50</v>
      </c>
      <c r="P901" t="s">
        <v>206</v>
      </c>
      <c r="Q901" t="s">
        <v>27</v>
      </c>
      <c r="R901">
        <v>129</v>
      </c>
      <c r="S901">
        <v>1</v>
      </c>
      <c r="T901" t="s">
        <v>81</v>
      </c>
      <c r="U901" t="s">
        <v>63</v>
      </c>
      <c r="V901">
        <v>4.59</v>
      </c>
      <c r="W901">
        <v>1.48</v>
      </c>
      <c r="X901">
        <v>4</v>
      </c>
      <c r="Y901">
        <v>20.7</v>
      </c>
      <c r="Z901">
        <v>13.2</v>
      </c>
    </row>
    <row r="902" spans="1:26">
      <c r="A902" t="s">
        <v>1380</v>
      </c>
      <c r="B902">
        <v>46</v>
      </c>
      <c r="C902" t="s">
        <v>44</v>
      </c>
      <c r="D902" t="s">
        <v>43</v>
      </c>
      <c r="E902" t="s">
        <v>259</v>
      </c>
      <c r="F902" t="s">
        <v>264</v>
      </c>
      <c r="G902" t="s">
        <v>362</v>
      </c>
      <c r="H902" t="s">
        <v>30</v>
      </c>
      <c r="I902" t="s">
        <v>18</v>
      </c>
      <c r="J902" s="7">
        <v>43652</v>
      </c>
      <c r="K902" s="7">
        <v>44018</v>
      </c>
      <c r="L902" s="5">
        <v>150</v>
      </c>
      <c r="M902" t="s">
        <v>150</v>
      </c>
      <c r="N902" t="s">
        <v>475</v>
      </c>
      <c r="O902">
        <v>150</v>
      </c>
      <c r="P902" t="s">
        <v>205</v>
      </c>
      <c r="Q902" t="s">
        <v>28</v>
      </c>
      <c r="R902">
        <v>168</v>
      </c>
      <c r="S902">
        <v>0</v>
      </c>
      <c r="T902" t="s">
        <v>78</v>
      </c>
      <c r="U902" t="s">
        <v>63</v>
      </c>
      <c r="V902">
        <v>2.57</v>
      </c>
      <c r="W902">
        <v>2.89</v>
      </c>
      <c r="X902">
        <v>8.7</v>
      </c>
      <c r="Y902">
        <v>12.1</v>
      </c>
      <c r="Z902">
        <v>17.8</v>
      </c>
    </row>
    <row r="903" spans="1:26">
      <c r="A903" t="s">
        <v>1381</v>
      </c>
      <c r="B903">
        <v>55</v>
      </c>
      <c r="C903" t="s">
        <v>70</v>
      </c>
      <c r="D903" t="s">
        <v>39</v>
      </c>
      <c r="E903" t="s">
        <v>272</v>
      </c>
      <c r="F903" t="s">
        <v>150</v>
      </c>
      <c r="G903" t="s">
        <v>312</v>
      </c>
      <c r="H903" t="s">
        <v>32</v>
      </c>
      <c r="I903" t="s">
        <v>20</v>
      </c>
      <c r="J903" s="7">
        <v>45218</v>
      </c>
      <c r="K903" s="7">
        <v>45554</v>
      </c>
      <c r="L903" s="5">
        <v>50</v>
      </c>
      <c r="M903" t="s">
        <v>27</v>
      </c>
      <c r="N903" t="s">
        <v>1231</v>
      </c>
      <c r="O903">
        <v>50</v>
      </c>
      <c r="P903" t="s">
        <v>206</v>
      </c>
      <c r="Q903" t="s">
        <v>150</v>
      </c>
      <c r="R903">
        <v>126</v>
      </c>
      <c r="S903">
        <v>1</v>
      </c>
      <c r="T903" t="s">
        <v>80</v>
      </c>
      <c r="U903" t="s">
        <v>61</v>
      </c>
      <c r="V903">
        <v>1.35</v>
      </c>
      <c r="W903">
        <v>4.11</v>
      </c>
      <c r="X903">
        <v>8.6</v>
      </c>
      <c r="Y903">
        <v>9.3</v>
      </c>
      <c r="Z903">
        <v>10.3</v>
      </c>
    </row>
    <row r="904" spans="1:26">
      <c r="A904" t="s">
        <v>1382</v>
      </c>
      <c r="B904">
        <v>27</v>
      </c>
      <c r="C904" t="s">
        <v>44</v>
      </c>
      <c r="D904" t="s">
        <v>39</v>
      </c>
      <c r="E904" t="s">
        <v>259</v>
      </c>
      <c r="F904" t="s">
        <v>150</v>
      </c>
      <c r="G904" t="s">
        <v>431</v>
      </c>
      <c r="H904" t="s">
        <v>34</v>
      </c>
      <c r="I904" t="s">
        <v>19</v>
      </c>
      <c r="J904" s="7">
        <v>45266</v>
      </c>
      <c r="K904" s="7">
        <v>45632</v>
      </c>
      <c r="L904" s="5">
        <v>200</v>
      </c>
      <c r="M904" t="s">
        <v>26</v>
      </c>
      <c r="N904" t="s">
        <v>601</v>
      </c>
      <c r="O904">
        <v>200</v>
      </c>
      <c r="P904" t="s">
        <v>211</v>
      </c>
      <c r="Q904" t="s">
        <v>27</v>
      </c>
      <c r="R904">
        <v>89</v>
      </c>
      <c r="S904">
        <v>0</v>
      </c>
      <c r="T904" t="s">
        <v>81</v>
      </c>
      <c r="U904" t="s">
        <v>63</v>
      </c>
      <c r="V904">
        <v>1.66</v>
      </c>
      <c r="W904">
        <v>3.83</v>
      </c>
      <c r="X904">
        <v>5.8</v>
      </c>
      <c r="Y904">
        <v>17.4</v>
      </c>
      <c r="Z904">
        <v>6.3</v>
      </c>
    </row>
    <row r="905" spans="1:26">
      <c r="A905" t="s">
        <v>1383</v>
      </c>
      <c r="B905">
        <v>75</v>
      </c>
      <c r="C905" t="s">
        <v>70</v>
      </c>
      <c r="D905" t="s">
        <v>43</v>
      </c>
      <c r="E905" t="s">
        <v>150</v>
      </c>
      <c r="F905" t="s">
        <v>150</v>
      </c>
      <c r="G905" t="s">
        <v>288</v>
      </c>
      <c r="H905" t="s">
        <v>32</v>
      </c>
      <c r="I905" t="s">
        <v>18</v>
      </c>
      <c r="J905" s="7">
        <v>43649</v>
      </c>
      <c r="K905" s="7">
        <v>44015</v>
      </c>
      <c r="L905" s="5">
        <v>150</v>
      </c>
      <c r="M905" t="s">
        <v>28</v>
      </c>
      <c r="N905" t="s">
        <v>340</v>
      </c>
      <c r="O905">
        <v>150</v>
      </c>
      <c r="P905" t="s">
        <v>206</v>
      </c>
      <c r="Q905" t="s">
        <v>150</v>
      </c>
      <c r="R905">
        <v>176</v>
      </c>
      <c r="S905">
        <v>1</v>
      </c>
      <c r="T905" t="s">
        <v>78</v>
      </c>
      <c r="U905" t="s">
        <v>63</v>
      </c>
      <c r="V905">
        <v>1.85</v>
      </c>
      <c r="W905">
        <v>1.17</v>
      </c>
      <c r="X905">
        <v>3.9</v>
      </c>
      <c r="Y905">
        <v>16.1</v>
      </c>
      <c r="Z905">
        <v>17.6</v>
      </c>
    </row>
    <row r="906" spans="1:26">
      <c r="A906" t="s">
        <v>1384</v>
      </c>
      <c r="B906">
        <v>54</v>
      </c>
      <c r="C906" t="s">
        <v>71</v>
      </c>
      <c r="D906" t="s">
        <v>42</v>
      </c>
      <c r="E906" t="s">
        <v>150</v>
      </c>
      <c r="F906" t="s">
        <v>150</v>
      </c>
      <c r="G906" t="s">
        <v>261</v>
      </c>
      <c r="H906" t="s">
        <v>30</v>
      </c>
      <c r="I906" t="s">
        <v>16</v>
      </c>
      <c r="J906" s="7">
        <v>44115</v>
      </c>
      <c r="K906" s="7">
        <v>44450</v>
      </c>
      <c r="L906" s="5">
        <v>200</v>
      </c>
      <c r="M906" t="s">
        <v>27</v>
      </c>
      <c r="N906" t="s">
        <v>616</v>
      </c>
      <c r="O906">
        <v>200</v>
      </c>
      <c r="P906" t="s">
        <v>211</v>
      </c>
      <c r="Q906" t="s">
        <v>26</v>
      </c>
      <c r="R906">
        <v>134</v>
      </c>
      <c r="S906">
        <v>0</v>
      </c>
      <c r="T906" t="s">
        <v>78</v>
      </c>
      <c r="U906" t="s">
        <v>61</v>
      </c>
      <c r="V906">
        <v>3.67</v>
      </c>
      <c r="W906">
        <v>2.74</v>
      </c>
      <c r="X906">
        <v>9.6</v>
      </c>
      <c r="Y906">
        <v>18.9</v>
      </c>
      <c r="Z906">
        <v>18.8</v>
      </c>
    </row>
    <row r="907" spans="1:26">
      <c r="A907" t="s">
        <v>1385</v>
      </c>
      <c r="B907">
        <v>41</v>
      </c>
      <c r="C907" t="s">
        <v>71</v>
      </c>
      <c r="D907" t="s">
        <v>43</v>
      </c>
      <c r="E907" t="s">
        <v>272</v>
      </c>
      <c r="F907" t="s">
        <v>264</v>
      </c>
      <c r="G907" t="s">
        <v>306</v>
      </c>
      <c r="H907" t="s">
        <v>29</v>
      </c>
      <c r="I907" t="s">
        <v>19</v>
      </c>
      <c r="J907" s="7">
        <v>43562</v>
      </c>
      <c r="K907" s="7">
        <v>44081</v>
      </c>
      <c r="L907" s="5">
        <v>50</v>
      </c>
      <c r="M907" t="s">
        <v>25</v>
      </c>
      <c r="N907" t="s">
        <v>298</v>
      </c>
      <c r="O907">
        <v>50</v>
      </c>
      <c r="P907" t="s">
        <v>206</v>
      </c>
      <c r="Q907" t="s">
        <v>28</v>
      </c>
      <c r="R907">
        <v>99</v>
      </c>
      <c r="S907">
        <v>1</v>
      </c>
      <c r="T907" t="s">
        <v>80</v>
      </c>
      <c r="U907" t="s">
        <v>63</v>
      </c>
      <c r="V907">
        <v>3.11</v>
      </c>
      <c r="W907">
        <v>2.04</v>
      </c>
      <c r="X907">
        <v>1.5</v>
      </c>
      <c r="Y907">
        <v>19.1</v>
      </c>
      <c r="Z907">
        <v>5.1</v>
      </c>
    </row>
    <row r="908" spans="1:26">
      <c r="A908" t="s">
        <v>1386</v>
      </c>
      <c r="B908">
        <v>38</v>
      </c>
      <c r="C908" t="s">
        <v>71</v>
      </c>
      <c r="D908" t="s">
        <v>42</v>
      </c>
      <c r="E908" t="s">
        <v>259</v>
      </c>
      <c r="F908" t="s">
        <v>150</v>
      </c>
      <c r="G908" t="s">
        <v>284</v>
      </c>
      <c r="H908" t="s">
        <v>30</v>
      </c>
      <c r="I908" t="s">
        <v>16</v>
      </c>
      <c r="J908" s="7">
        <v>44540</v>
      </c>
      <c r="K908" s="7">
        <v>44967</v>
      </c>
      <c r="L908" s="5">
        <v>50</v>
      </c>
      <c r="M908" t="s">
        <v>150</v>
      </c>
      <c r="N908" t="s">
        <v>1205</v>
      </c>
      <c r="O908">
        <v>50</v>
      </c>
      <c r="P908" t="s">
        <v>211</v>
      </c>
      <c r="Q908" t="s">
        <v>25</v>
      </c>
      <c r="R908">
        <v>157</v>
      </c>
      <c r="S908">
        <v>0</v>
      </c>
      <c r="T908" t="s">
        <v>82</v>
      </c>
      <c r="U908" t="s">
        <v>61</v>
      </c>
      <c r="V908">
        <v>2.21</v>
      </c>
      <c r="W908">
        <v>3.13</v>
      </c>
      <c r="X908">
        <v>6.1</v>
      </c>
      <c r="Y908">
        <v>16.8</v>
      </c>
      <c r="Z908">
        <v>5.8</v>
      </c>
    </row>
    <row r="909" spans="1:26">
      <c r="A909" t="s">
        <v>1387</v>
      </c>
      <c r="B909">
        <v>19</v>
      </c>
      <c r="C909" t="s">
        <v>71</v>
      </c>
      <c r="D909" t="s">
        <v>44</v>
      </c>
      <c r="E909" t="s">
        <v>311</v>
      </c>
      <c r="F909" t="s">
        <v>150</v>
      </c>
      <c r="G909" t="s">
        <v>322</v>
      </c>
      <c r="H909" t="s">
        <v>29</v>
      </c>
      <c r="I909" t="s">
        <v>20</v>
      </c>
      <c r="J909" s="7">
        <v>44341</v>
      </c>
      <c r="K909" s="7">
        <v>44586</v>
      </c>
      <c r="L909" s="5">
        <v>50</v>
      </c>
      <c r="M909" t="s">
        <v>27</v>
      </c>
      <c r="N909" t="s">
        <v>503</v>
      </c>
      <c r="O909">
        <v>50</v>
      </c>
      <c r="P909" t="s">
        <v>205</v>
      </c>
      <c r="Q909" t="s">
        <v>25</v>
      </c>
      <c r="R909">
        <v>157</v>
      </c>
      <c r="S909">
        <v>0</v>
      </c>
      <c r="T909" t="s">
        <v>82</v>
      </c>
      <c r="U909" t="s">
        <v>61</v>
      </c>
      <c r="V909">
        <v>2.52</v>
      </c>
      <c r="W909">
        <v>3.47</v>
      </c>
      <c r="X909">
        <v>9.7</v>
      </c>
      <c r="Y909">
        <v>19.1</v>
      </c>
      <c r="Z909">
        <v>18.7</v>
      </c>
    </row>
    <row r="910" spans="1:26">
      <c r="A910" t="s">
        <v>1388</v>
      </c>
      <c r="B910">
        <v>49</v>
      </c>
      <c r="C910" t="s">
        <v>70</v>
      </c>
      <c r="D910" t="s">
        <v>44</v>
      </c>
      <c r="E910" t="s">
        <v>150</v>
      </c>
      <c r="F910" t="s">
        <v>150</v>
      </c>
      <c r="G910" t="s">
        <v>297</v>
      </c>
      <c r="H910" t="s">
        <v>34</v>
      </c>
      <c r="I910" t="s">
        <v>19</v>
      </c>
      <c r="J910" s="7">
        <v>44905</v>
      </c>
      <c r="K910" s="7">
        <v>45453</v>
      </c>
      <c r="L910" s="5">
        <v>50</v>
      </c>
      <c r="M910" t="s">
        <v>27</v>
      </c>
      <c r="N910" t="s">
        <v>453</v>
      </c>
      <c r="O910">
        <v>50</v>
      </c>
      <c r="P910" t="s">
        <v>205</v>
      </c>
      <c r="Q910" t="s">
        <v>26</v>
      </c>
      <c r="R910">
        <v>58</v>
      </c>
      <c r="S910">
        <v>0</v>
      </c>
      <c r="T910" t="s">
        <v>80</v>
      </c>
      <c r="U910" t="s">
        <v>63</v>
      </c>
      <c r="V910">
        <v>4.05</v>
      </c>
      <c r="W910">
        <v>3.37</v>
      </c>
      <c r="X910">
        <v>2.7</v>
      </c>
      <c r="Y910">
        <v>18</v>
      </c>
      <c r="Z910">
        <v>13.6</v>
      </c>
    </row>
    <row r="911" spans="1:26">
      <c r="A911" t="s">
        <v>1389</v>
      </c>
      <c r="B911">
        <v>73</v>
      </c>
      <c r="C911" t="s">
        <v>71</v>
      </c>
      <c r="D911" t="s">
        <v>41</v>
      </c>
      <c r="E911" t="s">
        <v>311</v>
      </c>
      <c r="F911" t="s">
        <v>277</v>
      </c>
      <c r="G911" t="s">
        <v>362</v>
      </c>
      <c r="H911" t="s">
        <v>29</v>
      </c>
      <c r="I911" t="s">
        <v>16</v>
      </c>
      <c r="J911" s="7">
        <v>44275</v>
      </c>
      <c r="K911" s="7">
        <v>44581</v>
      </c>
      <c r="L911" s="5">
        <v>100</v>
      </c>
      <c r="M911" t="s">
        <v>150</v>
      </c>
      <c r="N911" t="s">
        <v>810</v>
      </c>
      <c r="O911">
        <v>100</v>
      </c>
      <c r="P911" t="s">
        <v>211</v>
      </c>
      <c r="Q911" t="s">
        <v>25</v>
      </c>
      <c r="R911">
        <v>175</v>
      </c>
      <c r="S911">
        <v>0</v>
      </c>
      <c r="T911" t="s">
        <v>83</v>
      </c>
      <c r="U911" t="s">
        <v>63</v>
      </c>
      <c r="V911">
        <v>3.41</v>
      </c>
      <c r="W911">
        <v>2.96</v>
      </c>
      <c r="X911">
        <v>5.8</v>
      </c>
      <c r="Y911">
        <v>12</v>
      </c>
      <c r="Z911">
        <v>11.8</v>
      </c>
    </row>
    <row r="912" spans="1:26">
      <c r="A912" t="s">
        <v>1390</v>
      </c>
      <c r="B912">
        <v>78</v>
      </c>
      <c r="C912" t="s">
        <v>44</v>
      </c>
      <c r="D912" t="s">
        <v>43</v>
      </c>
      <c r="E912" t="s">
        <v>259</v>
      </c>
      <c r="F912" t="s">
        <v>150</v>
      </c>
      <c r="G912" t="s">
        <v>261</v>
      </c>
      <c r="H912" t="s">
        <v>32</v>
      </c>
      <c r="I912" t="s">
        <v>16</v>
      </c>
      <c r="J912" s="7">
        <v>44097</v>
      </c>
      <c r="K912" s="7">
        <v>44370</v>
      </c>
      <c r="L912" s="5">
        <v>50</v>
      </c>
      <c r="M912" t="s">
        <v>25</v>
      </c>
      <c r="N912" t="s">
        <v>799</v>
      </c>
      <c r="O912">
        <v>50</v>
      </c>
      <c r="P912" t="s">
        <v>211</v>
      </c>
      <c r="Q912" t="s">
        <v>27</v>
      </c>
      <c r="R912">
        <v>134</v>
      </c>
      <c r="S912">
        <v>0</v>
      </c>
      <c r="T912" t="s">
        <v>83</v>
      </c>
      <c r="U912" t="s">
        <v>63</v>
      </c>
      <c r="V912">
        <v>1.79</v>
      </c>
      <c r="W912">
        <v>4.22</v>
      </c>
      <c r="X912">
        <v>2.7</v>
      </c>
      <c r="Y912">
        <v>7.5</v>
      </c>
      <c r="Z912">
        <v>10.4</v>
      </c>
    </row>
    <row r="913" spans="1:26">
      <c r="A913" t="s">
        <v>1391</v>
      </c>
      <c r="B913">
        <v>18</v>
      </c>
      <c r="C913" t="s">
        <v>71</v>
      </c>
      <c r="D913" t="s">
        <v>42</v>
      </c>
      <c r="E913" t="s">
        <v>150</v>
      </c>
      <c r="F913" t="s">
        <v>150</v>
      </c>
      <c r="G913" t="s">
        <v>288</v>
      </c>
      <c r="H913" t="s">
        <v>32</v>
      </c>
      <c r="I913" t="s">
        <v>18</v>
      </c>
      <c r="J913" s="7">
        <v>45114</v>
      </c>
      <c r="K913" s="7">
        <v>45329</v>
      </c>
      <c r="L913" s="5">
        <v>50</v>
      </c>
      <c r="M913" t="s">
        <v>28</v>
      </c>
      <c r="N913" t="s">
        <v>503</v>
      </c>
      <c r="O913">
        <v>50</v>
      </c>
      <c r="P913" t="s">
        <v>211</v>
      </c>
      <c r="Q913" t="s">
        <v>26</v>
      </c>
      <c r="R913">
        <v>165</v>
      </c>
      <c r="S913">
        <v>0</v>
      </c>
      <c r="T913" t="s">
        <v>78</v>
      </c>
      <c r="U913" t="s">
        <v>63</v>
      </c>
      <c r="V913">
        <v>3.63</v>
      </c>
      <c r="W913">
        <v>2.75</v>
      </c>
      <c r="X913">
        <v>3.5</v>
      </c>
      <c r="Y913">
        <v>16</v>
      </c>
      <c r="Z913">
        <v>8.9</v>
      </c>
    </row>
    <row r="914" spans="1:26">
      <c r="A914" t="s">
        <v>1392</v>
      </c>
      <c r="B914">
        <v>63</v>
      </c>
      <c r="C914" t="s">
        <v>44</v>
      </c>
      <c r="D914" t="s">
        <v>41</v>
      </c>
      <c r="E914" t="s">
        <v>272</v>
      </c>
      <c r="F914" t="s">
        <v>150</v>
      </c>
      <c r="G914" t="s">
        <v>306</v>
      </c>
      <c r="H914" t="s">
        <v>30</v>
      </c>
      <c r="I914" t="s">
        <v>16</v>
      </c>
      <c r="J914" s="7">
        <v>43690</v>
      </c>
      <c r="K914" s="7">
        <v>44117</v>
      </c>
      <c r="L914" s="5">
        <v>200</v>
      </c>
      <c r="M914" t="s">
        <v>27</v>
      </c>
      <c r="N914" t="s">
        <v>313</v>
      </c>
      <c r="O914">
        <v>200</v>
      </c>
      <c r="P914" t="s">
        <v>211</v>
      </c>
      <c r="Q914" t="s">
        <v>26</v>
      </c>
      <c r="R914">
        <v>88</v>
      </c>
      <c r="S914">
        <v>0</v>
      </c>
      <c r="T914" t="s">
        <v>78</v>
      </c>
      <c r="U914" t="s">
        <v>63</v>
      </c>
      <c r="V914">
        <v>4.73</v>
      </c>
      <c r="W914">
        <v>4.69</v>
      </c>
      <c r="X914">
        <v>5.5</v>
      </c>
      <c r="Y914">
        <v>11.9</v>
      </c>
      <c r="Z914">
        <v>15.5</v>
      </c>
    </row>
    <row r="915" spans="1:26">
      <c r="A915" t="s">
        <v>1393</v>
      </c>
      <c r="B915">
        <v>82</v>
      </c>
      <c r="C915" t="s">
        <v>44</v>
      </c>
      <c r="D915" t="s">
        <v>43</v>
      </c>
      <c r="E915" t="s">
        <v>259</v>
      </c>
      <c r="F915" t="s">
        <v>260</v>
      </c>
      <c r="G915" t="s">
        <v>261</v>
      </c>
      <c r="H915" t="s">
        <v>29</v>
      </c>
      <c r="I915" t="s">
        <v>19</v>
      </c>
      <c r="J915" s="7">
        <v>43787</v>
      </c>
      <c r="K915" s="7">
        <v>44334</v>
      </c>
      <c r="L915" s="5">
        <v>200</v>
      </c>
      <c r="M915" t="s">
        <v>27</v>
      </c>
      <c r="N915" t="s">
        <v>679</v>
      </c>
      <c r="O915">
        <v>200</v>
      </c>
      <c r="P915" t="s">
        <v>206</v>
      </c>
      <c r="Q915" t="s">
        <v>26</v>
      </c>
      <c r="R915">
        <v>141</v>
      </c>
      <c r="S915">
        <v>1</v>
      </c>
      <c r="T915" t="s">
        <v>80</v>
      </c>
      <c r="U915" t="s">
        <v>61</v>
      </c>
      <c r="V915">
        <v>1.15</v>
      </c>
      <c r="W915">
        <v>2.9</v>
      </c>
      <c r="X915">
        <v>4</v>
      </c>
      <c r="Y915">
        <v>22.6</v>
      </c>
      <c r="Z915">
        <v>3.2</v>
      </c>
    </row>
    <row r="916" spans="1:26">
      <c r="A916" t="s">
        <v>1394</v>
      </c>
      <c r="B916">
        <v>31</v>
      </c>
      <c r="C916" t="s">
        <v>71</v>
      </c>
      <c r="D916" t="s">
        <v>42</v>
      </c>
      <c r="E916" t="s">
        <v>259</v>
      </c>
      <c r="F916" t="s">
        <v>268</v>
      </c>
      <c r="G916" t="s">
        <v>288</v>
      </c>
      <c r="H916" t="s">
        <v>30</v>
      </c>
      <c r="I916" t="s">
        <v>18</v>
      </c>
      <c r="J916" s="7">
        <v>44989</v>
      </c>
      <c r="K916" s="7">
        <v>45477</v>
      </c>
      <c r="L916" s="5">
        <v>100</v>
      </c>
      <c r="M916" t="s">
        <v>26</v>
      </c>
      <c r="N916" t="s">
        <v>459</v>
      </c>
      <c r="O916">
        <v>100</v>
      </c>
      <c r="P916" t="s">
        <v>205</v>
      </c>
      <c r="Q916" t="s">
        <v>28</v>
      </c>
      <c r="R916">
        <v>165</v>
      </c>
      <c r="S916">
        <v>0</v>
      </c>
      <c r="T916" t="s">
        <v>82</v>
      </c>
      <c r="U916" t="s">
        <v>61</v>
      </c>
      <c r="V916">
        <v>3.21</v>
      </c>
      <c r="W916">
        <v>3.96</v>
      </c>
      <c r="X916">
        <v>5.4</v>
      </c>
      <c r="Y916">
        <v>7.5</v>
      </c>
      <c r="Z916">
        <v>19.5</v>
      </c>
    </row>
    <row r="917" spans="1:26">
      <c r="A917" t="s">
        <v>1395</v>
      </c>
      <c r="B917">
        <v>20</v>
      </c>
      <c r="C917" t="s">
        <v>70</v>
      </c>
      <c r="D917" t="s">
        <v>43</v>
      </c>
      <c r="E917" t="s">
        <v>272</v>
      </c>
      <c r="F917" t="s">
        <v>277</v>
      </c>
      <c r="G917" t="s">
        <v>261</v>
      </c>
      <c r="H917" t="s">
        <v>32</v>
      </c>
      <c r="I917" t="s">
        <v>18</v>
      </c>
      <c r="J917" s="7">
        <v>43787</v>
      </c>
      <c r="K917" s="7">
        <v>44214</v>
      </c>
      <c r="L917" s="5">
        <v>50</v>
      </c>
      <c r="M917" t="s">
        <v>150</v>
      </c>
      <c r="N917" t="s">
        <v>594</v>
      </c>
      <c r="O917">
        <v>50</v>
      </c>
      <c r="P917" t="s">
        <v>206</v>
      </c>
      <c r="Q917" t="s">
        <v>27</v>
      </c>
      <c r="R917">
        <v>143</v>
      </c>
      <c r="S917">
        <v>1</v>
      </c>
      <c r="T917" t="s">
        <v>82</v>
      </c>
      <c r="U917" t="s">
        <v>63</v>
      </c>
      <c r="V917">
        <v>3.07</v>
      </c>
      <c r="W917">
        <v>3.46</v>
      </c>
      <c r="X917">
        <v>3.1</v>
      </c>
      <c r="Y917">
        <v>14.7</v>
      </c>
      <c r="Z917">
        <v>10.3</v>
      </c>
    </row>
    <row r="918" spans="1:26">
      <c r="A918" t="s">
        <v>1396</v>
      </c>
      <c r="B918">
        <v>76</v>
      </c>
      <c r="C918" t="s">
        <v>44</v>
      </c>
      <c r="D918" t="s">
        <v>42</v>
      </c>
      <c r="E918" t="s">
        <v>150</v>
      </c>
      <c r="F918" t="s">
        <v>150</v>
      </c>
      <c r="G918" t="s">
        <v>261</v>
      </c>
      <c r="H918" t="s">
        <v>30</v>
      </c>
      <c r="I918" t="s">
        <v>19</v>
      </c>
      <c r="J918" s="7">
        <v>44516</v>
      </c>
      <c r="K918" s="7">
        <v>44758</v>
      </c>
      <c r="L918" s="5">
        <v>50</v>
      </c>
      <c r="M918" t="s">
        <v>26</v>
      </c>
      <c r="N918" t="s">
        <v>724</v>
      </c>
      <c r="O918">
        <v>50</v>
      </c>
      <c r="P918" t="s">
        <v>205</v>
      </c>
      <c r="Q918" t="s">
        <v>27</v>
      </c>
      <c r="R918">
        <v>166</v>
      </c>
      <c r="S918">
        <v>0</v>
      </c>
      <c r="T918" t="s">
        <v>82</v>
      </c>
      <c r="U918" t="s">
        <v>63</v>
      </c>
      <c r="V918">
        <v>1.3</v>
      </c>
      <c r="W918">
        <v>1.42</v>
      </c>
      <c r="X918">
        <v>8.5</v>
      </c>
      <c r="Y918">
        <v>10.3</v>
      </c>
      <c r="Z918">
        <v>6.3</v>
      </c>
    </row>
    <row r="919" spans="1:26">
      <c r="A919" t="s">
        <v>1397</v>
      </c>
      <c r="B919">
        <v>63</v>
      </c>
      <c r="C919" t="s">
        <v>44</v>
      </c>
      <c r="D919" t="s">
        <v>42</v>
      </c>
      <c r="E919" t="s">
        <v>259</v>
      </c>
      <c r="F919" t="s">
        <v>273</v>
      </c>
      <c r="G919" t="s">
        <v>362</v>
      </c>
      <c r="H919" t="s">
        <v>30</v>
      </c>
      <c r="I919" t="s">
        <v>19</v>
      </c>
      <c r="J919" s="7">
        <v>44306</v>
      </c>
      <c r="K919" s="7">
        <v>44612</v>
      </c>
      <c r="L919" s="5">
        <v>200</v>
      </c>
      <c r="M919" t="s">
        <v>28</v>
      </c>
      <c r="N919" t="s">
        <v>282</v>
      </c>
      <c r="O919">
        <v>200</v>
      </c>
      <c r="P919" t="s">
        <v>206</v>
      </c>
      <c r="Q919" t="s">
        <v>25</v>
      </c>
      <c r="R919">
        <v>35</v>
      </c>
      <c r="S919">
        <v>1</v>
      </c>
      <c r="T919" t="s">
        <v>82</v>
      </c>
      <c r="U919" t="s">
        <v>61</v>
      </c>
      <c r="V919">
        <v>3.02</v>
      </c>
      <c r="W919">
        <v>4.07</v>
      </c>
      <c r="X919">
        <v>1.6</v>
      </c>
      <c r="Y919">
        <v>16.4</v>
      </c>
      <c r="Z919">
        <v>5</v>
      </c>
    </row>
    <row r="920" spans="1:26">
      <c r="A920" t="s">
        <v>1398</v>
      </c>
      <c r="B920">
        <v>78</v>
      </c>
      <c r="C920" t="s">
        <v>71</v>
      </c>
      <c r="D920" t="s">
        <v>44</v>
      </c>
      <c r="E920" t="s">
        <v>272</v>
      </c>
      <c r="F920" t="s">
        <v>264</v>
      </c>
      <c r="G920" t="s">
        <v>294</v>
      </c>
      <c r="H920" t="s">
        <v>34</v>
      </c>
      <c r="I920" t="s">
        <v>20</v>
      </c>
      <c r="J920" s="7">
        <v>44579</v>
      </c>
      <c r="K920" s="7">
        <v>44760</v>
      </c>
      <c r="L920" s="5">
        <v>200</v>
      </c>
      <c r="M920" t="s">
        <v>27</v>
      </c>
      <c r="N920" t="s">
        <v>493</v>
      </c>
      <c r="O920">
        <v>200</v>
      </c>
      <c r="P920" t="s">
        <v>211</v>
      </c>
      <c r="Q920" t="s">
        <v>25</v>
      </c>
      <c r="R920">
        <v>176</v>
      </c>
      <c r="S920">
        <v>0</v>
      </c>
      <c r="T920" t="s">
        <v>81</v>
      </c>
      <c r="U920" t="s">
        <v>61</v>
      </c>
      <c r="V920">
        <v>1.15</v>
      </c>
      <c r="W920">
        <v>1.21</v>
      </c>
      <c r="X920">
        <v>8.5</v>
      </c>
      <c r="Y920">
        <v>8.1</v>
      </c>
      <c r="Z920">
        <v>3.8</v>
      </c>
    </row>
    <row r="921" spans="1:26">
      <c r="A921" t="s">
        <v>1399</v>
      </c>
      <c r="B921">
        <v>53</v>
      </c>
      <c r="C921" t="s">
        <v>71</v>
      </c>
      <c r="D921" t="s">
        <v>44</v>
      </c>
      <c r="E921" t="s">
        <v>259</v>
      </c>
      <c r="F921" t="s">
        <v>150</v>
      </c>
      <c r="G921" t="s">
        <v>349</v>
      </c>
      <c r="H921" t="s">
        <v>32</v>
      </c>
      <c r="I921" t="s">
        <v>16</v>
      </c>
      <c r="J921" s="7">
        <v>44781</v>
      </c>
      <c r="K921" s="7">
        <v>45085</v>
      </c>
      <c r="L921" s="5">
        <v>200</v>
      </c>
      <c r="M921" t="s">
        <v>150</v>
      </c>
      <c r="N921" t="s">
        <v>810</v>
      </c>
      <c r="O921">
        <v>200</v>
      </c>
      <c r="P921" t="s">
        <v>205</v>
      </c>
      <c r="Q921" t="s">
        <v>25</v>
      </c>
      <c r="R921">
        <v>166</v>
      </c>
      <c r="S921">
        <v>0</v>
      </c>
      <c r="T921" t="s">
        <v>83</v>
      </c>
      <c r="U921" t="s">
        <v>61</v>
      </c>
      <c r="V921">
        <v>2.75</v>
      </c>
      <c r="W921">
        <v>4.38</v>
      </c>
      <c r="X921">
        <v>3.4</v>
      </c>
      <c r="Y921">
        <v>13.6</v>
      </c>
      <c r="Z921">
        <v>3.7</v>
      </c>
    </row>
    <row r="922" spans="1:26">
      <c r="A922" t="s">
        <v>1400</v>
      </c>
      <c r="B922">
        <v>55</v>
      </c>
      <c r="C922" t="s">
        <v>44</v>
      </c>
      <c r="D922" t="s">
        <v>44</v>
      </c>
      <c r="E922" t="s">
        <v>311</v>
      </c>
      <c r="F922" t="s">
        <v>264</v>
      </c>
      <c r="G922" t="s">
        <v>312</v>
      </c>
      <c r="H922" t="s">
        <v>30</v>
      </c>
      <c r="I922" t="s">
        <v>20</v>
      </c>
      <c r="J922" s="7">
        <v>43622</v>
      </c>
      <c r="K922" s="7">
        <v>43836</v>
      </c>
      <c r="L922" s="5">
        <v>50</v>
      </c>
      <c r="M922" t="s">
        <v>27</v>
      </c>
      <c r="N922" t="s">
        <v>302</v>
      </c>
      <c r="O922">
        <v>50</v>
      </c>
      <c r="P922" t="s">
        <v>211</v>
      </c>
      <c r="Q922" t="s">
        <v>28</v>
      </c>
      <c r="R922">
        <v>131</v>
      </c>
      <c r="S922">
        <v>0</v>
      </c>
      <c r="T922" t="s">
        <v>82</v>
      </c>
      <c r="U922" t="s">
        <v>61</v>
      </c>
      <c r="V922">
        <v>2.8</v>
      </c>
      <c r="W922">
        <v>3.31</v>
      </c>
      <c r="X922">
        <v>6.1</v>
      </c>
      <c r="Y922">
        <v>12</v>
      </c>
      <c r="Z922">
        <v>8.4</v>
      </c>
    </row>
    <row r="923" spans="1:26">
      <c r="A923" t="s">
        <v>1401</v>
      </c>
      <c r="B923">
        <v>25</v>
      </c>
      <c r="C923" t="s">
        <v>71</v>
      </c>
      <c r="D923" t="s">
        <v>44</v>
      </c>
      <c r="E923" t="s">
        <v>259</v>
      </c>
      <c r="F923" t="s">
        <v>264</v>
      </c>
      <c r="G923" t="s">
        <v>327</v>
      </c>
      <c r="H923" t="s">
        <v>29</v>
      </c>
      <c r="I923" t="s">
        <v>18</v>
      </c>
      <c r="J923" s="7">
        <v>43726</v>
      </c>
      <c r="K923" s="7">
        <v>44183</v>
      </c>
      <c r="L923" s="5">
        <v>100</v>
      </c>
      <c r="M923" t="s">
        <v>28</v>
      </c>
      <c r="N923" t="s">
        <v>815</v>
      </c>
      <c r="O923">
        <v>100</v>
      </c>
      <c r="P923" t="s">
        <v>205</v>
      </c>
      <c r="Q923" t="s">
        <v>25</v>
      </c>
      <c r="R923">
        <v>171</v>
      </c>
      <c r="S923">
        <v>0</v>
      </c>
      <c r="T923" t="s">
        <v>78</v>
      </c>
      <c r="U923" t="s">
        <v>61</v>
      </c>
      <c r="V923">
        <v>1.43</v>
      </c>
      <c r="W923">
        <v>2.47</v>
      </c>
      <c r="X923">
        <v>1.9</v>
      </c>
      <c r="Y923">
        <v>19.8</v>
      </c>
      <c r="Z923">
        <v>19.4</v>
      </c>
    </row>
    <row r="924" spans="1:26">
      <c r="A924" t="s">
        <v>1402</v>
      </c>
      <c r="B924">
        <v>51</v>
      </c>
      <c r="C924" t="s">
        <v>44</v>
      </c>
      <c r="D924" t="s">
        <v>42</v>
      </c>
      <c r="E924" t="s">
        <v>255</v>
      </c>
      <c r="F924" t="s">
        <v>273</v>
      </c>
      <c r="G924" t="s">
        <v>312</v>
      </c>
      <c r="H924" t="s">
        <v>30</v>
      </c>
      <c r="I924" t="s">
        <v>20</v>
      </c>
      <c r="J924" s="7">
        <v>44198</v>
      </c>
      <c r="K924" s="7">
        <v>44379</v>
      </c>
      <c r="L924" s="5">
        <v>100</v>
      </c>
      <c r="M924" t="s">
        <v>150</v>
      </c>
      <c r="N924" t="s">
        <v>304</v>
      </c>
      <c r="O924">
        <v>100</v>
      </c>
      <c r="P924" t="s">
        <v>211</v>
      </c>
      <c r="Q924" t="s">
        <v>27</v>
      </c>
      <c r="R924">
        <v>56</v>
      </c>
      <c r="S924">
        <v>0</v>
      </c>
      <c r="T924" t="s">
        <v>80</v>
      </c>
      <c r="U924" t="s">
        <v>61</v>
      </c>
      <c r="V924">
        <v>4.88</v>
      </c>
      <c r="W924">
        <v>4.46</v>
      </c>
      <c r="X924">
        <v>6.4</v>
      </c>
      <c r="Y924">
        <v>18.6</v>
      </c>
      <c r="Z924">
        <v>7.8</v>
      </c>
    </row>
    <row r="925" spans="1:26">
      <c r="A925" t="s">
        <v>1403</v>
      </c>
      <c r="B925">
        <v>44</v>
      </c>
      <c r="C925" t="s">
        <v>71</v>
      </c>
      <c r="D925" t="s">
        <v>39</v>
      </c>
      <c r="E925" t="s">
        <v>272</v>
      </c>
      <c r="F925" t="s">
        <v>268</v>
      </c>
      <c r="G925" t="s">
        <v>322</v>
      </c>
      <c r="H925" t="s">
        <v>30</v>
      </c>
      <c r="I925" t="s">
        <v>20</v>
      </c>
      <c r="J925" s="7">
        <v>45258</v>
      </c>
      <c r="K925" s="7">
        <v>45563</v>
      </c>
      <c r="L925" s="5">
        <v>200</v>
      </c>
      <c r="M925" t="s">
        <v>25</v>
      </c>
      <c r="N925" t="s">
        <v>479</v>
      </c>
      <c r="O925">
        <v>200</v>
      </c>
      <c r="P925" t="s">
        <v>211</v>
      </c>
      <c r="Q925" t="s">
        <v>28</v>
      </c>
      <c r="R925">
        <v>60</v>
      </c>
      <c r="S925">
        <v>0</v>
      </c>
      <c r="T925" t="s">
        <v>80</v>
      </c>
      <c r="U925" t="s">
        <v>61</v>
      </c>
      <c r="V925">
        <v>3.52</v>
      </c>
      <c r="W925">
        <v>2.82</v>
      </c>
      <c r="X925">
        <v>5.3</v>
      </c>
      <c r="Y925">
        <v>19.6</v>
      </c>
      <c r="Z925">
        <v>7.8</v>
      </c>
    </row>
    <row r="926" spans="1:26">
      <c r="A926" t="s">
        <v>1404</v>
      </c>
      <c r="B926">
        <v>38</v>
      </c>
      <c r="C926" t="s">
        <v>70</v>
      </c>
      <c r="D926" t="s">
        <v>42</v>
      </c>
      <c r="E926" t="s">
        <v>311</v>
      </c>
      <c r="F926" t="s">
        <v>273</v>
      </c>
      <c r="G926" t="s">
        <v>261</v>
      </c>
      <c r="H926" t="s">
        <v>32</v>
      </c>
      <c r="I926" t="s">
        <v>16</v>
      </c>
      <c r="J926" s="7">
        <v>43564</v>
      </c>
      <c r="K926" s="7">
        <v>43870</v>
      </c>
      <c r="L926" s="5">
        <v>150</v>
      </c>
      <c r="M926" t="s">
        <v>26</v>
      </c>
      <c r="N926" t="s">
        <v>876</v>
      </c>
      <c r="O926">
        <v>150</v>
      </c>
      <c r="P926" t="s">
        <v>211</v>
      </c>
      <c r="Q926" t="s">
        <v>150</v>
      </c>
      <c r="R926">
        <v>117</v>
      </c>
      <c r="S926">
        <v>0</v>
      </c>
      <c r="T926" t="s">
        <v>82</v>
      </c>
      <c r="U926" t="s">
        <v>61</v>
      </c>
      <c r="V926">
        <v>2.27</v>
      </c>
      <c r="W926">
        <v>4.7</v>
      </c>
      <c r="X926">
        <v>1.5</v>
      </c>
      <c r="Y926">
        <v>14.7</v>
      </c>
      <c r="Z926">
        <v>18.5</v>
      </c>
    </row>
    <row r="927" spans="1:26">
      <c r="A927" t="s">
        <v>1405</v>
      </c>
      <c r="B927">
        <v>65</v>
      </c>
      <c r="C927" t="s">
        <v>71</v>
      </c>
      <c r="D927" t="s">
        <v>39</v>
      </c>
      <c r="E927" t="s">
        <v>311</v>
      </c>
      <c r="F927" t="s">
        <v>273</v>
      </c>
      <c r="G927" t="s">
        <v>284</v>
      </c>
      <c r="H927" t="s">
        <v>32</v>
      </c>
      <c r="I927" t="s">
        <v>19</v>
      </c>
      <c r="J927" s="7">
        <v>45213</v>
      </c>
      <c r="K927" s="7">
        <v>45610</v>
      </c>
      <c r="L927" s="5">
        <v>100</v>
      </c>
      <c r="M927" t="s">
        <v>27</v>
      </c>
      <c r="N927" t="s">
        <v>406</v>
      </c>
      <c r="O927">
        <v>100</v>
      </c>
      <c r="P927" t="s">
        <v>206</v>
      </c>
      <c r="Q927" t="s">
        <v>28</v>
      </c>
      <c r="R927">
        <v>32</v>
      </c>
      <c r="S927">
        <v>1</v>
      </c>
      <c r="T927" t="s">
        <v>81</v>
      </c>
      <c r="U927" t="s">
        <v>63</v>
      </c>
      <c r="V927">
        <v>3.44</v>
      </c>
      <c r="W927">
        <v>3.19</v>
      </c>
      <c r="X927">
        <v>3.2</v>
      </c>
      <c r="Y927">
        <v>12.2</v>
      </c>
      <c r="Z927">
        <v>17.5</v>
      </c>
    </row>
    <row r="928" spans="1:26">
      <c r="A928" t="s">
        <v>1406</v>
      </c>
      <c r="B928">
        <v>45</v>
      </c>
      <c r="C928" t="s">
        <v>44</v>
      </c>
      <c r="D928" t="s">
        <v>39</v>
      </c>
      <c r="E928" t="s">
        <v>272</v>
      </c>
      <c r="F928" t="s">
        <v>150</v>
      </c>
      <c r="G928" t="s">
        <v>322</v>
      </c>
      <c r="H928" t="s">
        <v>34</v>
      </c>
      <c r="I928" t="s">
        <v>19</v>
      </c>
      <c r="J928" s="7">
        <v>44752</v>
      </c>
      <c r="K928" s="7">
        <v>45179</v>
      </c>
      <c r="L928" s="5">
        <v>150</v>
      </c>
      <c r="M928" t="s">
        <v>150</v>
      </c>
      <c r="N928" t="s">
        <v>445</v>
      </c>
      <c r="O928">
        <v>150</v>
      </c>
      <c r="P928" t="s">
        <v>205</v>
      </c>
      <c r="Q928" t="s">
        <v>27</v>
      </c>
      <c r="R928">
        <v>113</v>
      </c>
      <c r="S928">
        <v>0</v>
      </c>
      <c r="T928" t="s">
        <v>78</v>
      </c>
      <c r="U928" t="s">
        <v>63</v>
      </c>
      <c r="V928">
        <v>3.24</v>
      </c>
      <c r="W928">
        <v>3.06</v>
      </c>
      <c r="X928">
        <v>1.9</v>
      </c>
      <c r="Y928">
        <v>6.3</v>
      </c>
      <c r="Z928">
        <v>19.4</v>
      </c>
    </row>
    <row r="929" spans="1:26">
      <c r="A929" t="s">
        <v>1407</v>
      </c>
      <c r="B929">
        <v>47</v>
      </c>
      <c r="C929" t="s">
        <v>44</v>
      </c>
      <c r="D929" t="s">
        <v>41</v>
      </c>
      <c r="E929" t="s">
        <v>150</v>
      </c>
      <c r="F929" t="s">
        <v>277</v>
      </c>
      <c r="G929" t="s">
        <v>281</v>
      </c>
      <c r="H929" t="s">
        <v>32</v>
      </c>
      <c r="I929" t="s">
        <v>19</v>
      </c>
      <c r="J929" s="7">
        <v>44290</v>
      </c>
      <c r="K929" s="7">
        <v>44534</v>
      </c>
      <c r="L929" s="5">
        <v>50</v>
      </c>
      <c r="M929" t="s">
        <v>26</v>
      </c>
      <c r="N929" t="s">
        <v>876</v>
      </c>
      <c r="O929">
        <v>50</v>
      </c>
      <c r="P929" t="s">
        <v>206</v>
      </c>
      <c r="Q929" t="s">
        <v>26</v>
      </c>
      <c r="R929">
        <v>53</v>
      </c>
      <c r="S929">
        <v>1</v>
      </c>
      <c r="T929" t="s">
        <v>83</v>
      </c>
      <c r="U929" t="s">
        <v>61</v>
      </c>
      <c r="V929">
        <v>2.51</v>
      </c>
      <c r="W929">
        <v>3.41</v>
      </c>
      <c r="X929">
        <v>1.7</v>
      </c>
      <c r="Y929">
        <v>18.3</v>
      </c>
      <c r="Z929">
        <v>18.9</v>
      </c>
    </row>
    <row r="930" spans="1:26">
      <c r="A930" t="s">
        <v>1408</v>
      </c>
      <c r="B930">
        <v>48</v>
      </c>
      <c r="C930" t="s">
        <v>44</v>
      </c>
      <c r="D930" t="s">
        <v>41</v>
      </c>
      <c r="E930" t="s">
        <v>272</v>
      </c>
      <c r="F930" t="s">
        <v>260</v>
      </c>
      <c r="G930" t="s">
        <v>322</v>
      </c>
      <c r="H930" t="s">
        <v>30</v>
      </c>
      <c r="I930" t="s">
        <v>19</v>
      </c>
      <c r="J930" s="7">
        <v>45100</v>
      </c>
      <c r="K930" s="7">
        <v>45588</v>
      </c>
      <c r="L930" s="5">
        <v>150</v>
      </c>
      <c r="M930" t="s">
        <v>150</v>
      </c>
      <c r="N930" t="s">
        <v>421</v>
      </c>
      <c r="O930">
        <v>150</v>
      </c>
      <c r="P930" t="s">
        <v>205</v>
      </c>
      <c r="Q930" t="s">
        <v>150</v>
      </c>
      <c r="R930">
        <v>73</v>
      </c>
      <c r="S930">
        <v>0</v>
      </c>
      <c r="T930" t="s">
        <v>81</v>
      </c>
      <c r="U930" t="s">
        <v>63</v>
      </c>
      <c r="V930">
        <v>3.3</v>
      </c>
      <c r="W930">
        <v>1.5</v>
      </c>
      <c r="X930">
        <v>6.2</v>
      </c>
      <c r="Y930">
        <v>19.8</v>
      </c>
      <c r="Z930">
        <v>9.9</v>
      </c>
    </row>
    <row r="931" spans="1:26">
      <c r="A931" t="s">
        <v>1409</v>
      </c>
      <c r="B931">
        <v>58</v>
      </c>
      <c r="C931" t="s">
        <v>71</v>
      </c>
      <c r="D931" t="s">
        <v>43</v>
      </c>
      <c r="E931" t="s">
        <v>311</v>
      </c>
      <c r="F931" t="s">
        <v>150</v>
      </c>
      <c r="G931" t="s">
        <v>256</v>
      </c>
      <c r="H931" t="s">
        <v>34</v>
      </c>
      <c r="I931" t="s">
        <v>19</v>
      </c>
      <c r="J931" s="7">
        <v>44972</v>
      </c>
      <c r="K931" s="7">
        <v>45184</v>
      </c>
      <c r="L931" s="5">
        <v>50</v>
      </c>
      <c r="M931" t="s">
        <v>28</v>
      </c>
      <c r="N931" t="s">
        <v>323</v>
      </c>
      <c r="O931">
        <v>50</v>
      </c>
      <c r="P931" t="s">
        <v>211</v>
      </c>
      <c r="Q931" t="s">
        <v>25</v>
      </c>
      <c r="R931">
        <v>53</v>
      </c>
      <c r="S931">
        <v>0</v>
      </c>
      <c r="T931" t="s">
        <v>81</v>
      </c>
      <c r="U931" t="s">
        <v>61</v>
      </c>
      <c r="V931">
        <v>4.52</v>
      </c>
      <c r="W931">
        <v>3.59</v>
      </c>
      <c r="X931">
        <v>9.1</v>
      </c>
      <c r="Y931">
        <v>17.2</v>
      </c>
      <c r="Z931">
        <v>5.2</v>
      </c>
    </row>
    <row r="932" spans="1:26">
      <c r="A932" t="s">
        <v>1410</v>
      </c>
      <c r="B932">
        <v>76</v>
      </c>
      <c r="C932" t="s">
        <v>70</v>
      </c>
      <c r="D932" t="s">
        <v>39</v>
      </c>
      <c r="E932" t="s">
        <v>272</v>
      </c>
      <c r="F932" t="s">
        <v>264</v>
      </c>
      <c r="G932" t="s">
        <v>278</v>
      </c>
      <c r="H932" t="s">
        <v>32</v>
      </c>
      <c r="I932" t="s">
        <v>18</v>
      </c>
      <c r="J932" s="7">
        <v>44436</v>
      </c>
      <c r="K932" s="7">
        <v>44862</v>
      </c>
      <c r="L932" s="5">
        <v>150</v>
      </c>
      <c r="M932" t="s">
        <v>27</v>
      </c>
      <c r="N932" t="s">
        <v>505</v>
      </c>
      <c r="O932">
        <v>150</v>
      </c>
      <c r="P932" t="s">
        <v>211</v>
      </c>
      <c r="Q932" t="s">
        <v>25</v>
      </c>
      <c r="R932">
        <v>106</v>
      </c>
      <c r="S932">
        <v>0</v>
      </c>
      <c r="T932" t="s">
        <v>80</v>
      </c>
      <c r="U932" t="s">
        <v>61</v>
      </c>
      <c r="V932">
        <v>2.24</v>
      </c>
      <c r="W932">
        <v>1.81</v>
      </c>
      <c r="X932">
        <v>9.2</v>
      </c>
      <c r="Y932">
        <v>19.7</v>
      </c>
      <c r="Z932">
        <v>14.5</v>
      </c>
    </row>
    <row r="933" spans="1:26">
      <c r="A933" t="s">
        <v>1411</v>
      </c>
      <c r="B933">
        <v>43</v>
      </c>
      <c r="C933" t="s">
        <v>70</v>
      </c>
      <c r="D933" t="s">
        <v>39</v>
      </c>
      <c r="E933" t="s">
        <v>255</v>
      </c>
      <c r="F933" t="s">
        <v>264</v>
      </c>
      <c r="G933" t="s">
        <v>265</v>
      </c>
      <c r="H933" t="s">
        <v>34</v>
      </c>
      <c r="I933" t="s">
        <v>16</v>
      </c>
      <c r="J933" s="7">
        <v>43925</v>
      </c>
      <c r="K933" s="7">
        <v>44351</v>
      </c>
      <c r="L933" s="5">
        <v>100</v>
      </c>
      <c r="M933" t="s">
        <v>28</v>
      </c>
      <c r="N933" t="s">
        <v>433</v>
      </c>
      <c r="O933">
        <v>100</v>
      </c>
      <c r="P933" t="s">
        <v>206</v>
      </c>
      <c r="Q933" t="s">
        <v>26</v>
      </c>
      <c r="R933">
        <v>163</v>
      </c>
      <c r="S933">
        <v>1</v>
      </c>
      <c r="T933" t="s">
        <v>80</v>
      </c>
      <c r="U933" t="s">
        <v>63</v>
      </c>
      <c r="V933">
        <v>2.2</v>
      </c>
      <c r="W933">
        <v>1.74</v>
      </c>
      <c r="X933">
        <v>7.8</v>
      </c>
      <c r="Y933">
        <v>14.5</v>
      </c>
      <c r="Z933">
        <v>6.8</v>
      </c>
    </row>
    <row r="934" spans="1:26">
      <c r="A934" t="s">
        <v>1412</v>
      </c>
      <c r="B934">
        <v>72</v>
      </c>
      <c r="C934" t="s">
        <v>71</v>
      </c>
      <c r="D934" t="s">
        <v>44</v>
      </c>
      <c r="E934" t="s">
        <v>272</v>
      </c>
      <c r="F934" t="s">
        <v>150</v>
      </c>
      <c r="G934" t="s">
        <v>288</v>
      </c>
      <c r="H934" t="s">
        <v>29</v>
      </c>
      <c r="I934" t="s">
        <v>19</v>
      </c>
      <c r="J934" s="7">
        <v>44061</v>
      </c>
      <c r="K934" s="7">
        <v>44457</v>
      </c>
      <c r="L934" s="5">
        <v>100</v>
      </c>
      <c r="M934" t="s">
        <v>150</v>
      </c>
      <c r="N934" t="s">
        <v>447</v>
      </c>
      <c r="O934">
        <v>100</v>
      </c>
      <c r="P934" t="s">
        <v>211</v>
      </c>
      <c r="Q934" t="s">
        <v>26</v>
      </c>
      <c r="R934">
        <v>110</v>
      </c>
      <c r="S934">
        <v>0</v>
      </c>
      <c r="T934" t="s">
        <v>83</v>
      </c>
      <c r="U934" t="s">
        <v>61</v>
      </c>
      <c r="V934">
        <v>3.47</v>
      </c>
      <c r="W934">
        <v>1.16</v>
      </c>
      <c r="X934">
        <v>3.9</v>
      </c>
      <c r="Y934">
        <v>14.4</v>
      </c>
      <c r="Z934">
        <v>5.5</v>
      </c>
    </row>
    <row r="935" spans="1:26">
      <c r="A935" t="s">
        <v>1413</v>
      </c>
      <c r="B935">
        <v>41</v>
      </c>
      <c r="C935" t="s">
        <v>71</v>
      </c>
      <c r="D935" t="s">
        <v>43</v>
      </c>
      <c r="E935" t="s">
        <v>150</v>
      </c>
      <c r="F935" t="s">
        <v>273</v>
      </c>
      <c r="G935" t="s">
        <v>256</v>
      </c>
      <c r="H935" t="s">
        <v>30</v>
      </c>
      <c r="I935" t="s">
        <v>20</v>
      </c>
      <c r="J935" s="7">
        <v>44930</v>
      </c>
      <c r="K935" s="7">
        <v>45355</v>
      </c>
      <c r="L935" s="5">
        <v>50</v>
      </c>
      <c r="M935" t="s">
        <v>27</v>
      </c>
      <c r="N935" t="s">
        <v>295</v>
      </c>
      <c r="O935">
        <v>50</v>
      </c>
      <c r="P935" t="s">
        <v>211</v>
      </c>
      <c r="Q935" t="s">
        <v>150</v>
      </c>
      <c r="R935">
        <v>127</v>
      </c>
      <c r="S935">
        <v>0</v>
      </c>
      <c r="T935" t="s">
        <v>82</v>
      </c>
      <c r="U935" t="s">
        <v>63</v>
      </c>
      <c r="V935">
        <v>4.94</v>
      </c>
      <c r="W935">
        <v>1.84</v>
      </c>
      <c r="X935">
        <v>2.2</v>
      </c>
      <c r="Y935">
        <v>9.7</v>
      </c>
      <c r="Z935">
        <v>16.1</v>
      </c>
    </row>
    <row r="936" spans="1:26">
      <c r="A936" t="s">
        <v>1414</v>
      </c>
      <c r="B936">
        <v>79</v>
      </c>
      <c r="C936" t="s">
        <v>70</v>
      </c>
      <c r="D936" t="s">
        <v>43</v>
      </c>
      <c r="E936" t="s">
        <v>259</v>
      </c>
      <c r="F936" t="s">
        <v>150</v>
      </c>
      <c r="G936" t="s">
        <v>297</v>
      </c>
      <c r="H936" t="s">
        <v>29</v>
      </c>
      <c r="I936" t="s">
        <v>19</v>
      </c>
      <c r="J936" s="7">
        <v>43948</v>
      </c>
      <c r="K936" s="7">
        <v>44313</v>
      </c>
      <c r="L936" s="5">
        <v>100</v>
      </c>
      <c r="M936" t="s">
        <v>25</v>
      </c>
      <c r="N936" t="s">
        <v>388</v>
      </c>
      <c r="O936">
        <v>100</v>
      </c>
      <c r="P936" t="s">
        <v>211</v>
      </c>
      <c r="Q936" t="s">
        <v>150</v>
      </c>
      <c r="R936">
        <v>117</v>
      </c>
      <c r="S936">
        <v>0</v>
      </c>
      <c r="T936" t="s">
        <v>83</v>
      </c>
      <c r="U936" t="s">
        <v>63</v>
      </c>
      <c r="V936">
        <v>2.7</v>
      </c>
      <c r="W936">
        <v>3.26</v>
      </c>
      <c r="X936">
        <v>1.2</v>
      </c>
      <c r="Y936">
        <v>6.6</v>
      </c>
      <c r="Z936">
        <v>10.6</v>
      </c>
    </row>
    <row r="937" spans="1:26">
      <c r="A937" t="s">
        <v>1415</v>
      </c>
      <c r="B937">
        <v>22</v>
      </c>
      <c r="C937" t="s">
        <v>71</v>
      </c>
      <c r="D937" t="s">
        <v>42</v>
      </c>
      <c r="E937" t="s">
        <v>255</v>
      </c>
      <c r="F937" t="s">
        <v>150</v>
      </c>
      <c r="G937" t="s">
        <v>256</v>
      </c>
      <c r="H937" t="s">
        <v>34</v>
      </c>
      <c r="I937" t="s">
        <v>18</v>
      </c>
      <c r="J937" s="7">
        <v>44944</v>
      </c>
      <c r="K937" s="7">
        <v>45217</v>
      </c>
      <c r="L937" s="5">
        <v>150</v>
      </c>
      <c r="M937" t="s">
        <v>28</v>
      </c>
      <c r="N937" t="s">
        <v>562</v>
      </c>
      <c r="O937">
        <v>150</v>
      </c>
      <c r="P937" t="s">
        <v>206</v>
      </c>
      <c r="Q937" t="s">
        <v>25</v>
      </c>
      <c r="R937">
        <v>134</v>
      </c>
      <c r="S937">
        <v>1</v>
      </c>
      <c r="T937" t="s">
        <v>80</v>
      </c>
      <c r="U937" t="s">
        <v>61</v>
      </c>
      <c r="V937">
        <v>4.27</v>
      </c>
      <c r="W937">
        <v>4.54</v>
      </c>
      <c r="X937">
        <v>1.8</v>
      </c>
      <c r="Y937">
        <v>15.7</v>
      </c>
      <c r="Z937">
        <v>18.5</v>
      </c>
    </row>
    <row r="938" spans="1:26">
      <c r="A938" t="s">
        <v>1416</v>
      </c>
      <c r="B938">
        <v>54</v>
      </c>
      <c r="C938" t="s">
        <v>71</v>
      </c>
      <c r="D938" t="s">
        <v>39</v>
      </c>
      <c r="E938" t="s">
        <v>272</v>
      </c>
      <c r="F938" t="s">
        <v>268</v>
      </c>
      <c r="G938" t="s">
        <v>349</v>
      </c>
      <c r="H938" t="s">
        <v>32</v>
      </c>
      <c r="I938" t="s">
        <v>20</v>
      </c>
      <c r="J938" s="7">
        <v>45092</v>
      </c>
      <c r="K938" s="7">
        <v>45337</v>
      </c>
      <c r="L938" s="5">
        <v>150</v>
      </c>
      <c r="M938" t="s">
        <v>150</v>
      </c>
      <c r="N938" t="s">
        <v>313</v>
      </c>
      <c r="O938">
        <v>150</v>
      </c>
      <c r="P938" t="s">
        <v>205</v>
      </c>
      <c r="Q938" t="s">
        <v>26</v>
      </c>
      <c r="R938">
        <v>162</v>
      </c>
      <c r="S938">
        <v>0</v>
      </c>
      <c r="T938" t="s">
        <v>83</v>
      </c>
      <c r="U938" t="s">
        <v>63</v>
      </c>
      <c r="V938">
        <v>2.55</v>
      </c>
      <c r="W938">
        <v>4.32</v>
      </c>
      <c r="X938">
        <v>2.2</v>
      </c>
      <c r="Y938">
        <v>22.8</v>
      </c>
      <c r="Z938">
        <v>15.8</v>
      </c>
    </row>
    <row r="939" spans="1:26">
      <c r="A939" t="s">
        <v>1417</v>
      </c>
      <c r="B939">
        <v>40</v>
      </c>
      <c r="C939" t="s">
        <v>71</v>
      </c>
      <c r="D939" t="s">
        <v>42</v>
      </c>
      <c r="E939" t="s">
        <v>272</v>
      </c>
      <c r="F939" t="s">
        <v>150</v>
      </c>
      <c r="G939" t="s">
        <v>431</v>
      </c>
      <c r="H939" t="s">
        <v>29</v>
      </c>
      <c r="I939" t="s">
        <v>18</v>
      </c>
      <c r="J939" s="7">
        <v>44457</v>
      </c>
      <c r="K939" s="7">
        <v>44730</v>
      </c>
      <c r="L939" s="5">
        <v>200</v>
      </c>
      <c r="M939" t="s">
        <v>27</v>
      </c>
      <c r="N939" t="s">
        <v>320</v>
      </c>
      <c r="O939">
        <v>200</v>
      </c>
      <c r="P939" t="s">
        <v>211</v>
      </c>
      <c r="Q939" t="s">
        <v>25</v>
      </c>
      <c r="R939">
        <v>165</v>
      </c>
      <c r="S939">
        <v>0</v>
      </c>
      <c r="T939" t="s">
        <v>81</v>
      </c>
      <c r="U939" t="s">
        <v>61</v>
      </c>
      <c r="V939">
        <v>4.77</v>
      </c>
      <c r="W939">
        <v>3.71</v>
      </c>
      <c r="X939">
        <v>4.3</v>
      </c>
      <c r="Y939">
        <v>22.9</v>
      </c>
      <c r="Z939">
        <v>7.7</v>
      </c>
    </row>
    <row r="940" spans="1:26">
      <c r="A940" t="s">
        <v>1418</v>
      </c>
      <c r="B940">
        <v>60</v>
      </c>
      <c r="C940" t="s">
        <v>71</v>
      </c>
      <c r="D940" t="s">
        <v>39</v>
      </c>
      <c r="E940" t="s">
        <v>259</v>
      </c>
      <c r="F940" t="s">
        <v>273</v>
      </c>
      <c r="G940" t="s">
        <v>349</v>
      </c>
      <c r="H940" t="s">
        <v>34</v>
      </c>
      <c r="I940" t="s">
        <v>16</v>
      </c>
      <c r="J940" s="7">
        <v>43548</v>
      </c>
      <c r="K940" s="7">
        <v>43823</v>
      </c>
      <c r="L940" s="5">
        <v>50</v>
      </c>
      <c r="M940" t="s">
        <v>25</v>
      </c>
      <c r="N940" t="s">
        <v>479</v>
      </c>
      <c r="O940">
        <v>50</v>
      </c>
      <c r="P940" t="s">
        <v>211</v>
      </c>
      <c r="Q940" t="s">
        <v>27</v>
      </c>
      <c r="R940">
        <v>167</v>
      </c>
      <c r="S940">
        <v>0</v>
      </c>
      <c r="T940" t="s">
        <v>83</v>
      </c>
      <c r="U940" t="s">
        <v>63</v>
      </c>
      <c r="V940">
        <v>2.33</v>
      </c>
      <c r="W940">
        <v>3.8</v>
      </c>
      <c r="X940">
        <v>7.9</v>
      </c>
      <c r="Y940">
        <v>22.7</v>
      </c>
      <c r="Z940">
        <v>6.5</v>
      </c>
    </row>
    <row r="941" spans="1:26">
      <c r="A941" t="s">
        <v>1419</v>
      </c>
      <c r="B941">
        <v>49</v>
      </c>
      <c r="C941" t="s">
        <v>44</v>
      </c>
      <c r="D941" t="s">
        <v>43</v>
      </c>
      <c r="E941" t="s">
        <v>255</v>
      </c>
      <c r="F941" t="s">
        <v>264</v>
      </c>
      <c r="G941" t="s">
        <v>274</v>
      </c>
      <c r="H941" t="s">
        <v>29</v>
      </c>
      <c r="I941" t="s">
        <v>16</v>
      </c>
      <c r="J941" s="7">
        <v>45258</v>
      </c>
      <c r="K941" s="7">
        <v>45775</v>
      </c>
      <c r="L941" s="5">
        <v>100</v>
      </c>
      <c r="M941" t="s">
        <v>27</v>
      </c>
      <c r="N941" t="s">
        <v>373</v>
      </c>
      <c r="O941">
        <v>100</v>
      </c>
      <c r="P941" t="s">
        <v>205</v>
      </c>
      <c r="Q941" t="s">
        <v>28</v>
      </c>
      <c r="R941">
        <v>124</v>
      </c>
      <c r="S941">
        <v>0</v>
      </c>
      <c r="T941" t="s">
        <v>81</v>
      </c>
      <c r="U941" t="s">
        <v>63</v>
      </c>
      <c r="V941">
        <v>4.19</v>
      </c>
      <c r="W941">
        <v>3.95</v>
      </c>
      <c r="X941">
        <v>1.6</v>
      </c>
      <c r="Y941">
        <v>13</v>
      </c>
      <c r="Z941">
        <v>7.8</v>
      </c>
    </row>
    <row r="942" spans="1:26">
      <c r="A942" t="s">
        <v>1420</v>
      </c>
      <c r="B942">
        <v>72</v>
      </c>
      <c r="C942" t="s">
        <v>70</v>
      </c>
      <c r="D942" t="s">
        <v>44</v>
      </c>
      <c r="E942" t="s">
        <v>259</v>
      </c>
      <c r="F942" t="s">
        <v>264</v>
      </c>
      <c r="G942" t="s">
        <v>294</v>
      </c>
      <c r="H942" t="s">
        <v>32</v>
      </c>
      <c r="I942" t="s">
        <v>16</v>
      </c>
      <c r="J942" s="7">
        <v>44896</v>
      </c>
      <c r="K942" s="7">
        <v>45444</v>
      </c>
      <c r="L942" s="5">
        <v>150</v>
      </c>
      <c r="M942" t="s">
        <v>26</v>
      </c>
      <c r="N942" t="s">
        <v>660</v>
      </c>
      <c r="O942">
        <v>150</v>
      </c>
      <c r="P942" t="s">
        <v>211</v>
      </c>
      <c r="Q942" t="s">
        <v>28</v>
      </c>
      <c r="R942">
        <v>61</v>
      </c>
      <c r="S942">
        <v>0</v>
      </c>
      <c r="T942" t="s">
        <v>83</v>
      </c>
      <c r="U942" t="s">
        <v>63</v>
      </c>
      <c r="V942">
        <v>2.22</v>
      </c>
      <c r="W942">
        <v>4.93</v>
      </c>
      <c r="X942">
        <v>6.8</v>
      </c>
      <c r="Y942">
        <v>18.9</v>
      </c>
      <c r="Z942">
        <v>19.6</v>
      </c>
    </row>
    <row r="943" spans="1:26">
      <c r="A943" t="s">
        <v>1421</v>
      </c>
      <c r="B943">
        <v>28</v>
      </c>
      <c r="C943" t="s">
        <v>71</v>
      </c>
      <c r="D943" t="s">
        <v>41</v>
      </c>
      <c r="E943" t="s">
        <v>255</v>
      </c>
      <c r="F943" t="s">
        <v>268</v>
      </c>
      <c r="G943" t="s">
        <v>269</v>
      </c>
      <c r="H943" t="s">
        <v>32</v>
      </c>
      <c r="I943" t="s">
        <v>18</v>
      </c>
      <c r="J943" s="7">
        <v>44351</v>
      </c>
      <c r="K943" s="7">
        <v>44624</v>
      </c>
      <c r="L943" s="5">
        <v>200</v>
      </c>
      <c r="M943" t="s">
        <v>25</v>
      </c>
      <c r="N943" t="s">
        <v>347</v>
      </c>
      <c r="O943">
        <v>200</v>
      </c>
      <c r="P943" t="s">
        <v>205</v>
      </c>
      <c r="Q943" t="s">
        <v>25</v>
      </c>
      <c r="R943">
        <v>113</v>
      </c>
      <c r="S943">
        <v>0</v>
      </c>
      <c r="T943" t="s">
        <v>80</v>
      </c>
      <c r="U943" t="s">
        <v>63</v>
      </c>
      <c r="V943">
        <v>2.51</v>
      </c>
      <c r="W943">
        <v>4.21</v>
      </c>
      <c r="X943">
        <v>4.9</v>
      </c>
      <c r="Y943">
        <v>21.7</v>
      </c>
      <c r="Z943">
        <v>6.1</v>
      </c>
    </row>
    <row r="944" spans="1:26">
      <c r="A944" t="s">
        <v>1422</v>
      </c>
      <c r="B944">
        <v>82</v>
      </c>
      <c r="C944" t="s">
        <v>44</v>
      </c>
      <c r="D944" t="s">
        <v>42</v>
      </c>
      <c r="E944" t="s">
        <v>311</v>
      </c>
      <c r="F944" t="s">
        <v>277</v>
      </c>
      <c r="G944" t="s">
        <v>281</v>
      </c>
      <c r="H944" t="s">
        <v>32</v>
      </c>
      <c r="I944" t="s">
        <v>18</v>
      </c>
      <c r="J944" s="7">
        <v>44664</v>
      </c>
      <c r="K944" s="7">
        <v>44878</v>
      </c>
      <c r="L944" s="5">
        <v>150</v>
      </c>
      <c r="M944" t="s">
        <v>25</v>
      </c>
      <c r="N944" t="s">
        <v>442</v>
      </c>
      <c r="O944">
        <v>150</v>
      </c>
      <c r="P944" t="s">
        <v>211</v>
      </c>
      <c r="Q944" t="s">
        <v>26</v>
      </c>
      <c r="R944">
        <v>142</v>
      </c>
      <c r="S944">
        <v>0</v>
      </c>
      <c r="T944" t="s">
        <v>83</v>
      </c>
      <c r="U944" t="s">
        <v>63</v>
      </c>
      <c r="V944">
        <v>4.79</v>
      </c>
      <c r="W944">
        <v>1.88</v>
      </c>
      <c r="X944">
        <v>3.9</v>
      </c>
      <c r="Y944">
        <v>19.6</v>
      </c>
      <c r="Z944">
        <v>9.7</v>
      </c>
    </row>
    <row r="945" spans="1:26">
      <c r="A945" t="s">
        <v>1423</v>
      </c>
      <c r="B945">
        <v>62</v>
      </c>
      <c r="C945" t="s">
        <v>44</v>
      </c>
      <c r="D945" t="s">
        <v>44</v>
      </c>
      <c r="E945" t="s">
        <v>272</v>
      </c>
      <c r="F945" t="s">
        <v>150</v>
      </c>
      <c r="G945" t="s">
        <v>278</v>
      </c>
      <c r="H945" t="s">
        <v>32</v>
      </c>
      <c r="I945" t="s">
        <v>18</v>
      </c>
      <c r="J945" s="7">
        <v>44949</v>
      </c>
      <c r="K945" s="7">
        <v>45130</v>
      </c>
      <c r="L945" s="5">
        <v>150</v>
      </c>
      <c r="M945" t="s">
        <v>150</v>
      </c>
      <c r="N945" t="s">
        <v>534</v>
      </c>
      <c r="O945">
        <v>150</v>
      </c>
      <c r="P945" t="s">
        <v>205</v>
      </c>
      <c r="Q945" t="s">
        <v>150</v>
      </c>
      <c r="R945">
        <v>145</v>
      </c>
      <c r="S945">
        <v>0</v>
      </c>
      <c r="T945" t="s">
        <v>78</v>
      </c>
      <c r="U945" t="s">
        <v>63</v>
      </c>
      <c r="V945">
        <v>3.43</v>
      </c>
      <c r="W945">
        <v>2.78</v>
      </c>
      <c r="X945">
        <v>7.7</v>
      </c>
      <c r="Y945">
        <v>10.1</v>
      </c>
      <c r="Z945">
        <v>4</v>
      </c>
    </row>
    <row r="946" spans="1:26">
      <c r="A946" t="s">
        <v>1424</v>
      </c>
      <c r="B946">
        <v>60</v>
      </c>
      <c r="C946" t="s">
        <v>70</v>
      </c>
      <c r="D946" t="s">
        <v>43</v>
      </c>
      <c r="E946" t="s">
        <v>259</v>
      </c>
      <c r="F946" t="s">
        <v>150</v>
      </c>
      <c r="G946" t="s">
        <v>274</v>
      </c>
      <c r="H946" t="s">
        <v>30</v>
      </c>
      <c r="I946" t="s">
        <v>19</v>
      </c>
      <c r="J946" s="7">
        <v>44231</v>
      </c>
      <c r="K946" s="7">
        <v>44596</v>
      </c>
      <c r="L946" s="5">
        <v>150</v>
      </c>
      <c r="M946" t="s">
        <v>27</v>
      </c>
      <c r="N946" t="s">
        <v>382</v>
      </c>
      <c r="O946">
        <v>150</v>
      </c>
      <c r="P946" t="s">
        <v>205</v>
      </c>
      <c r="Q946" t="s">
        <v>28</v>
      </c>
      <c r="R946">
        <v>64</v>
      </c>
      <c r="S946">
        <v>0</v>
      </c>
      <c r="T946" t="s">
        <v>80</v>
      </c>
      <c r="U946" t="s">
        <v>63</v>
      </c>
      <c r="V946">
        <v>2.2</v>
      </c>
      <c r="W946">
        <v>2.9</v>
      </c>
      <c r="X946">
        <v>2.5</v>
      </c>
      <c r="Y946">
        <v>12.4</v>
      </c>
      <c r="Z946">
        <v>9.8</v>
      </c>
    </row>
    <row r="947" spans="1:26">
      <c r="A947" t="s">
        <v>1425</v>
      </c>
      <c r="B947">
        <v>78</v>
      </c>
      <c r="C947" t="s">
        <v>70</v>
      </c>
      <c r="D947" t="s">
        <v>41</v>
      </c>
      <c r="E947" t="s">
        <v>272</v>
      </c>
      <c r="F947" t="s">
        <v>273</v>
      </c>
      <c r="G947" t="s">
        <v>319</v>
      </c>
      <c r="H947" t="s">
        <v>34</v>
      </c>
      <c r="I947" t="s">
        <v>20</v>
      </c>
      <c r="J947" s="7">
        <v>44572</v>
      </c>
      <c r="K947" s="7">
        <v>44845</v>
      </c>
      <c r="L947" s="5">
        <v>150</v>
      </c>
      <c r="M947" t="s">
        <v>25</v>
      </c>
      <c r="N947" t="s">
        <v>518</v>
      </c>
      <c r="O947">
        <v>150</v>
      </c>
      <c r="P947" t="s">
        <v>211</v>
      </c>
      <c r="Q947" t="s">
        <v>150</v>
      </c>
      <c r="R947">
        <v>95</v>
      </c>
      <c r="S947">
        <v>0</v>
      </c>
      <c r="T947" t="s">
        <v>83</v>
      </c>
      <c r="U947" t="s">
        <v>61</v>
      </c>
      <c r="V947">
        <v>1.23</v>
      </c>
      <c r="W947">
        <v>3.33</v>
      </c>
      <c r="X947">
        <v>9</v>
      </c>
      <c r="Y947">
        <v>8.7</v>
      </c>
      <c r="Z947">
        <v>13.2</v>
      </c>
    </row>
    <row r="948" spans="1:26">
      <c r="A948" t="s">
        <v>1426</v>
      </c>
      <c r="B948">
        <v>27</v>
      </c>
      <c r="C948" t="s">
        <v>71</v>
      </c>
      <c r="D948" t="s">
        <v>42</v>
      </c>
      <c r="E948" t="s">
        <v>255</v>
      </c>
      <c r="F948" t="s">
        <v>150</v>
      </c>
      <c r="G948" t="s">
        <v>431</v>
      </c>
      <c r="H948" t="s">
        <v>32</v>
      </c>
      <c r="I948" t="s">
        <v>18</v>
      </c>
      <c r="J948" s="7">
        <v>44467</v>
      </c>
      <c r="K948" s="7">
        <v>44954</v>
      </c>
      <c r="L948" s="5">
        <v>150</v>
      </c>
      <c r="M948" t="s">
        <v>150</v>
      </c>
      <c r="N948" t="s">
        <v>332</v>
      </c>
      <c r="O948">
        <v>150</v>
      </c>
      <c r="P948" t="s">
        <v>206</v>
      </c>
      <c r="Q948" t="s">
        <v>28</v>
      </c>
      <c r="R948">
        <v>78</v>
      </c>
      <c r="S948">
        <v>1</v>
      </c>
      <c r="T948" t="s">
        <v>80</v>
      </c>
      <c r="U948" t="s">
        <v>63</v>
      </c>
      <c r="V948">
        <v>3.66</v>
      </c>
      <c r="W948">
        <v>2.68</v>
      </c>
      <c r="X948">
        <v>7.3</v>
      </c>
      <c r="Y948">
        <v>13.4</v>
      </c>
      <c r="Z948">
        <v>11.6</v>
      </c>
    </row>
    <row r="949" spans="1:26">
      <c r="A949" t="s">
        <v>1427</v>
      </c>
      <c r="B949">
        <v>35</v>
      </c>
      <c r="C949" t="s">
        <v>70</v>
      </c>
      <c r="D949" t="s">
        <v>41</v>
      </c>
      <c r="E949" t="s">
        <v>311</v>
      </c>
      <c r="F949" t="s">
        <v>260</v>
      </c>
      <c r="G949" t="s">
        <v>261</v>
      </c>
      <c r="H949" t="s">
        <v>30</v>
      </c>
      <c r="I949" t="s">
        <v>20</v>
      </c>
      <c r="J949" s="7">
        <v>44102</v>
      </c>
      <c r="K949" s="7">
        <v>44314</v>
      </c>
      <c r="L949" s="5">
        <v>150</v>
      </c>
      <c r="M949" t="s">
        <v>150</v>
      </c>
      <c r="N949" t="s">
        <v>440</v>
      </c>
      <c r="O949">
        <v>150</v>
      </c>
      <c r="P949" t="s">
        <v>205</v>
      </c>
      <c r="Q949" t="s">
        <v>25</v>
      </c>
      <c r="R949">
        <v>88</v>
      </c>
      <c r="S949">
        <v>0</v>
      </c>
      <c r="T949" t="s">
        <v>80</v>
      </c>
      <c r="U949" t="s">
        <v>61</v>
      </c>
      <c r="V949">
        <v>1.03</v>
      </c>
      <c r="W949">
        <v>3.77</v>
      </c>
      <c r="X949">
        <v>7</v>
      </c>
      <c r="Y949">
        <v>6.7</v>
      </c>
      <c r="Z949">
        <v>9.3</v>
      </c>
    </row>
    <row r="950" spans="1:26">
      <c r="A950" t="s">
        <v>1428</v>
      </c>
      <c r="B950">
        <v>45</v>
      </c>
      <c r="C950" t="s">
        <v>71</v>
      </c>
      <c r="D950" t="s">
        <v>44</v>
      </c>
      <c r="E950" t="s">
        <v>272</v>
      </c>
      <c r="F950" t="s">
        <v>150</v>
      </c>
      <c r="G950" t="s">
        <v>291</v>
      </c>
      <c r="H950" t="s">
        <v>34</v>
      </c>
      <c r="I950" t="s">
        <v>20</v>
      </c>
      <c r="J950" s="7">
        <v>44704</v>
      </c>
      <c r="K950" s="7">
        <v>45253</v>
      </c>
      <c r="L950" s="5">
        <v>50</v>
      </c>
      <c r="M950" t="s">
        <v>26</v>
      </c>
      <c r="N950" t="s">
        <v>330</v>
      </c>
      <c r="O950">
        <v>50</v>
      </c>
      <c r="P950" t="s">
        <v>211</v>
      </c>
      <c r="Q950" t="s">
        <v>25</v>
      </c>
      <c r="R950">
        <v>160</v>
      </c>
      <c r="S950">
        <v>0</v>
      </c>
      <c r="T950" t="s">
        <v>82</v>
      </c>
      <c r="U950" t="s">
        <v>61</v>
      </c>
      <c r="V950">
        <v>4.92</v>
      </c>
      <c r="W950">
        <v>2.68</v>
      </c>
      <c r="X950">
        <v>5.5</v>
      </c>
      <c r="Y950">
        <v>22.4</v>
      </c>
      <c r="Z950">
        <v>15.2</v>
      </c>
    </row>
    <row r="951" spans="1:26">
      <c r="A951" t="s">
        <v>1429</v>
      </c>
      <c r="B951">
        <v>58</v>
      </c>
      <c r="C951" t="s">
        <v>70</v>
      </c>
      <c r="D951" t="s">
        <v>42</v>
      </c>
      <c r="E951" t="s">
        <v>259</v>
      </c>
      <c r="F951" t="s">
        <v>150</v>
      </c>
      <c r="G951" t="s">
        <v>256</v>
      </c>
      <c r="H951" t="s">
        <v>34</v>
      </c>
      <c r="I951" t="s">
        <v>18</v>
      </c>
      <c r="J951" s="7">
        <v>44607</v>
      </c>
      <c r="K951" s="7">
        <v>44910</v>
      </c>
      <c r="L951" s="5">
        <v>100</v>
      </c>
      <c r="M951" t="s">
        <v>27</v>
      </c>
      <c r="N951" t="s">
        <v>315</v>
      </c>
      <c r="O951">
        <v>100</v>
      </c>
      <c r="P951" t="s">
        <v>205</v>
      </c>
      <c r="Q951" t="s">
        <v>28</v>
      </c>
      <c r="R951">
        <v>57</v>
      </c>
      <c r="S951">
        <v>0</v>
      </c>
      <c r="T951" t="s">
        <v>82</v>
      </c>
      <c r="U951" t="s">
        <v>61</v>
      </c>
      <c r="V951">
        <v>3.33</v>
      </c>
      <c r="W951">
        <v>4.19</v>
      </c>
      <c r="X951">
        <v>8.8</v>
      </c>
      <c r="Y951">
        <v>14.2</v>
      </c>
      <c r="Z951">
        <v>11.1</v>
      </c>
    </row>
    <row r="952" spans="1:26">
      <c r="A952" t="s">
        <v>1430</v>
      </c>
      <c r="B952">
        <v>22</v>
      </c>
      <c r="C952" t="s">
        <v>71</v>
      </c>
      <c r="D952" t="s">
        <v>39</v>
      </c>
      <c r="E952" t="s">
        <v>259</v>
      </c>
      <c r="F952" t="s">
        <v>150</v>
      </c>
      <c r="G952" t="s">
        <v>349</v>
      </c>
      <c r="H952" t="s">
        <v>29</v>
      </c>
      <c r="I952" t="s">
        <v>20</v>
      </c>
      <c r="J952" s="7">
        <v>44090</v>
      </c>
      <c r="K952" s="7">
        <v>44485</v>
      </c>
      <c r="L952" s="5">
        <v>150</v>
      </c>
      <c r="M952" t="s">
        <v>26</v>
      </c>
      <c r="N952" t="s">
        <v>336</v>
      </c>
      <c r="O952">
        <v>150</v>
      </c>
      <c r="P952" t="s">
        <v>211</v>
      </c>
      <c r="Q952" t="s">
        <v>27</v>
      </c>
      <c r="R952">
        <v>145</v>
      </c>
      <c r="S952">
        <v>0</v>
      </c>
      <c r="T952" t="s">
        <v>83</v>
      </c>
      <c r="U952" t="s">
        <v>61</v>
      </c>
      <c r="V952">
        <v>2.54</v>
      </c>
      <c r="W952">
        <v>4.87</v>
      </c>
      <c r="X952">
        <v>7.3</v>
      </c>
      <c r="Y952">
        <v>7.5</v>
      </c>
      <c r="Z952">
        <v>17.7</v>
      </c>
    </row>
    <row r="953" spans="1:26">
      <c r="A953" t="s">
        <v>1431</v>
      </c>
      <c r="B953">
        <v>30</v>
      </c>
      <c r="C953" t="s">
        <v>71</v>
      </c>
      <c r="D953" t="s">
        <v>42</v>
      </c>
      <c r="E953" t="s">
        <v>255</v>
      </c>
      <c r="F953" t="s">
        <v>277</v>
      </c>
      <c r="G953" t="s">
        <v>327</v>
      </c>
      <c r="H953" t="s">
        <v>30</v>
      </c>
      <c r="I953" t="s">
        <v>20</v>
      </c>
      <c r="J953" s="7">
        <v>43542</v>
      </c>
      <c r="K953" s="7">
        <v>43787</v>
      </c>
      <c r="L953" s="5">
        <v>200</v>
      </c>
      <c r="M953" t="s">
        <v>150</v>
      </c>
      <c r="N953" t="s">
        <v>481</v>
      </c>
      <c r="O953">
        <v>200</v>
      </c>
      <c r="P953" t="s">
        <v>206</v>
      </c>
      <c r="Q953" t="s">
        <v>28</v>
      </c>
      <c r="R953">
        <v>97</v>
      </c>
      <c r="S953">
        <v>1</v>
      </c>
      <c r="T953" t="s">
        <v>83</v>
      </c>
      <c r="U953" t="s">
        <v>63</v>
      </c>
      <c r="V953">
        <v>2.92</v>
      </c>
      <c r="W953">
        <v>1.28</v>
      </c>
      <c r="X953">
        <v>5.9</v>
      </c>
      <c r="Y953">
        <v>13.5</v>
      </c>
      <c r="Z953">
        <v>17.9</v>
      </c>
    </row>
    <row r="954" spans="1:26">
      <c r="A954" t="s">
        <v>1432</v>
      </c>
      <c r="B954">
        <v>47</v>
      </c>
      <c r="C954" t="s">
        <v>71</v>
      </c>
      <c r="D954" t="s">
        <v>44</v>
      </c>
      <c r="E954" t="s">
        <v>311</v>
      </c>
      <c r="F954" t="s">
        <v>150</v>
      </c>
      <c r="G954" t="s">
        <v>327</v>
      </c>
      <c r="H954" t="s">
        <v>34</v>
      </c>
      <c r="I954" t="s">
        <v>20</v>
      </c>
      <c r="J954" s="7">
        <v>43839</v>
      </c>
      <c r="K954" s="7">
        <v>44386</v>
      </c>
      <c r="L954" s="5">
        <v>150</v>
      </c>
      <c r="M954" t="s">
        <v>28</v>
      </c>
      <c r="N954" t="s">
        <v>369</v>
      </c>
      <c r="O954">
        <v>150</v>
      </c>
      <c r="P954" t="s">
        <v>205</v>
      </c>
      <c r="Q954" t="s">
        <v>27</v>
      </c>
      <c r="R954">
        <v>99</v>
      </c>
      <c r="S954">
        <v>0</v>
      </c>
      <c r="T954" t="s">
        <v>83</v>
      </c>
      <c r="U954" t="s">
        <v>63</v>
      </c>
      <c r="V954">
        <v>1.82</v>
      </c>
      <c r="W954">
        <v>4.31</v>
      </c>
      <c r="X954">
        <v>6</v>
      </c>
      <c r="Y954">
        <v>7</v>
      </c>
      <c r="Z954">
        <v>19.5</v>
      </c>
    </row>
    <row r="955" spans="1:26">
      <c r="A955" t="s">
        <v>1433</v>
      </c>
      <c r="B955">
        <v>38</v>
      </c>
      <c r="C955" t="s">
        <v>70</v>
      </c>
      <c r="D955" t="s">
        <v>39</v>
      </c>
      <c r="E955" t="s">
        <v>259</v>
      </c>
      <c r="F955" t="s">
        <v>150</v>
      </c>
      <c r="G955" t="s">
        <v>294</v>
      </c>
      <c r="H955" t="s">
        <v>29</v>
      </c>
      <c r="I955" t="s">
        <v>20</v>
      </c>
      <c r="J955" s="7">
        <v>45050</v>
      </c>
      <c r="K955" s="7">
        <v>45539</v>
      </c>
      <c r="L955" s="5">
        <v>100</v>
      </c>
      <c r="M955" t="s">
        <v>150</v>
      </c>
      <c r="N955" t="s">
        <v>1205</v>
      </c>
      <c r="O955">
        <v>100</v>
      </c>
      <c r="P955" t="s">
        <v>211</v>
      </c>
      <c r="Q955" t="s">
        <v>28</v>
      </c>
      <c r="R955">
        <v>180</v>
      </c>
      <c r="S955">
        <v>0</v>
      </c>
      <c r="T955" t="s">
        <v>80</v>
      </c>
      <c r="U955" t="s">
        <v>61</v>
      </c>
      <c r="V955">
        <v>3.05</v>
      </c>
      <c r="W955">
        <v>2.16</v>
      </c>
      <c r="X955">
        <v>5.2</v>
      </c>
      <c r="Y955">
        <v>21.4</v>
      </c>
      <c r="Z955">
        <v>8.2</v>
      </c>
    </row>
    <row r="956" spans="1:26">
      <c r="A956" t="s">
        <v>1434</v>
      </c>
      <c r="B956">
        <v>37</v>
      </c>
      <c r="C956" t="s">
        <v>44</v>
      </c>
      <c r="D956" t="s">
        <v>43</v>
      </c>
      <c r="E956" t="s">
        <v>150</v>
      </c>
      <c r="F956" t="s">
        <v>150</v>
      </c>
      <c r="G956" t="s">
        <v>274</v>
      </c>
      <c r="H956" t="s">
        <v>34</v>
      </c>
      <c r="I956" t="s">
        <v>18</v>
      </c>
      <c r="J956" s="7">
        <v>43902</v>
      </c>
      <c r="K956" s="7">
        <v>44116</v>
      </c>
      <c r="L956" s="5">
        <v>200</v>
      </c>
      <c r="M956" t="s">
        <v>26</v>
      </c>
      <c r="N956" t="s">
        <v>328</v>
      </c>
      <c r="O956">
        <v>200</v>
      </c>
      <c r="P956" t="s">
        <v>206</v>
      </c>
      <c r="Q956" t="s">
        <v>150</v>
      </c>
      <c r="R956">
        <v>84</v>
      </c>
      <c r="S956">
        <v>1</v>
      </c>
      <c r="T956" t="s">
        <v>78</v>
      </c>
      <c r="U956" t="s">
        <v>61</v>
      </c>
      <c r="V956">
        <v>1.77</v>
      </c>
      <c r="W956">
        <v>1.52</v>
      </c>
      <c r="X956">
        <v>3.7</v>
      </c>
      <c r="Y956">
        <v>20</v>
      </c>
      <c r="Z956">
        <v>11</v>
      </c>
    </row>
    <row r="957" spans="1:26">
      <c r="A957" t="s">
        <v>1435</v>
      </c>
      <c r="B957">
        <v>30</v>
      </c>
      <c r="C957" t="s">
        <v>71</v>
      </c>
      <c r="D957" t="s">
        <v>44</v>
      </c>
      <c r="E957" t="s">
        <v>255</v>
      </c>
      <c r="F957" t="s">
        <v>273</v>
      </c>
      <c r="G957" t="s">
        <v>362</v>
      </c>
      <c r="H957" t="s">
        <v>34</v>
      </c>
      <c r="I957" t="s">
        <v>20</v>
      </c>
      <c r="J957" s="7">
        <v>43812</v>
      </c>
      <c r="K957" s="7">
        <v>44087</v>
      </c>
      <c r="L957" s="5">
        <v>50</v>
      </c>
      <c r="M957" t="s">
        <v>28</v>
      </c>
      <c r="N957" t="s">
        <v>1205</v>
      </c>
      <c r="O957">
        <v>50</v>
      </c>
      <c r="P957" t="s">
        <v>211</v>
      </c>
      <c r="Q957" t="s">
        <v>27</v>
      </c>
      <c r="R957">
        <v>73</v>
      </c>
      <c r="S957">
        <v>0</v>
      </c>
      <c r="T957" t="s">
        <v>83</v>
      </c>
      <c r="U957" t="s">
        <v>63</v>
      </c>
      <c r="V957">
        <v>1.91</v>
      </c>
      <c r="W957">
        <v>1.66</v>
      </c>
      <c r="X957">
        <v>4</v>
      </c>
      <c r="Y957">
        <v>22.9</v>
      </c>
      <c r="Z957">
        <v>8.8</v>
      </c>
    </row>
    <row r="958" spans="1:26">
      <c r="A958" t="s">
        <v>1436</v>
      </c>
      <c r="B958">
        <v>22</v>
      </c>
      <c r="C958" t="s">
        <v>71</v>
      </c>
      <c r="D958" t="s">
        <v>44</v>
      </c>
      <c r="E958" t="s">
        <v>150</v>
      </c>
      <c r="F958" t="s">
        <v>150</v>
      </c>
      <c r="G958" t="s">
        <v>265</v>
      </c>
      <c r="H958" t="s">
        <v>34</v>
      </c>
      <c r="I958" t="s">
        <v>20</v>
      </c>
      <c r="J958" s="7">
        <v>43880</v>
      </c>
      <c r="K958" s="7">
        <v>44215</v>
      </c>
      <c r="L958" s="5">
        <v>100</v>
      </c>
      <c r="M958" t="s">
        <v>25</v>
      </c>
      <c r="N958" t="s">
        <v>521</v>
      </c>
      <c r="O958">
        <v>100</v>
      </c>
      <c r="P958" t="s">
        <v>211</v>
      </c>
      <c r="Q958" t="s">
        <v>27</v>
      </c>
      <c r="R958">
        <v>151</v>
      </c>
      <c r="S958">
        <v>0</v>
      </c>
      <c r="T958" t="s">
        <v>80</v>
      </c>
      <c r="U958" t="s">
        <v>61</v>
      </c>
      <c r="V958">
        <v>4.95</v>
      </c>
      <c r="W958">
        <v>2.94</v>
      </c>
      <c r="X958">
        <v>2.6</v>
      </c>
      <c r="Y958">
        <v>22</v>
      </c>
      <c r="Z958">
        <v>10.8</v>
      </c>
    </row>
    <row r="959" spans="1:26">
      <c r="A959" t="s">
        <v>1437</v>
      </c>
      <c r="B959">
        <v>21</v>
      </c>
      <c r="C959" t="s">
        <v>71</v>
      </c>
      <c r="D959" t="s">
        <v>42</v>
      </c>
      <c r="E959" t="s">
        <v>272</v>
      </c>
      <c r="F959" t="s">
        <v>264</v>
      </c>
      <c r="G959" t="s">
        <v>274</v>
      </c>
      <c r="H959" t="s">
        <v>29</v>
      </c>
      <c r="I959" t="s">
        <v>16</v>
      </c>
      <c r="J959" s="7">
        <v>44671</v>
      </c>
      <c r="K959" s="7">
        <v>45066</v>
      </c>
      <c r="L959" s="5">
        <v>50</v>
      </c>
      <c r="M959" t="s">
        <v>28</v>
      </c>
      <c r="N959" t="s">
        <v>300</v>
      </c>
      <c r="O959">
        <v>50</v>
      </c>
      <c r="P959" t="s">
        <v>211</v>
      </c>
      <c r="Q959" t="s">
        <v>26</v>
      </c>
      <c r="R959">
        <v>71</v>
      </c>
      <c r="S959">
        <v>0</v>
      </c>
      <c r="T959" t="s">
        <v>83</v>
      </c>
      <c r="U959" t="s">
        <v>63</v>
      </c>
      <c r="V959">
        <v>3.84</v>
      </c>
      <c r="W959">
        <v>4.93</v>
      </c>
      <c r="X959">
        <v>1.5</v>
      </c>
      <c r="Y959">
        <v>7.7</v>
      </c>
      <c r="Z959">
        <v>15.2</v>
      </c>
    </row>
    <row r="960" spans="1:26">
      <c r="A960" t="s">
        <v>1438</v>
      </c>
      <c r="B960">
        <v>44</v>
      </c>
      <c r="C960" t="s">
        <v>44</v>
      </c>
      <c r="D960" t="s">
        <v>43</v>
      </c>
      <c r="E960" t="s">
        <v>255</v>
      </c>
      <c r="F960" t="s">
        <v>268</v>
      </c>
      <c r="G960" t="s">
        <v>269</v>
      </c>
      <c r="H960" t="s">
        <v>29</v>
      </c>
      <c r="I960" t="s">
        <v>20</v>
      </c>
      <c r="J960" s="7">
        <v>44626</v>
      </c>
      <c r="K960" s="7">
        <v>44840</v>
      </c>
      <c r="L960" s="5">
        <v>50</v>
      </c>
      <c r="M960" t="s">
        <v>150</v>
      </c>
      <c r="N960" t="s">
        <v>573</v>
      </c>
      <c r="O960">
        <v>50</v>
      </c>
      <c r="P960" t="s">
        <v>211</v>
      </c>
      <c r="Q960" t="s">
        <v>28</v>
      </c>
      <c r="R960">
        <v>156</v>
      </c>
      <c r="S960">
        <v>0</v>
      </c>
      <c r="T960" t="s">
        <v>83</v>
      </c>
      <c r="U960" t="s">
        <v>63</v>
      </c>
      <c r="V960">
        <v>2.13</v>
      </c>
      <c r="W960">
        <v>1.74</v>
      </c>
      <c r="X960">
        <v>1.4</v>
      </c>
      <c r="Y960">
        <v>6.4</v>
      </c>
      <c r="Z960">
        <v>16.2</v>
      </c>
    </row>
    <row r="961" spans="1:26">
      <c r="A961" t="s">
        <v>1439</v>
      </c>
      <c r="B961">
        <v>26</v>
      </c>
      <c r="C961" t="s">
        <v>70</v>
      </c>
      <c r="D961" t="s">
        <v>42</v>
      </c>
      <c r="E961" t="s">
        <v>272</v>
      </c>
      <c r="F961" t="s">
        <v>273</v>
      </c>
      <c r="G961" t="s">
        <v>261</v>
      </c>
      <c r="H961" t="s">
        <v>29</v>
      </c>
      <c r="I961" t="s">
        <v>18</v>
      </c>
      <c r="J961" s="7">
        <v>43961</v>
      </c>
      <c r="K961" s="7">
        <v>44510</v>
      </c>
      <c r="L961" s="5">
        <v>100</v>
      </c>
      <c r="M961" t="s">
        <v>150</v>
      </c>
      <c r="N961" t="s">
        <v>286</v>
      </c>
      <c r="O961">
        <v>100</v>
      </c>
      <c r="P961" t="s">
        <v>206</v>
      </c>
      <c r="Q961" t="s">
        <v>27</v>
      </c>
      <c r="R961">
        <v>33</v>
      </c>
      <c r="S961">
        <v>1</v>
      </c>
      <c r="T961" t="s">
        <v>78</v>
      </c>
      <c r="U961" t="s">
        <v>61</v>
      </c>
      <c r="V961">
        <v>1.54</v>
      </c>
      <c r="W961">
        <v>2.87</v>
      </c>
      <c r="X961">
        <v>6.5</v>
      </c>
      <c r="Y961">
        <v>13.7</v>
      </c>
      <c r="Z961">
        <v>3.5</v>
      </c>
    </row>
    <row r="962" spans="1:26">
      <c r="A962" t="s">
        <v>1440</v>
      </c>
      <c r="B962">
        <v>41</v>
      </c>
      <c r="C962" t="s">
        <v>71</v>
      </c>
      <c r="D962" t="s">
        <v>44</v>
      </c>
      <c r="E962" t="s">
        <v>150</v>
      </c>
      <c r="F962" t="s">
        <v>150</v>
      </c>
      <c r="G962" t="s">
        <v>281</v>
      </c>
      <c r="H962" t="s">
        <v>29</v>
      </c>
      <c r="I962" t="s">
        <v>19</v>
      </c>
      <c r="J962" s="7">
        <v>44557</v>
      </c>
      <c r="K962" s="7">
        <v>44953</v>
      </c>
      <c r="L962" s="5">
        <v>200</v>
      </c>
      <c r="M962" t="s">
        <v>27</v>
      </c>
      <c r="N962" t="s">
        <v>266</v>
      </c>
      <c r="O962">
        <v>200</v>
      </c>
      <c r="P962" t="s">
        <v>206</v>
      </c>
      <c r="Q962" t="s">
        <v>26</v>
      </c>
      <c r="R962">
        <v>76</v>
      </c>
      <c r="S962">
        <v>1</v>
      </c>
      <c r="T962" t="s">
        <v>82</v>
      </c>
      <c r="U962" t="s">
        <v>61</v>
      </c>
      <c r="V962">
        <v>4.13</v>
      </c>
      <c r="W962">
        <v>1.04</v>
      </c>
      <c r="X962">
        <v>7.9</v>
      </c>
      <c r="Y962">
        <v>22.1</v>
      </c>
      <c r="Z962">
        <v>10.4</v>
      </c>
    </row>
    <row r="963" spans="1:26">
      <c r="A963" t="s">
        <v>1441</v>
      </c>
      <c r="B963">
        <v>58</v>
      </c>
      <c r="C963" t="s">
        <v>71</v>
      </c>
      <c r="D963" t="s">
        <v>41</v>
      </c>
      <c r="E963" t="s">
        <v>259</v>
      </c>
      <c r="F963" t="s">
        <v>277</v>
      </c>
      <c r="G963" t="s">
        <v>431</v>
      </c>
      <c r="H963" t="s">
        <v>32</v>
      </c>
      <c r="I963" t="s">
        <v>16</v>
      </c>
      <c r="J963" s="7">
        <v>43963</v>
      </c>
      <c r="K963" s="7">
        <v>44481</v>
      </c>
      <c r="L963" s="5">
        <v>150</v>
      </c>
      <c r="M963" t="s">
        <v>25</v>
      </c>
      <c r="N963" t="s">
        <v>442</v>
      </c>
      <c r="O963">
        <v>150</v>
      </c>
      <c r="P963" t="s">
        <v>206</v>
      </c>
      <c r="Q963" t="s">
        <v>26</v>
      </c>
      <c r="R963">
        <v>57</v>
      </c>
      <c r="S963">
        <v>1</v>
      </c>
      <c r="T963" t="s">
        <v>83</v>
      </c>
      <c r="U963" t="s">
        <v>63</v>
      </c>
      <c r="V963">
        <v>3.14</v>
      </c>
      <c r="W963">
        <v>2.91</v>
      </c>
      <c r="X963">
        <v>4.5</v>
      </c>
      <c r="Y963">
        <v>22</v>
      </c>
      <c r="Z963">
        <v>18.2</v>
      </c>
    </row>
    <row r="964" spans="1:26">
      <c r="A964" t="s">
        <v>1442</v>
      </c>
      <c r="B964">
        <v>58</v>
      </c>
      <c r="C964" t="s">
        <v>44</v>
      </c>
      <c r="D964" t="s">
        <v>44</v>
      </c>
      <c r="E964" t="s">
        <v>311</v>
      </c>
      <c r="F964" t="s">
        <v>260</v>
      </c>
      <c r="G964" t="s">
        <v>319</v>
      </c>
      <c r="H964" t="s">
        <v>34</v>
      </c>
      <c r="I964" t="s">
        <v>19</v>
      </c>
      <c r="J964" s="7">
        <v>45183</v>
      </c>
      <c r="K964" s="7">
        <v>45487</v>
      </c>
      <c r="L964" s="5">
        <v>200</v>
      </c>
      <c r="M964" t="s">
        <v>27</v>
      </c>
      <c r="N964" t="s">
        <v>386</v>
      </c>
      <c r="O964">
        <v>200</v>
      </c>
      <c r="P964" t="s">
        <v>211</v>
      </c>
      <c r="Q964" t="s">
        <v>27</v>
      </c>
      <c r="R964">
        <v>45</v>
      </c>
      <c r="S964">
        <v>0</v>
      </c>
      <c r="T964" t="s">
        <v>83</v>
      </c>
      <c r="U964" t="s">
        <v>61</v>
      </c>
      <c r="V964">
        <v>2.34</v>
      </c>
      <c r="W964">
        <v>3.46</v>
      </c>
      <c r="X964">
        <v>9.3</v>
      </c>
      <c r="Y964">
        <v>23.3</v>
      </c>
      <c r="Z964">
        <v>11.7</v>
      </c>
    </row>
    <row r="965" spans="1:26">
      <c r="A965" t="s">
        <v>1443</v>
      </c>
      <c r="B965">
        <v>57</v>
      </c>
      <c r="C965" t="s">
        <v>70</v>
      </c>
      <c r="D965" t="s">
        <v>39</v>
      </c>
      <c r="E965" t="s">
        <v>311</v>
      </c>
      <c r="F965" t="s">
        <v>150</v>
      </c>
      <c r="G965" t="s">
        <v>265</v>
      </c>
      <c r="H965" t="s">
        <v>34</v>
      </c>
      <c r="I965" t="s">
        <v>16</v>
      </c>
      <c r="J965" s="7">
        <v>44976</v>
      </c>
      <c r="K965" s="7">
        <v>45157</v>
      </c>
      <c r="L965" s="5">
        <v>200</v>
      </c>
      <c r="M965" t="s">
        <v>25</v>
      </c>
      <c r="N965" t="s">
        <v>518</v>
      </c>
      <c r="O965">
        <v>200</v>
      </c>
      <c r="P965" t="s">
        <v>211</v>
      </c>
      <c r="Q965" t="s">
        <v>150</v>
      </c>
      <c r="R965">
        <v>41</v>
      </c>
      <c r="S965">
        <v>0</v>
      </c>
      <c r="T965" t="s">
        <v>83</v>
      </c>
      <c r="U965" t="s">
        <v>61</v>
      </c>
      <c r="V965">
        <v>2.81</v>
      </c>
      <c r="W965">
        <v>2.11</v>
      </c>
      <c r="X965">
        <v>9.6</v>
      </c>
      <c r="Y965">
        <v>8.6</v>
      </c>
      <c r="Z965">
        <v>12.9</v>
      </c>
    </row>
    <row r="966" spans="1:26">
      <c r="A966" t="s">
        <v>1444</v>
      </c>
      <c r="B966">
        <v>85</v>
      </c>
      <c r="C966" t="s">
        <v>71</v>
      </c>
      <c r="D966" t="s">
        <v>43</v>
      </c>
      <c r="E966" t="s">
        <v>255</v>
      </c>
      <c r="F966" t="s">
        <v>150</v>
      </c>
      <c r="G966" t="s">
        <v>281</v>
      </c>
      <c r="H966" t="s">
        <v>30</v>
      </c>
      <c r="I966" t="s">
        <v>19</v>
      </c>
      <c r="J966" s="7">
        <v>43969</v>
      </c>
      <c r="K966" s="7">
        <v>44273</v>
      </c>
      <c r="L966" s="5">
        <v>200</v>
      </c>
      <c r="M966" t="s">
        <v>27</v>
      </c>
      <c r="N966" t="s">
        <v>576</v>
      </c>
      <c r="O966">
        <v>200</v>
      </c>
      <c r="P966" t="s">
        <v>206</v>
      </c>
      <c r="Q966" t="s">
        <v>28</v>
      </c>
      <c r="R966">
        <v>87</v>
      </c>
      <c r="S966">
        <v>1</v>
      </c>
      <c r="T966" t="s">
        <v>80</v>
      </c>
      <c r="U966" t="s">
        <v>61</v>
      </c>
      <c r="V966">
        <v>2.13</v>
      </c>
      <c r="W966">
        <v>2.12</v>
      </c>
      <c r="X966">
        <v>4.6</v>
      </c>
      <c r="Y966">
        <v>24</v>
      </c>
      <c r="Z966">
        <v>3.9</v>
      </c>
    </row>
    <row r="967" spans="1:26">
      <c r="A967" t="s">
        <v>1445</v>
      </c>
      <c r="B967">
        <v>58</v>
      </c>
      <c r="C967" t="s">
        <v>70</v>
      </c>
      <c r="D967" t="s">
        <v>43</v>
      </c>
      <c r="E967" t="s">
        <v>259</v>
      </c>
      <c r="F967" t="s">
        <v>277</v>
      </c>
      <c r="G967" t="s">
        <v>288</v>
      </c>
      <c r="H967" t="s">
        <v>29</v>
      </c>
      <c r="I967" t="s">
        <v>18</v>
      </c>
      <c r="J967" s="7">
        <v>44189</v>
      </c>
      <c r="K967" s="7">
        <v>44585</v>
      </c>
      <c r="L967" s="5">
        <v>100</v>
      </c>
      <c r="M967" t="s">
        <v>150</v>
      </c>
      <c r="N967" t="s">
        <v>257</v>
      </c>
      <c r="O967">
        <v>100</v>
      </c>
      <c r="P967" t="s">
        <v>206</v>
      </c>
      <c r="Q967" t="s">
        <v>26</v>
      </c>
      <c r="R967">
        <v>85</v>
      </c>
      <c r="S967">
        <v>1</v>
      </c>
      <c r="T967" t="s">
        <v>83</v>
      </c>
      <c r="U967" t="s">
        <v>63</v>
      </c>
      <c r="V967">
        <v>3.31</v>
      </c>
      <c r="W967">
        <v>1.33</v>
      </c>
      <c r="X967">
        <v>2.4</v>
      </c>
      <c r="Y967">
        <v>13.9</v>
      </c>
      <c r="Z967">
        <v>11.7</v>
      </c>
    </row>
    <row r="968" spans="1:26">
      <c r="A968" t="s">
        <v>1446</v>
      </c>
      <c r="B968">
        <v>20</v>
      </c>
      <c r="C968" t="s">
        <v>71</v>
      </c>
      <c r="D968" t="s">
        <v>44</v>
      </c>
      <c r="E968" t="s">
        <v>255</v>
      </c>
      <c r="F968" t="s">
        <v>264</v>
      </c>
      <c r="G968" t="s">
        <v>297</v>
      </c>
      <c r="H968" t="s">
        <v>34</v>
      </c>
      <c r="I968" t="s">
        <v>18</v>
      </c>
      <c r="J968" s="7">
        <v>44977</v>
      </c>
      <c r="K968" s="7">
        <v>45158</v>
      </c>
      <c r="L968" s="5">
        <v>50</v>
      </c>
      <c r="M968" t="s">
        <v>25</v>
      </c>
      <c r="N968" t="s">
        <v>608</v>
      </c>
      <c r="O968">
        <v>50</v>
      </c>
      <c r="P968" t="s">
        <v>206</v>
      </c>
      <c r="Q968" t="s">
        <v>27</v>
      </c>
      <c r="R968">
        <v>30</v>
      </c>
      <c r="S968">
        <v>1</v>
      </c>
      <c r="T968" t="s">
        <v>83</v>
      </c>
      <c r="U968" t="s">
        <v>63</v>
      </c>
      <c r="V968">
        <v>2.04</v>
      </c>
      <c r="W968">
        <v>2.27</v>
      </c>
      <c r="X968">
        <v>1.8</v>
      </c>
      <c r="Y968">
        <v>11.5</v>
      </c>
      <c r="Z968">
        <v>19.4</v>
      </c>
    </row>
    <row r="969" spans="1:26">
      <c r="A969" t="s">
        <v>1447</v>
      </c>
      <c r="B969">
        <v>67</v>
      </c>
      <c r="C969" t="s">
        <v>44</v>
      </c>
      <c r="D969" t="s">
        <v>41</v>
      </c>
      <c r="E969" t="s">
        <v>259</v>
      </c>
      <c r="F969" t="s">
        <v>260</v>
      </c>
      <c r="G969" t="s">
        <v>278</v>
      </c>
      <c r="H969" t="s">
        <v>34</v>
      </c>
      <c r="I969" t="s">
        <v>20</v>
      </c>
      <c r="J969" s="7">
        <v>44939</v>
      </c>
      <c r="K969" s="7">
        <v>45120</v>
      </c>
      <c r="L969" s="5">
        <v>150</v>
      </c>
      <c r="M969" t="s">
        <v>25</v>
      </c>
      <c r="N969" t="s">
        <v>1063</v>
      </c>
      <c r="O969">
        <v>150</v>
      </c>
      <c r="P969" t="s">
        <v>211</v>
      </c>
      <c r="Q969" t="s">
        <v>27</v>
      </c>
      <c r="R969">
        <v>96</v>
      </c>
      <c r="S969">
        <v>0</v>
      </c>
      <c r="T969" t="s">
        <v>82</v>
      </c>
      <c r="U969" t="s">
        <v>63</v>
      </c>
      <c r="V969">
        <v>4.78</v>
      </c>
      <c r="W969">
        <v>2.34</v>
      </c>
      <c r="X969">
        <v>6.1</v>
      </c>
      <c r="Y969">
        <v>22.4</v>
      </c>
      <c r="Z969">
        <v>3.1</v>
      </c>
    </row>
    <row r="970" spans="1:26">
      <c r="A970" t="s">
        <v>1448</v>
      </c>
      <c r="B970">
        <v>23</v>
      </c>
      <c r="C970" t="s">
        <v>71</v>
      </c>
      <c r="D970" t="s">
        <v>42</v>
      </c>
      <c r="E970" t="s">
        <v>255</v>
      </c>
      <c r="F970" t="s">
        <v>150</v>
      </c>
      <c r="G970" t="s">
        <v>274</v>
      </c>
      <c r="H970" t="s">
        <v>32</v>
      </c>
      <c r="I970" t="s">
        <v>18</v>
      </c>
      <c r="J970" s="7">
        <v>44016</v>
      </c>
      <c r="K970" s="7">
        <v>44231</v>
      </c>
      <c r="L970" s="5">
        <v>100</v>
      </c>
      <c r="M970" t="s">
        <v>28</v>
      </c>
      <c r="N970" t="s">
        <v>743</v>
      </c>
      <c r="O970">
        <v>100</v>
      </c>
      <c r="P970" t="s">
        <v>206</v>
      </c>
      <c r="Q970" t="s">
        <v>150</v>
      </c>
      <c r="R970">
        <v>53</v>
      </c>
      <c r="S970">
        <v>1</v>
      </c>
      <c r="T970" t="s">
        <v>80</v>
      </c>
      <c r="U970" t="s">
        <v>61</v>
      </c>
      <c r="V970">
        <v>4.24</v>
      </c>
      <c r="W970">
        <v>4.79</v>
      </c>
      <c r="X970">
        <v>1.8</v>
      </c>
      <c r="Y970">
        <v>8.9</v>
      </c>
      <c r="Z970">
        <v>19.3</v>
      </c>
    </row>
    <row r="971" spans="1:26">
      <c r="A971" t="s">
        <v>1449</v>
      </c>
      <c r="B971">
        <v>51</v>
      </c>
      <c r="C971" t="s">
        <v>70</v>
      </c>
      <c r="D971" t="s">
        <v>44</v>
      </c>
      <c r="E971" t="s">
        <v>259</v>
      </c>
      <c r="F971" t="s">
        <v>150</v>
      </c>
      <c r="G971" t="s">
        <v>362</v>
      </c>
      <c r="H971" t="s">
        <v>30</v>
      </c>
      <c r="I971" t="s">
        <v>16</v>
      </c>
      <c r="J971" s="7">
        <v>44144</v>
      </c>
      <c r="K971" s="7">
        <v>44690</v>
      </c>
      <c r="L971" s="5">
        <v>50</v>
      </c>
      <c r="M971" t="s">
        <v>150</v>
      </c>
      <c r="N971" t="s">
        <v>776</v>
      </c>
      <c r="O971">
        <v>50</v>
      </c>
      <c r="P971" t="s">
        <v>211</v>
      </c>
      <c r="Q971" t="s">
        <v>26</v>
      </c>
      <c r="R971">
        <v>101</v>
      </c>
      <c r="S971">
        <v>0</v>
      </c>
      <c r="T971" t="s">
        <v>82</v>
      </c>
      <c r="U971" t="s">
        <v>61</v>
      </c>
      <c r="V971">
        <v>3.15</v>
      </c>
      <c r="W971">
        <v>1.06</v>
      </c>
      <c r="X971">
        <v>3.3</v>
      </c>
      <c r="Y971">
        <v>14.1</v>
      </c>
      <c r="Z971">
        <v>14.8</v>
      </c>
    </row>
    <row r="972" spans="1:26">
      <c r="A972" t="s">
        <v>1450</v>
      </c>
      <c r="B972">
        <v>21</v>
      </c>
      <c r="C972" t="s">
        <v>70</v>
      </c>
      <c r="D972" t="s">
        <v>39</v>
      </c>
      <c r="E972" t="s">
        <v>272</v>
      </c>
      <c r="F972" t="s">
        <v>150</v>
      </c>
      <c r="G972" t="s">
        <v>306</v>
      </c>
      <c r="H972" t="s">
        <v>32</v>
      </c>
      <c r="I972" t="s">
        <v>19</v>
      </c>
      <c r="J972" s="7">
        <v>45269</v>
      </c>
      <c r="K972" s="7">
        <v>45635</v>
      </c>
      <c r="L972" s="5">
        <v>200</v>
      </c>
      <c r="M972" t="s">
        <v>26</v>
      </c>
      <c r="N972" t="s">
        <v>334</v>
      </c>
      <c r="O972">
        <v>200</v>
      </c>
      <c r="P972" t="s">
        <v>206</v>
      </c>
      <c r="Q972" t="s">
        <v>25</v>
      </c>
      <c r="R972">
        <v>65</v>
      </c>
      <c r="S972">
        <v>1</v>
      </c>
      <c r="T972" t="s">
        <v>81</v>
      </c>
      <c r="U972" t="s">
        <v>63</v>
      </c>
      <c r="V972">
        <v>3.93</v>
      </c>
      <c r="W972">
        <v>4.98</v>
      </c>
      <c r="X972">
        <v>3.6</v>
      </c>
      <c r="Y972">
        <v>15.7</v>
      </c>
      <c r="Z972">
        <v>12.1</v>
      </c>
    </row>
    <row r="973" spans="1:26">
      <c r="A973" t="s">
        <v>1451</v>
      </c>
      <c r="B973">
        <v>35</v>
      </c>
      <c r="C973" t="s">
        <v>44</v>
      </c>
      <c r="D973" t="s">
        <v>44</v>
      </c>
      <c r="E973" t="s">
        <v>311</v>
      </c>
      <c r="F973" t="s">
        <v>150</v>
      </c>
      <c r="G973" t="s">
        <v>281</v>
      </c>
      <c r="H973" t="s">
        <v>30</v>
      </c>
      <c r="I973" t="s">
        <v>18</v>
      </c>
      <c r="J973" s="7">
        <v>45158</v>
      </c>
      <c r="K973" s="7">
        <v>45708</v>
      </c>
      <c r="L973" s="5">
        <v>150</v>
      </c>
      <c r="M973" t="s">
        <v>26</v>
      </c>
      <c r="N973" t="s">
        <v>876</v>
      </c>
      <c r="O973">
        <v>150</v>
      </c>
      <c r="P973" t="s">
        <v>206</v>
      </c>
      <c r="Q973" t="s">
        <v>28</v>
      </c>
      <c r="R973">
        <v>165</v>
      </c>
      <c r="S973">
        <v>1</v>
      </c>
      <c r="T973" t="s">
        <v>81</v>
      </c>
      <c r="U973" t="s">
        <v>63</v>
      </c>
      <c r="V973">
        <v>2.62</v>
      </c>
      <c r="W973">
        <v>1.68</v>
      </c>
      <c r="X973">
        <v>9.8</v>
      </c>
      <c r="Y973">
        <v>21.4</v>
      </c>
      <c r="Z973">
        <v>11.5</v>
      </c>
    </row>
    <row r="974" spans="1:26">
      <c r="A974" t="s">
        <v>1452</v>
      </c>
      <c r="B974">
        <v>81</v>
      </c>
      <c r="C974" t="s">
        <v>70</v>
      </c>
      <c r="D974" t="s">
        <v>39</v>
      </c>
      <c r="E974" t="s">
        <v>259</v>
      </c>
      <c r="F974" t="s">
        <v>264</v>
      </c>
      <c r="G974" t="s">
        <v>278</v>
      </c>
      <c r="H974" t="s">
        <v>34</v>
      </c>
      <c r="I974" t="s">
        <v>19</v>
      </c>
      <c r="J974" s="7">
        <v>43933</v>
      </c>
      <c r="K974" s="7">
        <v>44328</v>
      </c>
      <c r="L974" s="5">
        <v>50</v>
      </c>
      <c r="M974" t="s">
        <v>150</v>
      </c>
      <c r="N974" t="s">
        <v>704</v>
      </c>
      <c r="O974">
        <v>50</v>
      </c>
      <c r="P974" t="s">
        <v>206</v>
      </c>
      <c r="Q974" t="s">
        <v>25</v>
      </c>
      <c r="R974">
        <v>54</v>
      </c>
      <c r="S974">
        <v>1</v>
      </c>
      <c r="T974" t="s">
        <v>80</v>
      </c>
      <c r="U974" t="s">
        <v>63</v>
      </c>
      <c r="V974">
        <v>3.41</v>
      </c>
      <c r="W974">
        <v>1.91</v>
      </c>
      <c r="X974">
        <v>5.9</v>
      </c>
      <c r="Y974">
        <v>18.5</v>
      </c>
      <c r="Z974">
        <v>11.8</v>
      </c>
    </row>
    <row r="975" spans="1:26">
      <c r="A975" t="s">
        <v>1453</v>
      </c>
      <c r="B975">
        <v>60</v>
      </c>
      <c r="C975" t="s">
        <v>71</v>
      </c>
      <c r="D975" t="s">
        <v>44</v>
      </c>
      <c r="E975" t="s">
        <v>311</v>
      </c>
      <c r="F975" t="s">
        <v>150</v>
      </c>
      <c r="G975" t="s">
        <v>294</v>
      </c>
      <c r="H975" t="s">
        <v>30</v>
      </c>
      <c r="I975" t="s">
        <v>19</v>
      </c>
      <c r="J975" s="7">
        <v>44470</v>
      </c>
      <c r="K975" s="7">
        <v>44774</v>
      </c>
      <c r="L975" s="5">
        <v>200</v>
      </c>
      <c r="M975" t="s">
        <v>28</v>
      </c>
      <c r="N975" t="s">
        <v>347</v>
      </c>
      <c r="O975">
        <v>200</v>
      </c>
      <c r="P975" t="s">
        <v>211</v>
      </c>
      <c r="Q975" t="s">
        <v>25</v>
      </c>
      <c r="R975">
        <v>74</v>
      </c>
      <c r="S975">
        <v>0</v>
      </c>
      <c r="T975" t="s">
        <v>78</v>
      </c>
      <c r="U975" t="s">
        <v>63</v>
      </c>
      <c r="V975">
        <v>4.96</v>
      </c>
      <c r="W975">
        <v>3.45</v>
      </c>
      <c r="X975">
        <v>4.3</v>
      </c>
      <c r="Y975">
        <v>19.9</v>
      </c>
      <c r="Z975">
        <v>5.9</v>
      </c>
    </row>
    <row r="976" spans="1:26">
      <c r="A976" t="s">
        <v>1454</v>
      </c>
      <c r="B976">
        <v>51</v>
      </c>
      <c r="C976" t="s">
        <v>70</v>
      </c>
      <c r="D976" t="s">
        <v>43</v>
      </c>
      <c r="E976" t="s">
        <v>311</v>
      </c>
      <c r="F976" t="s">
        <v>273</v>
      </c>
      <c r="G976" t="s">
        <v>319</v>
      </c>
      <c r="H976" t="s">
        <v>30</v>
      </c>
      <c r="I976" t="s">
        <v>18</v>
      </c>
      <c r="J976" s="7">
        <v>44593</v>
      </c>
      <c r="K976" s="7">
        <v>44805</v>
      </c>
      <c r="L976" s="5">
        <v>100</v>
      </c>
      <c r="M976" t="s">
        <v>26</v>
      </c>
      <c r="N976" t="s">
        <v>596</v>
      </c>
      <c r="O976">
        <v>100</v>
      </c>
      <c r="P976" t="s">
        <v>205</v>
      </c>
      <c r="Q976" t="s">
        <v>27</v>
      </c>
      <c r="R976">
        <v>47</v>
      </c>
      <c r="S976">
        <v>0</v>
      </c>
      <c r="T976" t="s">
        <v>81</v>
      </c>
      <c r="U976" t="s">
        <v>63</v>
      </c>
      <c r="V976">
        <v>2.54</v>
      </c>
      <c r="W976">
        <v>2.39</v>
      </c>
      <c r="X976">
        <v>4.9</v>
      </c>
      <c r="Y976">
        <v>20.1</v>
      </c>
      <c r="Z976">
        <v>11.2</v>
      </c>
    </row>
    <row r="977" spans="1:26">
      <c r="A977" t="s">
        <v>1455</v>
      </c>
      <c r="B977">
        <v>34</v>
      </c>
      <c r="C977" t="s">
        <v>71</v>
      </c>
      <c r="D977" t="s">
        <v>39</v>
      </c>
      <c r="E977" t="s">
        <v>255</v>
      </c>
      <c r="F977" t="s">
        <v>150</v>
      </c>
      <c r="G977" t="s">
        <v>312</v>
      </c>
      <c r="H977" t="s">
        <v>34</v>
      </c>
      <c r="I977" t="s">
        <v>20</v>
      </c>
      <c r="J977" s="7">
        <v>44720</v>
      </c>
      <c r="K977" s="7">
        <v>45268</v>
      </c>
      <c r="L977" s="5">
        <v>150</v>
      </c>
      <c r="M977" t="s">
        <v>27</v>
      </c>
      <c r="N977" t="s">
        <v>815</v>
      </c>
      <c r="O977">
        <v>150</v>
      </c>
      <c r="P977" t="s">
        <v>205</v>
      </c>
      <c r="Q977" t="s">
        <v>26</v>
      </c>
      <c r="R977">
        <v>66</v>
      </c>
      <c r="S977">
        <v>0</v>
      </c>
      <c r="T977" t="s">
        <v>82</v>
      </c>
      <c r="U977" t="s">
        <v>61</v>
      </c>
      <c r="V977">
        <v>4.18</v>
      </c>
      <c r="W977">
        <v>3.31</v>
      </c>
      <c r="X977">
        <v>4.1</v>
      </c>
      <c r="Y977">
        <v>20.6</v>
      </c>
      <c r="Z977">
        <v>7.1</v>
      </c>
    </row>
    <row r="978" spans="1:26">
      <c r="A978" t="s">
        <v>1456</v>
      </c>
      <c r="B978">
        <v>46</v>
      </c>
      <c r="C978" t="s">
        <v>44</v>
      </c>
      <c r="D978" t="s">
        <v>39</v>
      </c>
      <c r="E978" t="s">
        <v>272</v>
      </c>
      <c r="F978" t="s">
        <v>150</v>
      </c>
      <c r="G978" t="s">
        <v>312</v>
      </c>
      <c r="H978" t="s">
        <v>29</v>
      </c>
      <c r="I978" t="s">
        <v>16</v>
      </c>
      <c r="J978" s="7">
        <v>44287</v>
      </c>
      <c r="K978" s="7">
        <v>44621</v>
      </c>
      <c r="L978" s="5">
        <v>200</v>
      </c>
      <c r="M978" t="s">
        <v>26</v>
      </c>
      <c r="N978" t="s">
        <v>289</v>
      </c>
      <c r="O978">
        <v>200</v>
      </c>
      <c r="P978" t="s">
        <v>211</v>
      </c>
      <c r="Q978" t="s">
        <v>26</v>
      </c>
      <c r="R978">
        <v>119</v>
      </c>
      <c r="S978">
        <v>0</v>
      </c>
      <c r="T978" t="s">
        <v>80</v>
      </c>
      <c r="U978" t="s">
        <v>61</v>
      </c>
      <c r="V978">
        <v>1.9</v>
      </c>
      <c r="W978">
        <v>3.02</v>
      </c>
      <c r="X978">
        <v>3.3</v>
      </c>
      <c r="Y978">
        <v>6.2</v>
      </c>
      <c r="Z978">
        <v>14</v>
      </c>
    </row>
    <row r="979" spans="1:26">
      <c r="A979" t="s">
        <v>1457</v>
      </c>
      <c r="B979">
        <v>28</v>
      </c>
      <c r="C979" t="s">
        <v>70</v>
      </c>
      <c r="D979" t="s">
        <v>43</v>
      </c>
      <c r="E979" t="s">
        <v>255</v>
      </c>
      <c r="F979" t="s">
        <v>264</v>
      </c>
      <c r="G979" t="s">
        <v>284</v>
      </c>
      <c r="H979" t="s">
        <v>30</v>
      </c>
      <c r="I979" t="s">
        <v>20</v>
      </c>
      <c r="J979" s="7">
        <v>44027</v>
      </c>
      <c r="K979" s="7">
        <v>44211</v>
      </c>
      <c r="L979" s="5">
        <v>200</v>
      </c>
      <c r="M979" t="s">
        <v>27</v>
      </c>
      <c r="N979" t="s">
        <v>307</v>
      </c>
      <c r="O979">
        <v>200</v>
      </c>
      <c r="P979" t="s">
        <v>211</v>
      </c>
      <c r="Q979" t="s">
        <v>26</v>
      </c>
      <c r="R979">
        <v>63</v>
      </c>
      <c r="S979">
        <v>0</v>
      </c>
      <c r="T979" t="s">
        <v>81</v>
      </c>
      <c r="U979" t="s">
        <v>63</v>
      </c>
      <c r="V979">
        <v>3.04</v>
      </c>
      <c r="W979">
        <v>2.78</v>
      </c>
      <c r="X979">
        <v>9.7</v>
      </c>
      <c r="Y979">
        <v>16.3</v>
      </c>
      <c r="Z979">
        <v>17.7</v>
      </c>
    </row>
    <row r="980" spans="1:26">
      <c r="A980" t="s">
        <v>1458</v>
      </c>
      <c r="B980">
        <v>74</v>
      </c>
      <c r="C980" t="s">
        <v>70</v>
      </c>
      <c r="D980" t="s">
        <v>44</v>
      </c>
      <c r="E980" t="s">
        <v>272</v>
      </c>
      <c r="F980" t="s">
        <v>150</v>
      </c>
      <c r="G980" t="s">
        <v>322</v>
      </c>
      <c r="H980" t="s">
        <v>32</v>
      </c>
      <c r="I980" t="s">
        <v>20</v>
      </c>
      <c r="J980" s="7">
        <v>44614</v>
      </c>
      <c r="K980" s="7">
        <v>44856</v>
      </c>
      <c r="L980" s="5">
        <v>50</v>
      </c>
      <c r="M980" t="s">
        <v>26</v>
      </c>
      <c r="N980" t="s">
        <v>371</v>
      </c>
      <c r="O980">
        <v>50</v>
      </c>
      <c r="P980" t="s">
        <v>211</v>
      </c>
      <c r="Q980" t="s">
        <v>28</v>
      </c>
      <c r="R980">
        <v>160</v>
      </c>
      <c r="S980">
        <v>0</v>
      </c>
      <c r="T980" t="s">
        <v>81</v>
      </c>
      <c r="U980" t="s">
        <v>61</v>
      </c>
      <c r="V980">
        <v>1.56</v>
      </c>
      <c r="W980">
        <v>3.28</v>
      </c>
      <c r="X980">
        <v>8.8</v>
      </c>
      <c r="Y980">
        <v>16.5</v>
      </c>
      <c r="Z980">
        <v>15.2</v>
      </c>
    </row>
    <row r="981" spans="1:26">
      <c r="A981" t="s">
        <v>1459</v>
      </c>
      <c r="B981">
        <v>56</v>
      </c>
      <c r="C981" t="s">
        <v>71</v>
      </c>
      <c r="D981" t="s">
        <v>41</v>
      </c>
      <c r="E981" t="s">
        <v>259</v>
      </c>
      <c r="F981" t="s">
        <v>264</v>
      </c>
      <c r="G981" t="s">
        <v>278</v>
      </c>
      <c r="H981" t="s">
        <v>32</v>
      </c>
      <c r="I981" t="s">
        <v>16</v>
      </c>
      <c r="J981" s="7">
        <v>44544</v>
      </c>
      <c r="K981" s="7">
        <v>45060</v>
      </c>
      <c r="L981" s="5">
        <v>200</v>
      </c>
      <c r="M981" t="s">
        <v>26</v>
      </c>
      <c r="N981" t="s">
        <v>704</v>
      </c>
      <c r="O981">
        <v>200</v>
      </c>
      <c r="P981" t="s">
        <v>211</v>
      </c>
      <c r="Q981" t="s">
        <v>27</v>
      </c>
      <c r="R981">
        <v>94</v>
      </c>
      <c r="S981">
        <v>0</v>
      </c>
      <c r="T981" t="s">
        <v>80</v>
      </c>
      <c r="U981" t="s">
        <v>61</v>
      </c>
      <c r="V981">
        <v>2.49</v>
      </c>
      <c r="W981">
        <v>1.37</v>
      </c>
      <c r="X981">
        <v>5.1</v>
      </c>
      <c r="Y981">
        <v>13.1</v>
      </c>
      <c r="Z981">
        <v>17.7</v>
      </c>
    </row>
    <row r="982" spans="1:26">
      <c r="A982" t="s">
        <v>1460</v>
      </c>
      <c r="B982">
        <v>38</v>
      </c>
      <c r="C982" t="s">
        <v>70</v>
      </c>
      <c r="D982" t="s">
        <v>39</v>
      </c>
      <c r="E982" t="s">
        <v>255</v>
      </c>
      <c r="F982" t="s">
        <v>150</v>
      </c>
      <c r="G982" t="s">
        <v>312</v>
      </c>
      <c r="H982" t="s">
        <v>34</v>
      </c>
      <c r="I982" t="s">
        <v>19</v>
      </c>
      <c r="J982" s="7">
        <v>44527</v>
      </c>
      <c r="K982" s="7">
        <v>44739</v>
      </c>
      <c r="L982" s="5">
        <v>50</v>
      </c>
      <c r="M982" t="s">
        <v>25</v>
      </c>
      <c r="N982" t="s">
        <v>880</v>
      </c>
      <c r="O982">
        <v>50</v>
      </c>
      <c r="P982" t="s">
        <v>206</v>
      </c>
      <c r="Q982" t="s">
        <v>25</v>
      </c>
      <c r="R982">
        <v>170</v>
      </c>
      <c r="S982">
        <v>1</v>
      </c>
      <c r="T982" t="s">
        <v>83</v>
      </c>
      <c r="U982" t="s">
        <v>63</v>
      </c>
      <c r="V982">
        <v>1.98</v>
      </c>
      <c r="W982">
        <v>4.87</v>
      </c>
      <c r="X982">
        <v>9.6</v>
      </c>
      <c r="Y982">
        <v>10.5</v>
      </c>
      <c r="Z982">
        <v>8.9</v>
      </c>
    </row>
    <row r="983" spans="1:26">
      <c r="A983" t="s">
        <v>1461</v>
      </c>
      <c r="B983">
        <v>77</v>
      </c>
      <c r="C983" t="s">
        <v>71</v>
      </c>
      <c r="D983" t="s">
        <v>42</v>
      </c>
      <c r="E983" t="s">
        <v>272</v>
      </c>
      <c r="F983" t="s">
        <v>273</v>
      </c>
      <c r="G983" t="s">
        <v>256</v>
      </c>
      <c r="H983" t="s">
        <v>32</v>
      </c>
      <c r="I983" t="s">
        <v>18</v>
      </c>
      <c r="J983" s="7">
        <v>43725</v>
      </c>
      <c r="K983" s="7">
        <v>44029</v>
      </c>
      <c r="L983" s="5">
        <v>200</v>
      </c>
      <c r="M983" t="s">
        <v>28</v>
      </c>
      <c r="N983" t="s">
        <v>400</v>
      </c>
      <c r="O983">
        <v>200</v>
      </c>
      <c r="P983" t="s">
        <v>206</v>
      </c>
      <c r="Q983" t="s">
        <v>150</v>
      </c>
      <c r="R983">
        <v>55</v>
      </c>
      <c r="S983">
        <v>1</v>
      </c>
      <c r="T983" t="s">
        <v>83</v>
      </c>
      <c r="U983" t="s">
        <v>63</v>
      </c>
      <c r="V983">
        <v>4.58</v>
      </c>
      <c r="W983">
        <v>4.87</v>
      </c>
      <c r="X983">
        <v>5</v>
      </c>
      <c r="Y983">
        <v>11.8</v>
      </c>
      <c r="Z983">
        <v>11.9</v>
      </c>
    </row>
    <row r="984" spans="1:26">
      <c r="A984" t="s">
        <v>1462</v>
      </c>
      <c r="B984">
        <v>41</v>
      </c>
      <c r="C984" t="s">
        <v>71</v>
      </c>
      <c r="D984" t="s">
        <v>41</v>
      </c>
      <c r="E984" t="s">
        <v>150</v>
      </c>
      <c r="F984" t="s">
        <v>264</v>
      </c>
      <c r="G984" t="s">
        <v>294</v>
      </c>
      <c r="H984" t="s">
        <v>30</v>
      </c>
      <c r="I984" t="s">
        <v>18</v>
      </c>
      <c r="J984" s="7">
        <v>43519</v>
      </c>
      <c r="K984" s="7">
        <v>43884</v>
      </c>
      <c r="L984" s="5">
        <v>50</v>
      </c>
      <c r="M984" t="s">
        <v>25</v>
      </c>
      <c r="N984" t="s">
        <v>262</v>
      </c>
      <c r="O984">
        <v>50</v>
      </c>
      <c r="P984" t="s">
        <v>206</v>
      </c>
      <c r="Q984" t="s">
        <v>27</v>
      </c>
      <c r="R984">
        <v>66</v>
      </c>
      <c r="S984">
        <v>1</v>
      </c>
      <c r="T984" t="s">
        <v>83</v>
      </c>
      <c r="U984" t="s">
        <v>61</v>
      </c>
      <c r="V984">
        <v>3.75</v>
      </c>
      <c r="W984">
        <v>2.09</v>
      </c>
      <c r="X984">
        <v>7.6</v>
      </c>
      <c r="Y984">
        <v>6.9</v>
      </c>
      <c r="Z984">
        <v>3.8</v>
      </c>
    </row>
    <row r="985" spans="1:26">
      <c r="A985" t="s">
        <v>1463</v>
      </c>
      <c r="B985">
        <v>24</v>
      </c>
      <c r="C985" t="s">
        <v>71</v>
      </c>
      <c r="D985" t="s">
        <v>41</v>
      </c>
      <c r="E985" t="s">
        <v>259</v>
      </c>
      <c r="F985" t="s">
        <v>273</v>
      </c>
      <c r="G985" t="s">
        <v>284</v>
      </c>
      <c r="H985" t="s">
        <v>34</v>
      </c>
      <c r="I985" t="s">
        <v>16</v>
      </c>
      <c r="J985" s="7">
        <v>43522</v>
      </c>
      <c r="K985" s="7">
        <v>43825</v>
      </c>
      <c r="L985" s="5">
        <v>50</v>
      </c>
      <c r="M985" t="s">
        <v>26</v>
      </c>
      <c r="N985" t="s">
        <v>282</v>
      </c>
      <c r="O985">
        <v>50</v>
      </c>
      <c r="P985" t="s">
        <v>211</v>
      </c>
      <c r="Q985" t="s">
        <v>28</v>
      </c>
      <c r="R985">
        <v>91</v>
      </c>
      <c r="S985">
        <v>0</v>
      </c>
      <c r="T985" t="s">
        <v>83</v>
      </c>
      <c r="U985" t="s">
        <v>61</v>
      </c>
      <c r="V985">
        <v>2.55</v>
      </c>
      <c r="W985">
        <v>2.41</v>
      </c>
      <c r="X985">
        <v>3.8</v>
      </c>
      <c r="Y985">
        <v>14.8</v>
      </c>
      <c r="Z985">
        <v>8.5</v>
      </c>
    </row>
    <row r="986" spans="1:26">
      <c r="A986" t="s">
        <v>1464</v>
      </c>
      <c r="B986">
        <v>30</v>
      </c>
      <c r="C986" t="s">
        <v>44</v>
      </c>
      <c r="D986" t="s">
        <v>43</v>
      </c>
      <c r="E986" t="s">
        <v>255</v>
      </c>
      <c r="F986" t="s">
        <v>277</v>
      </c>
      <c r="G986" t="s">
        <v>297</v>
      </c>
      <c r="H986" t="s">
        <v>30</v>
      </c>
      <c r="I986" t="s">
        <v>19</v>
      </c>
      <c r="J986" s="7">
        <v>44950</v>
      </c>
      <c r="K986" s="7">
        <v>45375</v>
      </c>
      <c r="L986" s="5">
        <v>150</v>
      </c>
      <c r="M986" t="s">
        <v>25</v>
      </c>
      <c r="N986" t="s">
        <v>292</v>
      </c>
      <c r="O986">
        <v>150</v>
      </c>
      <c r="P986" t="s">
        <v>211</v>
      </c>
      <c r="Q986" t="s">
        <v>27</v>
      </c>
      <c r="R986">
        <v>164</v>
      </c>
      <c r="S986">
        <v>0</v>
      </c>
      <c r="T986" t="s">
        <v>81</v>
      </c>
      <c r="U986" t="s">
        <v>61</v>
      </c>
      <c r="V986">
        <v>1.77</v>
      </c>
      <c r="W986">
        <v>2.24</v>
      </c>
      <c r="X986">
        <v>9.8</v>
      </c>
      <c r="Y986">
        <v>13.4</v>
      </c>
      <c r="Z986">
        <v>10.6</v>
      </c>
    </row>
    <row r="987" spans="1:26">
      <c r="A987" t="s">
        <v>1465</v>
      </c>
      <c r="B987">
        <v>19</v>
      </c>
      <c r="C987" t="s">
        <v>44</v>
      </c>
      <c r="D987" t="s">
        <v>42</v>
      </c>
      <c r="E987" t="s">
        <v>311</v>
      </c>
      <c r="F987" t="s">
        <v>260</v>
      </c>
      <c r="G987" t="s">
        <v>256</v>
      </c>
      <c r="H987" t="s">
        <v>30</v>
      </c>
      <c r="I987" t="s">
        <v>19</v>
      </c>
      <c r="J987" s="7">
        <v>45008</v>
      </c>
      <c r="K987" s="7">
        <v>45222</v>
      </c>
      <c r="L987" s="5">
        <v>50</v>
      </c>
      <c r="M987" t="s">
        <v>26</v>
      </c>
      <c r="N987" t="s">
        <v>743</v>
      </c>
      <c r="O987">
        <v>50</v>
      </c>
      <c r="P987" t="s">
        <v>205</v>
      </c>
      <c r="Q987" t="s">
        <v>28</v>
      </c>
      <c r="R987">
        <v>150</v>
      </c>
      <c r="S987">
        <v>0</v>
      </c>
      <c r="T987" t="s">
        <v>78</v>
      </c>
      <c r="U987" t="s">
        <v>61</v>
      </c>
      <c r="V987">
        <v>3.31</v>
      </c>
      <c r="W987">
        <v>4.93</v>
      </c>
      <c r="X987">
        <v>3.2</v>
      </c>
      <c r="Y987">
        <v>18.3</v>
      </c>
      <c r="Z987">
        <v>15.2</v>
      </c>
    </row>
    <row r="988" spans="1:26">
      <c r="A988" t="s">
        <v>1466</v>
      </c>
      <c r="B988">
        <v>25</v>
      </c>
      <c r="C988" t="s">
        <v>44</v>
      </c>
      <c r="D988" t="s">
        <v>41</v>
      </c>
      <c r="E988" t="s">
        <v>272</v>
      </c>
      <c r="F988" t="s">
        <v>260</v>
      </c>
      <c r="G988" t="s">
        <v>284</v>
      </c>
      <c r="H988" t="s">
        <v>34</v>
      </c>
      <c r="I988" t="s">
        <v>16</v>
      </c>
      <c r="J988" s="7">
        <v>45277</v>
      </c>
      <c r="K988" s="7">
        <v>45490</v>
      </c>
      <c r="L988" s="5">
        <v>200</v>
      </c>
      <c r="M988" t="s">
        <v>26</v>
      </c>
      <c r="N988" t="s">
        <v>404</v>
      </c>
      <c r="O988">
        <v>200</v>
      </c>
      <c r="P988" t="s">
        <v>205</v>
      </c>
      <c r="Q988" t="s">
        <v>25</v>
      </c>
      <c r="R988">
        <v>180</v>
      </c>
      <c r="S988">
        <v>0</v>
      </c>
      <c r="T988" t="s">
        <v>82</v>
      </c>
      <c r="U988" t="s">
        <v>61</v>
      </c>
      <c r="V988">
        <v>3.43</v>
      </c>
      <c r="W988">
        <v>1.35</v>
      </c>
      <c r="X988">
        <v>7.1</v>
      </c>
      <c r="Y988">
        <v>7.2</v>
      </c>
      <c r="Z988">
        <v>13.1</v>
      </c>
    </row>
    <row r="989" spans="1:26">
      <c r="A989" t="s">
        <v>1467</v>
      </c>
      <c r="B989">
        <v>79</v>
      </c>
      <c r="C989" t="s">
        <v>70</v>
      </c>
      <c r="D989" t="s">
        <v>42</v>
      </c>
      <c r="E989" t="s">
        <v>255</v>
      </c>
      <c r="F989" t="s">
        <v>264</v>
      </c>
      <c r="G989" t="s">
        <v>265</v>
      </c>
      <c r="H989" t="s">
        <v>29</v>
      </c>
      <c r="I989" t="s">
        <v>20</v>
      </c>
      <c r="J989" s="7">
        <v>44832</v>
      </c>
      <c r="K989" s="7">
        <v>45044</v>
      </c>
      <c r="L989" s="5">
        <v>50</v>
      </c>
      <c r="M989" t="s">
        <v>150</v>
      </c>
      <c r="N989" t="s">
        <v>1063</v>
      </c>
      <c r="O989">
        <v>50</v>
      </c>
      <c r="P989" t="s">
        <v>206</v>
      </c>
      <c r="Q989" t="s">
        <v>25</v>
      </c>
      <c r="R989">
        <v>123</v>
      </c>
      <c r="S989">
        <v>1</v>
      </c>
      <c r="T989" t="s">
        <v>81</v>
      </c>
      <c r="U989" t="s">
        <v>61</v>
      </c>
      <c r="V989">
        <v>3.96</v>
      </c>
      <c r="W989">
        <v>1.84</v>
      </c>
      <c r="X989">
        <v>8.6</v>
      </c>
      <c r="Y989">
        <v>6.5</v>
      </c>
      <c r="Z989">
        <v>17.3</v>
      </c>
    </row>
    <row r="990" spans="1:26">
      <c r="A990" t="s">
        <v>1468</v>
      </c>
      <c r="B990">
        <v>82</v>
      </c>
      <c r="C990" t="s">
        <v>71</v>
      </c>
      <c r="D990" t="s">
        <v>42</v>
      </c>
      <c r="E990" t="s">
        <v>259</v>
      </c>
      <c r="F990" t="s">
        <v>150</v>
      </c>
      <c r="G990" t="s">
        <v>362</v>
      </c>
      <c r="H990" t="s">
        <v>30</v>
      </c>
      <c r="I990" t="s">
        <v>18</v>
      </c>
      <c r="J990" s="7">
        <v>44018</v>
      </c>
      <c r="K990" s="7">
        <v>44261</v>
      </c>
      <c r="L990" s="5">
        <v>50</v>
      </c>
      <c r="M990" t="s">
        <v>25</v>
      </c>
      <c r="N990" t="s">
        <v>966</v>
      </c>
      <c r="O990">
        <v>50</v>
      </c>
      <c r="P990" t="s">
        <v>205</v>
      </c>
      <c r="Q990" t="s">
        <v>27</v>
      </c>
      <c r="R990">
        <v>171</v>
      </c>
      <c r="S990">
        <v>0</v>
      </c>
      <c r="T990" t="s">
        <v>81</v>
      </c>
      <c r="U990" t="s">
        <v>61</v>
      </c>
      <c r="V990">
        <v>2.84</v>
      </c>
      <c r="W990">
        <v>1.87</v>
      </c>
      <c r="X990">
        <v>2.2</v>
      </c>
      <c r="Y990">
        <v>23.2</v>
      </c>
      <c r="Z990">
        <v>4.2</v>
      </c>
    </row>
    <row r="991" spans="1:26">
      <c r="A991" t="s">
        <v>1469</v>
      </c>
      <c r="B991">
        <v>51</v>
      </c>
      <c r="C991" t="s">
        <v>70</v>
      </c>
      <c r="D991" t="s">
        <v>43</v>
      </c>
      <c r="E991" t="s">
        <v>311</v>
      </c>
      <c r="F991" t="s">
        <v>260</v>
      </c>
      <c r="G991" t="s">
        <v>327</v>
      </c>
      <c r="H991" t="s">
        <v>29</v>
      </c>
      <c r="I991" t="s">
        <v>20</v>
      </c>
      <c r="J991" s="7">
        <v>45264</v>
      </c>
      <c r="K991" s="7">
        <v>45539</v>
      </c>
      <c r="L991" s="5">
        <v>150</v>
      </c>
      <c r="M991" t="s">
        <v>26</v>
      </c>
      <c r="N991" t="s">
        <v>369</v>
      </c>
      <c r="O991">
        <v>150</v>
      </c>
      <c r="P991" t="s">
        <v>205</v>
      </c>
      <c r="Q991" t="s">
        <v>28</v>
      </c>
      <c r="R991">
        <v>134</v>
      </c>
      <c r="S991">
        <v>0</v>
      </c>
      <c r="T991" t="s">
        <v>81</v>
      </c>
      <c r="U991" t="s">
        <v>63</v>
      </c>
      <c r="V991">
        <v>1.8</v>
      </c>
      <c r="W991">
        <v>2.39</v>
      </c>
      <c r="X991">
        <v>6.6</v>
      </c>
      <c r="Y991">
        <v>15.8</v>
      </c>
      <c r="Z991">
        <v>5.1</v>
      </c>
    </row>
    <row r="992" spans="1:26">
      <c r="A992" t="s">
        <v>1470</v>
      </c>
      <c r="B992">
        <v>67</v>
      </c>
      <c r="C992" t="s">
        <v>71</v>
      </c>
      <c r="D992" t="s">
        <v>42</v>
      </c>
      <c r="E992" t="s">
        <v>272</v>
      </c>
      <c r="F992" t="s">
        <v>150</v>
      </c>
      <c r="G992" t="s">
        <v>278</v>
      </c>
      <c r="H992" t="s">
        <v>30</v>
      </c>
      <c r="I992" t="s">
        <v>19</v>
      </c>
      <c r="J992" s="7">
        <v>43786</v>
      </c>
      <c r="K992" s="7">
        <v>44333</v>
      </c>
      <c r="L992" s="5">
        <v>150</v>
      </c>
      <c r="M992" t="s">
        <v>150</v>
      </c>
      <c r="N992" t="s">
        <v>386</v>
      </c>
      <c r="O992">
        <v>150</v>
      </c>
      <c r="P992" t="s">
        <v>205</v>
      </c>
      <c r="Q992" t="s">
        <v>28</v>
      </c>
      <c r="R992">
        <v>167</v>
      </c>
      <c r="S992">
        <v>0</v>
      </c>
      <c r="T992" t="s">
        <v>78</v>
      </c>
      <c r="U992" t="s">
        <v>63</v>
      </c>
      <c r="V992">
        <v>2.16</v>
      </c>
      <c r="W992">
        <v>1.96</v>
      </c>
      <c r="X992">
        <v>2.9</v>
      </c>
      <c r="Y992">
        <v>13.4</v>
      </c>
      <c r="Z992">
        <v>15</v>
      </c>
    </row>
    <row r="993" spans="1:26">
      <c r="A993" t="s">
        <v>1471</v>
      </c>
      <c r="B993">
        <v>54</v>
      </c>
      <c r="C993" t="s">
        <v>44</v>
      </c>
      <c r="D993" t="s">
        <v>39</v>
      </c>
      <c r="E993" t="s">
        <v>255</v>
      </c>
      <c r="F993" t="s">
        <v>277</v>
      </c>
      <c r="G993" t="s">
        <v>312</v>
      </c>
      <c r="H993" t="s">
        <v>32</v>
      </c>
      <c r="I993" t="s">
        <v>16</v>
      </c>
      <c r="J993" s="7">
        <v>44860</v>
      </c>
      <c r="K993" s="7">
        <v>45408</v>
      </c>
      <c r="L993" s="5">
        <v>50</v>
      </c>
      <c r="M993" t="s">
        <v>150</v>
      </c>
      <c r="N993" t="s">
        <v>358</v>
      </c>
      <c r="O993">
        <v>50</v>
      </c>
      <c r="P993" t="s">
        <v>206</v>
      </c>
      <c r="Q993" t="s">
        <v>26</v>
      </c>
      <c r="R993">
        <v>55</v>
      </c>
      <c r="S993">
        <v>1</v>
      </c>
      <c r="T993" t="s">
        <v>81</v>
      </c>
      <c r="U993" t="s">
        <v>63</v>
      </c>
      <c r="V993">
        <v>1.87</v>
      </c>
      <c r="W993">
        <v>2.47</v>
      </c>
      <c r="X993">
        <v>4.5</v>
      </c>
      <c r="Y993">
        <v>23.6</v>
      </c>
      <c r="Z993">
        <v>19.2</v>
      </c>
    </row>
    <row r="994" spans="1:26">
      <c r="A994" t="s">
        <v>1472</v>
      </c>
      <c r="B994">
        <v>66</v>
      </c>
      <c r="C994" t="s">
        <v>70</v>
      </c>
      <c r="D994" t="s">
        <v>39</v>
      </c>
      <c r="E994" t="s">
        <v>255</v>
      </c>
      <c r="F994" t="s">
        <v>150</v>
      </c>
      <c r="G994" t="s">
        <v>362</v>
      </c>
      <c r="H994" t="s">
        <v>34</v>
      </c>
      <c r="I994" t="s">
        <v>18</v>
      </c>
      <c r="J994" s="7">
        <v>44163</v>
      </c>
      <c r="K994" s="7">
        <v>44620</v>
      </c>
      <c r="L994" s="5">
        <v>150</v>
      </c>
      <c r="M994" t="s">
        <v>150</v>
      </c>
      <c r="N994" t="s">
        <v>1063</v>
      </c>
      <c r="O994">
        <v>150</v>
      </c>
      <c r="P994" t="s">
        <v>206</v>
      </c>
      <c r="Q994" t="s">
        <v>28</v>
      </c>
      <c r="R994">
        <v>30</v>
      </c>
      <c r="S994">
        <v>1</v>
      </c>
      <c r="T994" t="s">
        <v>81</v>
      </c>
      <c r="U994" t="s">
        <v>63</v>
      </c>
      <c r="V994">
        <v>4.2</v>
      </c>
      <c r="W994">
        <v>1.97</v>
      </c>
      <c r="X994">
        <v>1.6</v>
      </c>
      <c r="Y994">
        <v>11.7</v>
      </c>
      <c r="Z994">
        <v>7.5</v>
      </c>
    </row>
    <row r="995" spans="1:26">
      <c r="A995" t="s">
        <v>1473</v>
      </c>
      <c r="B995">
        <v>33</v>
      </c>
      <c r="C995" t="s">
        <v>70</v>
      </c>
      <c r="D995" t="s">
        <v>43</v>
      </c>
      <c r="E995" t="s">
        <v>272</v>
      </c>
      <c r="F995" t="s">
        <v>273</v>
      </c>
      <c r="G995" t="s">
        <v>269</v>
      </c>
      <c r="H995" t="s">
        <v>34</v>
      </c>
      <c r="I995" t="s">
        <v>16</v>
      </c>
      <c r="J995" s="7">
        <v>44416</v>
      </c>
      <c r="K995" s="7">
        <v>44842</v>
      </c>
      <c r="L995" s="5">
        <v>150</v>
      </c>
      <c r="M995" t="s">
        <v>28</v>
      </c>
      <c r="N995" t="s">
        <v>1205</v>
      </c>
      <c r="O995">
        <v>150</v>
      </c>
      <c r="P995" t="s">
        <v>206</v>
      </c>
      <c r="Q995" t="s">
        <v>27</v>
      </c>
      <c r="R995">
        <v>156</v>
      </c>
      <c r="S995">
        <v>1</v>
      </c>
      <c r="T995" t="s">
        <v>81</v>
      </c>
      <c r="U995" t="s">
        <v>63</v>
      </c>
      <c r="V995">
        <v>3.02</v>
      </c>
      <c r="W995">
        <v>4.11</v>
      </c>
      <c r="X995">
        <v>8.7</v>
      </c>
      <c r="Y995">
        <v>21.2</v>
      </c>
      <c r="Z995">
        <v>9.1</v>
      </c>
    </row>
    <row r="996" spans="1:26">
      <c r="A996" t="s">
        <v>1474</v>
      </c>
      <c r="B996">
        <v>35</v>
      </c>
      <c r="C996" t="s">
        <v>71</v>
      </c>
      <c r="D996" t="s">
        <v>44</v>
      </c>
      <c r="E996" t="s">
        <v>150</v>
      </c>
      <c r="F996" t="s">
        <v>150</v>
      </c>
      <c r="G996" t="s">
        <v>269</v>
      </c>
      <c r="H996" t="s">
        <v>29</v>
      </c>
      <c r="I996" t="s">
        <v>19</v>
      </c>
      <c r="J996" s="7">
        <v>44321</v>
      </c>
      <c r="K996" s="7">
        <v>44686</v>
      </c>
      <c r="L996" s="5">
        <v>50</v>
      </c>
      <c r="M996" t="s">
        <v>25</v>
      </c>
      <c r="N996" t="s">
        <v>358</v>
      </c>
      <c r="O996">
        <v>50</v>
      </c>
      <c r="P996" t="s">
        <v>205</v>
      </c>
      <c r="Q996" t="s">
        <v>27</v>
      </c>
      <c r="R996">
        <v>34</v>
      </c>
      <c r="S996">
        <v>0</v>
      </c>
      <c r="T996" t="s">
        <v>78</v>
      </c>
      <c r="U996" t="s">
        <v>61</v>
      </c>
      <c r="V996">
        <v>3.75</v>
      </c>
      <c r="W996">
        <v>2.25</v>
      </c>
      <c r="X996">
        <v>1.5</v>
      </c>
      <c r="Y996">
        <v>18.6</v>
      </c>
      <c r="Z996">
        <v>3.2</v>
      </c>
    </row>
    <row r="997" spans="1:26">
      <c r="A997" t="s">
        <v>1475</v>
      </c>
      <c r="B997">
        <v>55</v>
      </c>
      <c r="C997" t="s">
        <v>70</v>
      </c>
      <c r="D997" t="s">
        <v>39</v>
      </c>
      <c r="E997" t="s">
        <v>150</v>
      </c>
      <c r="F997" t="s">
        <v>260</v>
      </c>
      <c r="G997" t="s">
        <v>431</v>
      </c>
      <c r="H997" t="s">
        <v>30</v>
      </c>
      <c r="I997" t="s">
        <v>16</v>
      </c>
      <c r="J997" s="7">
        <v>44242</v>
      </c>
      <c r="K997" s="7">
        <v>44454</v>
      </c>
      <c r="L997" s="5">
        <v>50</v>
      </c>
      <c r="M997" t="s">
        <v>26</v>
      </c>
      <c r="N997" t="s">
        <v>479</v>
      </c>
      <c r="O997">
        <v>50</v>
      </c>
      <c r="P997" t="s">
        <v>211</v>
      </c>
      <c r="Q997" t="s">
        <v>28</v>
      </c>
      <c r="R997">
        <v>122</v>
      </c>
      <c r="S997">
        <v>0</v>
      </c>
      <c r="T997" t="s">
        <v>82</v>
      </c>
      <c r="U997" t="s">
        <v>61</v>
      </c>
      <c r="V997">
        <v>2.64</v>
      </c>
      <c r="W997">
        <v>2.32</v>
      </c>
      <c r="X997">
        <v>7.2</v>
      </c>
      <c r="Y997">
        <v>19.8</v>
      </c>
      <c r="Z997">
        <v>8.2</v>
      </c>
    </row>
    <row r="998" spans="1:26">
      <c r="A998" t="s">
        <v>1476</v>
      </c>
      <c r="B998">
        <v>79</v>
      </c>
      <c r="C998" t="s">
        <v>44</v>
      </c>
      <c r="D998" t="s">
        <v>41</v>
      </c>
      <c r="E998" t="s">
        <v>272</v>
      </c>
      <c r="F998" t="s">
        <v>150</v>
      </c>
      <c r="G998" t="s">
        <v>291</v>
      </c>
      <c r="H998" t="s">
        <v>30</v>
      </c>
      <c r="I998" t="s">
        <v>16</v>
      </c>
      <c r="J998" s="7">
        <v>44722</v>
      </c>
      <c r="K998" s="7">
        <v>44995</v>
      </c>
      <c r="L998" s="5">
        <v>50</v>
      </c>
      <c r="M998" t="s">
        <v>27</v>
      </c>
      <c r="N998" t="s">
        <v>453</v>
      </c>
      <c r="O998">
        <v>50</v>
      </c>
      <c r="P998" t="s">
        <v>206</v>
      </c>
      <c r="Q998" t="s">
        <v>150</v>
      </c>
      <c r="R998">
        <v>158</v>
      </c>
      <c r="S998">
        <v>1</v>
      </c>
      <c r="T998" t="s">
        <v>81</v>
      </c>
      <c r="U998" t="s">
        <v>61</v>
      </c>
      <c r="V998">
        <v>4.25</v>
      </c>
      <c r="W998">
        <v>2.18</v>
      </c>
      <c r="X998">
        <v>5</v>
      </c>
      <c r="Y998">
        <v>19.1</v>
      </c>
      <c r="Z998">
        <v>14.8</v>
      </c>
    </row>
    <row r="999" spans="1:26">
      <c r="A999" t="s">
        <v>1477</v>
      </c>
      <c r="B999">
        <v>41</v>
      </c>
      <c r="C999" t="s">
        <v>70</v>
      </c>
      <c r="D999" t="s">
        <v>42</v>
      </c>
      <c r="E999" t="s">
        <v>259</v>
      </c>
      <c r="F999" t="s">
        <v>150</v>
      </c>
      <c r="G999" t="s">
        <v>256</v>
      </c>
      <c r="H999" t="s">
        <v>32</v>
      </c>
      <c r="I999" t="s">
        <v>20</v>
      </c>
      <c r="J999" s="7">
        <v>45112</v>
      </c>
      <c r="K999" s="7">
        <v>45509</v>
      </c>
      <c r="L999" s="5">
        <v>100</v>
      </c>
      <c r="M999" t="s">
        <v>25</v>
      </c>
      <c r="N999" t="s">
        <v>554</v>
      </c>
      <c r="O999">
        <v>100</v>
      </c>
      <c r="P999" t="s">
        <v>211</v>
      </c>
      <c r="Q999" t="s">
        <v>27</v>
      </c>
      <c r="R999">
        <v>94</v>
      </c>
      <c r="S999">
        <v>0</v>
      </c>
      <c r="T999" t="s">
        <v>78</v>
      </c>
      <c r="U999" t="s">
        <v>63</v>
      </c>
      <c r="V999">
        <v>4.95</v>
      </c>
      <c r="W999">
        <v>1.9</v>
      </c>
      <c r="X999">
        <v>7</v>
      </c>
      <c r="Y999">
        <v>17</v>
      </c>
      <c r="Z999">
        <v>18.6</v>
      </c>
    </row>
    <row r="1000" spans="1:26">
      <c r="A1000" t="s">
        <v>1478</v>
      </c>
      <c r="B1000">
        <v>75</v>
      </c>
      <c r="C1000" t="s">
        <v>44</v>
      </c>
      <c r="D1000" t="s">
        <v>43</v>
      </c>
      <c r="E1000" t="s">
        <v>259</v>
      </c>
      <c r="F1000" t="s">
        <v>277</v>
      </c>
      <c r="G1000" t="s">
        <v>278</v>
      </c>
      <c r="H1000" t="s">
        <v>32</v>
      </c>
      <c r="I1000" t="s">
        <v>18</v>
      </c>
      <c r="J1000" s="7">
        <v>45123</v>
      </c>
      <c r="K1000" s="7">
        <v>45489</v>
      </c>
      <c r="L1000" s="5">
        <v>100</v>
      </c>
      <c r="M1000" t="s">
        <v>25</v>
      </c>
      <c r="N1000" t="s">
        <v>345</v>
      </c>
      <c r="O1000">
        <v>100</v>
      </c>
      <c r="P1000" t="s">
        <v>205</v>
      </c>
      <c r="Q1000" t="s">
        <v>27</v>
      </c>
      <c r="R1000">
        <v>159</v>
      </c>
      <c r="S1000">
        <v>0</v>
      </c>
      <c r="T1000" t="s">
        <v>82</v>
      </c>
      <c r="U1000" t="s">
        <v>63</v>
      </c>
      <c r="V1000">
        <v>1.63</v>
      </c>
      <c r="W1000">
        <v>4.01</v>
      </c>
      <c r="X1000">
        <v>6.1</v>
      </c>
      <c r="Y1000">
        <v>10.9</v>
      </c>
      <c r="Z1000">
        <v>11.1</v>
      </c>
    </row>
    <row r="1001" spans="1:26">
      <c r="A1001" t="s">
        <v>1479</v>
      </c>
      <c r="B1001">
        <v>70</v>
      </c>
      <c r="C1001" t="s">
        <v>44</v>
      </c>
      <c r="D1001" t="s">
        <v>42</v>
      </c>
      <c r="E1001" t="s">
        <v>150</v>
      </c>
      <c r="F1001" t="s">
        <v>150</v>
      </c>
      <c r="G1001" t="s">
        <v>349</v>
      </c>
      <c r="H1001" t="s">
        <v>34</v>
      </c>
      <c r="I1001" t="s">
        <v>18</v>
      </c>
      <c r="J1001" s="7">
        <v>43853</v>
      </c>
      <c r="K1001" s="7">
        <v>44188</v>
      </c>
      <c r="L1001" s="5">
        <v>150</v>
      </c>
      <c r="M1001" t="s">
        <v>150</v>
      </c>
      <c r="N1001" t="s">
        <v>262</v>
      </c>
      <c r="O1001">
        <v>150</v>
      </c>
      <c r="P1001" t="s">
        <v>211</v>
      </c>
      <c r="Q1001" t="s">
        <v>28</v>
      </c>
      <c r="R1001">
        <v>164</v>
      </c>
      <c r="S1001">
        <v>0</v>
      </c>
      <c r="T1001" t="s">
        <v>80</v>
      </c>
      <c r="U1001" t="s">
        <v>63</v>
      </c>
      <c r="V1001">
        <v>2.34</v>
      </c>
      <c r="W1001">
        <v>3.32</v>
      </c>
      <c r="X1001">
        <v>9</v>
      </c>
      <c r="Y1001">
        <v>16.2</v>
      </c>
      <c r="Z1001">
        <v>13.7</v>
      </c>
    </row>
  </sheetData>
  <autoFilter xmlns:etc="http://www.wps.cn/officeDocument/2017/etCustomData" ref="A1:Z1001" etc:filterBottomFollowUsedRange="0">
    <extLst/>
  </autoFilter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selection activeCell="L7" sqref="L7"/>
    </sheetView>
  </sheetViews>
  <sheetFormatPr defaultColWidth="8.88888888888889" defaultRowHeight="14.4"/>
  <cols>
    <col min="1" max="1" width="9"/>
    <col min="7" max="7" width="9"/>
    <col min="11" max="11" width="9" style="5"/>
    <col min="12" max="12" width="8.88888888888889" style="6"/>
  </cols>
  <sheetData>
    <row r="1" spans="1:11">
      <c r="A1" t="s">
        <v>98</v>
      </c>
      <c r="G1" t="s">
        <v>86</v>
      </c>
      <c r="H1" t="s">
        <v>1480</v>
      </c>
      <c r="K1" s="5" t="s">
        <v>248</v>
      </c>
    </row>
    <row r="2" spans="1:12">
      <c r="A2" t="s">
        <v>26</v>
      </c>
      <c r="B2" t="s">
        <v>1481</v>
      </c>
      <c r="G2">
        <v>200</v>
      </c>
      <c r="H2" t="s">
        <v>1482</v>
      </c>
      <c r="K2" s="5">
        <v>200</v>
      </c>
      <c r="L2" s="6" t="s">
        <v>1482</v>
      </c>
    </row>
    <row r="3" spans="1:12">
      <c r="A3" t="s">
        <v>150</v>
      </c>
      <c r="B3" t="s">
        <v>1483</v>
      </c>
      <c r="G3">
        <v>100</v>
      </c>
      <c r="H3" t="s">
        <v>1482</v>
      </c>
      <c r="K3" s="5">
        <v>100</v>
      </c>
      <c r="L3" s="6" t="s">
        <v>1482</v>
      </c>
    </row>
    <row r="4" spans="1:12">
      <c r="A4" t="s">
        <v>28</v>
      </c>
      <c r="B4" t="s">
        <v>1484</v>
      </c>
      <c r="C4" t="s">
        <v>1483</v>
      </c>
      <c r="G4">
        <v>150</v>
      </c>
      <c r="H4" t="s">
        <v>1482</v>
      </c>
      <c r="K4" s="5">
        <v>150</v>
      </c>
      <c r="L4" s="6" t="s">
        <v>1482</v>
      </c>
    </row>
    <row r="5" spans="1:12">
      <c r="A5" t="s">
        <v>25</v>
      </c>
      <c r="G5">
        <v>150</v>
      </c>
      <c r="H5" t="s">
        <v>1482</v>
      </c>
      <c r="K5" s="5">
        <v>150</v>
      </c>
      <c r="L5" s="6" t="s">
        <v>1482</v>
      </c>
    </row>
    <row r="6" spans="1:12">
      <c r="A6" t="s">
        <v>25</v>
      </c>
      <c r="G6">
        <v>200</v>
      </c>
      <c r="H6" t="s">
        <v>1482</v>
      </c>
      <c r="K6" s="5">
        <v>200</v>
      </c>
      <c r="L6" s="6" t="s">
        <v>1482</v>
      </c>
    </row>
    <row r="7" spans="1:12">
      <c r="A7" t="s">
        <v>27</v>
      </c>
      <c r="G7">
        <v>50</v>
      </c>
      <c r="H7" t="s">
        <v>1482</v>
      </c>
      <c r="K7" s="5">
        <v>50</v>
      </c>
      <c r="L7" s="6" t="s">
        <v>1482</v>
      </c>
    </row>
    <row r="8" spans="1:12">
      <c r="A8" t="s">
        <v>26</v>
      </c>
      <c r="B8" t="s">
        <v>1481</v>
      </c>
      <c r="C8" t="s">
        <v>1485</v>
      </c>
      <c r="G8">
        <v>100</v>
      </c>
      <c r="H8" t="s">
        <v>1482</v>
      </c>
      <c r="K8" s="5">
        <v>100</v>
      </c>
      <c r="L8" s="6" t="s">
        <v>1482</v>
      </c>
    </row>
    <row r="9" spans="1:12">
      <c r="A9" t="s">
        <v>25</v>
      </c>
      <c r="G9">
        <v>50</v>
      </c>
      <c r="H9" t="s">
        <v>1482</v>
      </c>
      <c r="K9" s="5">
        <v>50</v>
      </c>
      <c r="L9" s="6" t="s">
        <v>1482</v>
      </c>
    </row>
    <row r="10" spans="1:12">
      <c r="A10" t="s">
        <v>150</v>
      </c>
      <c r="G10">
        <v>150</v>
      </c>
      <c r="H10" t="s">
        <v>1482</v>
      </c>
      <c r="K10" s="5">
        <v>150</v>
      </c>
      <c r="L10" s="6" t="s">
        <v>1482</v>
      </c>
    </row>
    <row r="11" spans="1:12">
      <c r="A11" t="s">
        <v>150</v>
      </c>
      <c r="B11" t="s">
        <v>1485</v>
      </c>
      <c r="C11" t="s">
        <v>1483</v>
      </c>
      <c r="G11">
        <v>200</v>
      </c>
      <c r="H11" t="s">
        <v>1482</v>
      </c>
      <c r="K11" s="5">
        <v>200</v>
      </c>
      <c r="L11" s="6" t="s">
        <v>1482</v>
      </c>
    </row>
    <row r="12" spans="1:12">
      <c r="A12" t="s">
        <v>26</v>
      </c>
      <c r="B12" t="s">
        <v>1484</v>
      </c>
      <c r="G12">
        <v>100</v>
      </c>
      <c r="H12" t="s">
        <v>1482</v>
      </c>
      <c r="K12" s="5">
        <v>100</v>
      </c>
      <c r="L12" s="6" t="s">
        <v>1482</v>
      </c>
    </row>
    <row r="13" spans="1:12">
      <c r="A13" t="s">
        <v>26</v>
      </c>
      <c r="G13">
        <v>150</v>
      </c>
      <c r="H13" t="s">
        <v>1482</v>
      </c>
      <c r="K13" s="5">
        <v>150</v>
      </c>
      <c r="L13" s="6" t="s">
        <v>1482</v>
      </c>
    </row>
    <row r="14" spans="1:12">
      <c r="A14" t="s">
        <v>28</v>
      </c>
      <c r="B14" t="s">
        <v>1485</v>
      </c>
      <c r="G14">
        <v>200</v>
      </c>
      <c r="H14" t="s">
        <v>1482</v>
      </c>
      <c r="K14" s="5">
        <v>200</v>
      </c>
      <c r="L14" s="6" t="s">
        <v>1482</v>
      </c>
    </row>
    <row r="15" spans="1:12">
      <c r="A15" t="s">
        <v>26</v>
      </c>
      <c r="B15" t="s">
        <v>1485</v>
      </c>
      <c r="C15" t="s">
        <v>1484</v>
      </c>
      <c r="G15">
        <v>200</v>
      </c>
      <c r="H15" t="s">
        <v>1482</v>
      </c>
      <c r="K15" s="5">
        <v>200</v>
      </c>
      <c r="L15" s="6" t="s">
        <v>1482</v>
      </c>
    </row>
    <row r="16" spans="1:12">
      <c r="A16" t="s">
        <v>27</v>
      </c>
      <c r="G16">
        <v>50</v>
      </c>
      <c r="H16" t="s">
        <v>1482</v>
      </c>
      <c r="K16" s="5">
        <v>50</v>
      </c>
      <c r="L16" s="6" t="s">
        <v>1482</v>
      </c>
    </row>
    <row r="17" spans="1:12">
      <c r="A17" t="s">
        <v>25</v>
      </c>
      <c r="G17">
        <v>50</v>
      </c>
      <c r="H17" t="s">
        <v>1482</v>
      </c>
      <c r="K17" s="5">
        <v>50</v>
      </c>
      <c r="L17" s="6" t="s">
        <v>1482</v>
      </c>
    </row>
    <row r="18" spans="1:12">
      <c r="A18" t="s">
        <v>25</v>
      </c>
      <c r="B18" t="s">
        <v>1483</v>
      </c>
      <c r="G18">
        <v>200</v>
      </c>
      <c r="H18" t="s">
        <v>1482</v>
      </c>
      <c r="K18" s="5">
        <v>200</v>
      </c>
      <c r="L18" s="6" t="s">
        <v>1482</v>
      </c>
    </row>
    <row r="19" spans="1:12">
      <c r="A19" t="s">
        <v>28</v>
      </c>
      <c r="B19" t="s">
        <v>1483</v>
      </c>
      <c r="C19" t="s">
        <v>1486</v>
      </c>
      <c r="G19">
        <v>50</v>
      </c>
      <c r="H19" t="s">
        <v>1482</v>
      </c>
      <c r="K19" s="5">
        <v>50</v>
      </c>
      <c r="L19" s="6" t="s">
        <v>1482</v>
      </c>
    </row>
    <row r="20" spans="1:12">
      <c r="A20" t="s">
        <v>27</v>
      </c>
      <c r="B20" t="s">
        <v>1484</v>
      </c>
      <c r="C20" t="s">
        <v>1483</v>
      </c>
      <c r="G20">
        <v>100</v>
      </c>
      <c r="H20" t="s">
        <v>1482</v>
      </c>
      <c r="K20" s="5">
        <v>100</v>
      </c>
      <c r="L20" s="6" t="s">
        <v>1482</v>
      </c>
    </row>
    <row r="21" spans="1:12">
      <c r="A21" t="s">
        <v>26</v>
      </c>
      <c r="B21" t="s">
        <v>1484</v>
      </c>
      <c r="G21">
        <v>200</v>
      </c>
      <c r="H21" t="s">
        <v>1482</v>
      </c>
      <c r="K21" s="5">
        <v>200</v>
      </c>
      <c r="L21" s="6" t="s">
        <v>1482</v>
      </c>
    </row>
    <row r="22" spans="1:12">
      <c r="A22" t="s">
        <v>27</v>
      </c>
      <c r="B22" t="s">
        <v>1484</v>
      </c>
      <c r="C22" t="s">
        <v>1483</v>
      </c>
      <c r="G22">
        <v>100</v>
      </c>
      <c r="H22" t="s">
        <v>1482</v>
      </c>
      <c r="K22" s="5">
        <v>100</v>
      </c>
      <c r="L22" s="6" t="s">
        <v>1482</v>
      </c>
    </row>
    <row r="23" spans="1:12">
      <c r="A23" t="s">
        <v>25</v>
      </c>
      <c r="B23" t="s">
        <v>1484</v>
      </c>
      <c r="C23" t="s">
        <v>1483</v>
      </c>
      <c r="G23">
        <v>50</v>
      </c>
      <c r="H23" t="s">
        <v>1482</v>
      </c>
      <c r="K23" s="5">
        <v>50</v>
      </c>
      <c r="L23" s="6" t="s">
        <v>1482</v>
      </c>
    </row>
    <row r="24" spans="1:12">
      <c r="A24" t="s">
        <v>27</v>
      </c>
      <c r="B24" t="s">
        <v>1481</v>
      </c>
      <c r="G24">
        <v>200</v>
      </c>
      <c r="H24" t="s">
        <v>1482</v>
      </c>
      <c r="K24" s="5">
        <v>200</v>
      </c>
      <c r="L24" s="6" t="s">
        <v>1482</v>
      </c>
    </row>
    <row r="25" spans="1:12">
      <c r="A25" t="s">
        <v>150</v>
      </c>
      <c r="B25" t="s">
        <v>1483</v>
      </c>
      <c r="G25">
        <v>100</v>
      </c>
      <c r="H25" t="s">
        <v>1482</v>
      </c>
      <c r="K25" s="5">
        <v>100</v>
      </c>
      <c r="L25" s="6" t="s">
        <v>1482</v>
      </c>
    </row>
    <row r="26" spans="1:12">
      <c r="A26" t="s">
        <v>27</v>
      </c>
      <c r="B26" t="s">
        <v>1483</v>
      </c>
      <c r="C26" t="s">
        <v>1486</v>
      </c>
      <c r="G26">
        <v>50</v>
      </c>
      <c r="H26" t="s">
        <v>1482</v>
      </c>
      <c r="K26" s="5">
        <v>50</v>
      </c>
      <c r="L26" s="6" t="s">
        <v>1482</v>
      </c>
    </row>
    <row r="27" spans="1:12">
      <c r="A27" t="s">
        <v>28</v>
      </c>
      <c r="B27" t="s">
        <v>1484</v>
      </c>
      <c r="C27" t="s">
        <v>1485</v>
      </c>
      <c r="G27">
        <v>200</v>
      </c>
      <c r="H27" t="s">
        <v>1482</v>
      </c>
      <c r="K27" s="5">
        <v>200</v>
      </c>
      <c r="L27" s="6" t="s">
        <v>1482</v>
      </c>
    </row>
    <row r="28" spans="1:12">
      <c r="A28" t="s">
        <v>25</v>
      </c>
      <c r="B28" t="s">
        <v>1483</v>
      </c>
      <c r="C28" t="s">
        <v>1485</v>
      </c>
      <c r="G28">
        <v>100</v>
      </c>
      <c r="H28" t="s">
        <v>1482</v>
      </c>
      <c r="K28" s="5">
        <v>100</v>
      </c>
      <c r="L28" s="6" t="s">
        <v>1482</v>
      </c>
    </row>
    <row r="29" spans="1:12">
      <c r="A29" t="s">
        <v>27</v>
      </c>
      <c r="B29" t="s">
        <v>1484</v>
      </c>
      <c r="C29" t="s">
        <v>1483</v>
      </c>
      <c r="G29">
        <v>100</v>
      </c>
      <c r="H29" t="s">
        <v>1482</v>
      </c>
      <c r="K29" s="5">
        <v>100</v>
      </c>
      <c r="L29" s="6" t="s">
        <v>1482</v>
      </c>
    </row>
    <row r="30" spans="1:12">
      <c r="A30" t="s">
        <v>27</v>
      </c>
      <c r="B30" t="s">
        <v>1486</v>
      </c>
      <c r="C30" t="s">
        <v>1481</v>
      </c>
      <c r="G30">
        <v>150</v>
      </c>
      <c r="H30" t="s">
        <v>1482</v>
      </c>
      <c r="K30" s="5">
        <v>150</v>
      </c>
      <c r="L30" s="6" t="s">
        <v>1482</v>
      </c>
    </row>
    <row r="31" spans="1:12">
      <c r="A31" t="s">
        <v>28</v>
      </c>
      <c r="B31" t="s">
        <v>1483</v>
      </c>
      <c r="C31" t="s">
        <v>1485</v>
      </c>
      <c r="G31">
        <v>50</v>
      </c>
      <c r="H31" t="s">
        <v>1482</v>
      </c>
      <c r="K31" s="5">
        <v>50</v>
      </c>
      <c r="L31" s="6" t="s">
        <v>1482</v>
      </c>
    </row>
    <row r="32" spans="1:12">
      <c r="A32" t="s">
        <v>25</v>
      </c>
      <c r="B32" t="s">
        <v>1481</v>
      </c>
      <c r="C32" t="s">
        <v>1484</v>
      </c>
      <c r="G32">
        <v>150</v>
      </c>
      <c r="H32" t="s">
        <v>1482</v>
      </c>
      <c r="K32" s="5">
        <v>150</v>
      </c>
      <c r="L32" s="6" t="s">
        <v>1482</v>
      </c>
    </row>
    <row r="33" spans="1:12">
      <c r="A33" t="s">
        <v>26</v>
      </c>
      <c r="B33" t="s">
        <v>1485</v>
      </c>
      <c r="C33" t="s">
        <v>1486</v>
      </c>
      <c r="G33">
        <v>100</v>
      </c>
      <c r="H33" t="s">
        <v>1482</v>
      </c>
      <c r="K33" s="5">
        <v>100</v>
      </c>
      <c r="L33" s="6" t="s">
        <v>1482</v>
      </c>
    </row>
    <row r="34" spans="1:12">
      <c r="A34" t="s">
        <v>28</v>
      </c>
      <c r="G34">
        <v>200</v>
      </c>
      <c r="H34" t="s">
        <v>1482</v>
      </c>
      <c r="K34" s="5">
        <v>200</v>
      </c>
      <c r="L34" s="6" t="s">
        <v>1482</v>
      </c>
    </row>
    <row r="35" spans="1:12">
      <c r="A35" t="s">
        <v>28</v>
      </c>
      <c r="B35" t="s">
        <v>1485</v>
      </c>
      <c r="C35" t="s">
        <v>1484</v>
      </c>
      <c r="G35">
        <v>150</v>
      </c>
      <c r="H35" t="s">
        <v>1482</v>
      </c>
      <c r="K35" s="5">
        <v>150</v>
      </c>
      <c r="L35" s="6" t="s">
        <v>1482</v>
      </c>
    </row>
    <row r="36" spans="1:12">
      <c r="A36" t="s">
        <v>26</v>
      </c>
      <c r="G36">
        <v>100</v>
      </c>
      <c r="H36" t="s">
        <v>1482</v>
      </c>
      <c r="K36" s="5">
        <v>100</v>
      </c>
      <c r="L36" s="6" t="s">
        <v>1482</v>
      </c>
    </row>
    <row r="37" spans="1:12">
      <c r="A37" t="s">
        <v>26</v>
      </c>
      <c r="B37" t="s">
        <v>1486</v>
      </c>
      <c r="C37" t="s">
        <v>1481</v>
      </c>
      <c r="G37">
        <v>100</v>
      </c>
      <c r="H37" t="s">
        <v>1482</v>
      </c>
      <c r="K37" s="5">
        <v>100</v>
      </c>
      <c r="L37" s="6" t="s">
        <v>1482</v>
      </c>
    </row>
    <row r="38" spans="1:12">
      <c r="A38" t="s">
        <v>28</v>
      </c>
      <c r="B38" t="s">
        <v>1485</v>
      </c>
      <c r="C38" t="s">
        <v>1484</v>
      </c>
      <c r="G38">
        <v>50</v>
      </c>
      <c r="H38" t="s">
        <v>1482</v>
      </c>
      <c r="K38" s="5">
        <v>50</v>
      </c>
      <c r="L38" s="6" t="s">
        <v>1482</v>
      </c>
    </row>
    <row r="39" spans="1:12">
      <c r="A39" t="s">
        <v>27</v>
      </c>
      <c r="G39">
        <v>50</v>
      </c>
      <c r="H39" t="s">
        <v>1482</v>
      </c>
      <c r="K39" s="5">
        <v>50</v>
      </c>
      <c r="L39" s="6" t="s">
        <v>1482</v>
      </c>
    </row>
    <row r="40" spans="1:12">
      <c r="A40" t="s">
        <v>27</v>
      </c>
      <c r="G40">
        <v>100</v>
      </c>
      <c r="H40" t="s">
        <v>1482</v>
      </c>
      <c r="K40" s="5">
        <v>100</v>
      </c>
      <c r="L40" s="6" t="s">
        <v>1482</v>
      </c>
    </row>
    <row r="41" spans="1:12">
      <c r="A41" t="s">
        <v>26</v>
      </c>
      <c r="B41" t="s">
        <v>1485</v>
      </c>
      <c r="C41" t="s">
        <v>1481</v>
      </c>
      <c r="G41">
        <v>200</v>
      </c>
      <c r="H41" t="s">
        <v>1482</v>
      </c>
      <c r="K41" s="5">
        <v>200</v>
      </c>
      <c r="L41" s="6" t="s">
        <v>1482</v>
      </c>
    </row>
    <row r="42" spans="1:12">
      <c r="A42" t="s">
        <v>150</v>
      </c>
      <c r="B42" t="s">
        <v>1483</v>
      </c>
      <c r="G42">
        <v>100</v>
      </c>
      <c r="H42" t="s">
        <v>1482</v>
      </c>
      <c r="K42" s="5">
        <v>100</v>
      </c>
      <c r="L42" s="6" t="s">
        <v>1482</v>
      </c>
    </row>
    <row r="43" spans="1:12">
      <c r="A43" t="s">
        <v>28</v>
      </c>
      <c r="B43" t="s">
        <v>1483</v>
      </c>
      <c r="G43">
        <v>100</v>
      </c>
      <c r="H43" t="s">
        <v>1482</v>
      </c>
      <c r="K43" s="5">
        <v>100</v>
      </c>
      <c r="L43" s="6" t="s">
        <v>1482</v>
      </c>
    </row>
    <row r="44" spans="1:12">
      <c r="A44" t="s">
        <v>25</v>
      </c>
      <c r="B44" t="s">
        <v>1481</v>
      </c>
      <c r="C44" t="s">
        <v>1484</v>
      </c>
      <c r="G44">
        <v>200</v>
      </c>
      <c r="H44" t="s">
        <v>1482</v>
      </c>
      <c r="K44" s="5">
        <v>200</v>
      </c>
      <c r="L44" s="6" t="s">
        <v>1482</v>
      </c>
    </row>
    <row r="45" spans="1:12">
      <c r="A45" t="s">
        <v>25</v>
      </c>
      <c r="B45" t="s">
        <v>1484</v>
      </c>
      <c r="G45">
        <v>50</v>
      </c>
      <c r="H45" t="s">
        <v>1482</v>
      </c>
      <c r="K45" s="5">
        <v>50</v>
      </c>
      <c r="L45" s="6" t="s">
        <v>1482</v>
      </c>
    </row>
    <row r="46" spans="1:12">
      <c r="A46" t="s">
        <v>150</v>
      </c>
      <c r="B46" t="s">
        <v>1485</v>
      </c>
      <c r="C46" t="s">
        <v>1486</v>
      </c>
      <c r="G46">
        <v>100</v>
      </c>
      <c r="H46" t="s">
        <v>1482</v>
      </c>
      <c r="K46" s="5">
        <v>100</v>
      </c>
      <c r="L46" s="6" t="s">
        <v>1482</v>
      </c>
    </row>
    <row r="47" spans="1:12">
      <c r="A47" t="s">
        <v>28</v>
      </c>
      <c r="B47" t="s">
        <v>1483</v>
      </c>
      <c r="C47" t="s">
        <v>1485</v>
      </c>
      <c r="G47">
        <v>100</v>
      </c>
      <c r="H47" t="s">
        <v>1482</v>
      </c>
      <c r="K47" s="5">
        <v>100</v>
      </c>
      <c r="L47" s="6" t="s">
        <v>1482</v>
      </c>
    </row>
    <row r="48" spans="1:12">
      <c r="A48" t="s">
        <v>27</v>
      </c>
      <c r="B48" t="s">
        <v>1484</v>
      </c>
      <c r="G48">
        <v>50</v>
      </c>
      <c r="H48" t="s">
        <v>1482</v>
      </c>
      <c r="K48" s="5">
        <v>50</v>
      </c>
      <c r="L48" s="6" t="s">
        <v>1482</v>
      </c>
    </row>
    <row r="49" spans="1:12">
      <c r="A49" t="s">
        <v>26</v>
      </c>
      <c r="G49">
        <v>200</v>
      </c>
      <c r="H49" t="s">
        <v>1482</v>
      </c>
      <c r="K49" s="5">
        <v>200</v>
      </c>
      <c r="L49" s="6" t="s">
        <v>1482</v>
      </c>
    </row>
    <row r="50" spans="1:12">
      <c r="A50" t="s">
        <v>28</v>
      </c>
      <c r="B50" t="s">
        <v>1485</v>
      </c>
      <c r="C50" t="s">
        <v>1486</v>
      </c>
      <c r="G50">
        <v>100</v>
      </c>
      <c r="H50" t="s">
        <v>1482</v>
      </c>
      <c r="K50" s="5">
        <v>100</v>
      </c>
      <c r="L50" s="6" t="s">
        <v>1482</v>
      </c>
    </row>
    <row r="51" spans="1:12">
      <c r="A51" t="s">
        <v>25</v>
      </c>
      <c r="B51" t="s">
        <v>1483</v>
      </c>
      <c r="C51" t="s">
        <v>1481</v>
      </c>
      <c r="G51">
        <v>100</v>
      </c>
      <c r="H51" t="s">
        <v>1482</v>
      </c>
      <c r="K51" s="5">
        <v>100</v>
      </c>
      <c r="L51" s="6" t="s">
        <v>1482</v>
      </c>
    </row>
    <row r="52" spans="1:12">
      <c r="A52" t="s">
        <v>150</v>
      </c>
      <c r="G52">
        <v>50</v>
      </c>
      <c r="H52" t="s">
        <v>1482</v>
      </c>
      <c r="K52" s="5">
        <v>50</v>
      </c>
      <c r="L52" s="6" t="s">
        <v>1482</v>
      </c>
    </row>
    <row r="53" spans="1:12">
      <c r="A53" t="s">
        <v>150</v>
      </c>
      <c r="B53" t="s">
        <v>1485</v>
      </c>
      <c r="G53">
        <v>150</v>
      </c>
      <c r="H53" t="s">
        <v>1482</v>
      </c>
      <c r="K53" s="5">
        <v>150</v>
      </c>
      <c r="L53" s="6" t="s">
        <v>1482</v>
      </c>
    </row>
    <row r="54" spans="1:12">
      <c r="A54" t="s">
        <v>28</v>
      </c>
      <c r="B54" t="s">
        <v>1484</v>
      </c>
      <c r="G54">
        <v>150</v>
      </c>
      <c r="H54" t="s">
        <v>1482</v>
      </c>
      <c r="K54" s="5">
        <v>150</v>
      </c>
      <c r="L54" s="6" t="s">
        <v>1482</v>
      </c>
    </row>
    <row r="55" spans="1:12">
      <c r="A55" t="s">
        <v>27</v>
      </c>
      <c r="B55" t="s">
        <v>1481</v>
      </c>
      <c r="G55">
        <v>100</v>
      </c>
      <c r="H55" t="s">
        <v>1482</v>
      </c>
      <c r="K55" s="5">
        <v>100</v>
      </c>
      <c r="L55" s="6" t="s">
        <v>1482</v>
      </c>
    </row>
    <row r="56" spans="1:12">
      <c r="A56" t="s">
        <v>28</v>
      </c>
      <c r="B56" t="s">
        <v>1484</v>
      </c>
      <c r="G56">
        <v>200</v>
      </c>
      <c r="H56" t="s">
        <v>1482</v>
      </c>
      <c r="K56" s="5">
        <v>200</v>
      </c>
      <c r="L56" s="6" t="s">
        <v>1482</v>
      </c>
    </row>
    <row r="57" spans="1:12">
      <c r="A57" t="s">
        <v>150</v>
      </c>
      <c r="G57">
        <v>200</v>
      </c>
      <c r="H57" t="s">
        <v>1482</v>
      </c>
      <c r="K57" s="5">
        <v>200</v>
      </c>
      <c r="L57" s="6" t="s">
        <v>1482</v>
      </c>
    </row>
    <row r="58" spans="1:12">
      <c r="A58" t="s">
        <v>26</v>
      </c>
      <c r="B58" t="s">
        <v>1486</v>
      </c>
      <c r="G58">
        <v>100</v>
      </c>
      <c r="H58" t="s">
        <v>1482</v>
      </c>
      <c r="K58" s="5">
        <v>100</v>
      </c>
      <c r="L58" s="6" t="s">
        <v>1482</v>
      </c>
    </row>
    <row r="59" spans="1:12">
      <c r="A59" t="s">
        <v>27</v>
      </c>
      <c r="G59">
        <v>150</v>
      </c>
      <c r="H59" t="s">
        <v>1482</v>
      </c>
      <c r="K59" s="5">
        <v>150</v>
      </c>
      <c r="L59" s="6" t="s">
        <v>1482</v>
      </c>
    </row>
    <row r="60" spans="1:12">
      <c r="A60" t="s">
        <v>150</v>
      </c>
      <c r="B60" t="s">
        <v>1481</v>
      </c>
      <c r="C60" t="s">
        <v>1486</v>
      </c>
      <c r="G60">
        <v>150</v>
      </c>
      <c r="H60" t="s">
        <v>1482</v>
      </c>
      <c r="K60" s="5">
        <v>150</v>
      </c>
      <c r="L60" s="6" t="s">
        <v>1482</v>
      </c>
    </row>
    <row r="61" spans="1:12">
      <c r="A61" t="s">
        <v>26</v>
      </c>
      <c r="B61" t="s">
        <v>1486</v>
      </c>
      <c r="C61" t="s">
        <v>1485</v>
      </c>
      <c r="G61">
        <v>150</v>
      </c>
      <c r="H61" t="s">
        <v>1482</v>
      </c>
      <c r="K61" s="5">
        <v>150</v>
      </c>
      <c r="L61" s="6" t="s">
        <v>1482</v>
      </c>
    </row>
    <row r="62" spans="1:12">
      <c r="A62" t="s">
        <v>27</v>
      </c>
      <c r="B62" t="s">
        <v>1486</v>
      </c>
      <c r="C62" t="s">
        <v>1484</v>
      </c>
      <c r="G62">
        <v>100</v>
      </c>
      <c r="H62" t="s">
        <v>1482</v>
      </c>
      <c r="K62" s="5">
        <v>100</v>
      </c>
      <c r="L62" s="6" t="s">
        <v>1482</v>
      </c>
    </row>
    <row r="63" spans="1:12">
      <c r="A63" t="s">
        <v>25</v>
      </c>
      <c r="B63" t="s">
        <v>1481</v>
      </c>
      <c r="C63" t="s">
        <v>1483</v>
      </c>
      <c r="G63">
        <v>100</v>
      </c>
      <c r="H63" t="s">
        <v>1482</v>
      </c>
      <c r="K63" s="5">
        <v>100</v>
      </c>
      <c r="L63" s="6" t="s">
        <v>1482</v>
      </c>
    </row>
    <row r="64" spans="1:12">
      <c r="A64" t="s">
        <v>27</v>
      </c>
      <c r="G64">
        <v>50</v>
      </c>
      <c r="H64" t="s">
        <v>1482</v>
      </c>
      <c r="K64" s="5">
        <v>50</v>
      </c>
      <c r="L64" s="6" t="s">
        <v>1482</v>
      </c>
    </row>
    <row r="65" spans="1:12">
      <c r="A65" t="s">
        <v>150</v>
      </c>
      <c r="G65">
        <v>150</v>
      </c>
      <c r="H65" t="s">
        <v>1482</v>
      </c>
      <c r="K65" s="5">
        <v>150</v>
      </c>
      <c r="L65" s="6" t="s">
        <v>1482</v>
      </c>
    </row>
    <row r="66" spans="1:12">
      <c r="A66" t="s">
        <v>28</v>
      </c>
      <c r="G66">
        <v>200</v>
      </c>
      <c r="H66" t="s">
        <v>1482</v>
      </c>
      <c r="K66" s="5">
        <v>200</v>
      </c>
      <c r="L66" s="6" t="s">
        <v>1482</v>
      </c>
    </row>
    <row r="67" spans="1:12">
      <c r="A67" t="s">
        <v>25</v>
      </c>
      <c r="B67" t="s">
        <v>1485</v>
      </c>
      <c r="G67">
        <v>50</v>
      </c>
      <c r="H67" t="s">
        <v>1482</v>
      </c>
      <c r="K67" s="5">
        <v>50</v>
      </c>
      <c r="L67" s="6" t="s">
        <v>1482</v>
      </c>
    </row>
    <row r="68" spans="1:12">
      <c r="A68" t="s">
        <v>27</v>
      </c>
      <c r="B68" t="s">
        <v>1484</v>
      </c>
      <c r="G68">
        <v>100</v>
      </c>
      <c r="H68" t="s">
        <v>1482</v>
      </c>
      <c r="K68" s="5">
        <v>100</v>
      </c>
      <c r="L68" s="6" t="s">
        <v>1482</v>
      </c>
    </row>
    <row r="69" spans="1:12">
      <c r="A69" t="s">
        <v>27</v>
      </c>
      <c r="B69" t="s">
        <v>1486</v>
      </c>
      <c r="C69" t="s">
        <v>1484</v>
      </c>
      <c r="G69">
        <v>200</v>
      </c>
      <c r="H69" t="s">
        <v>1482</v>
      </c>
      <c r="K69" s="5">
        <v>200</v>
      </c>
      <c r="L69" s="6" t="s">
        <v>1482</v>
      </c>
    </row>
    <row r="70" spans="1:12">
      <c r="A70" t="s">
        <v>28</v>
      </c>
      <c r="G70">
        <v>100</v>
      </c>
      <c r="H70" t="s">
        <v>1482</v>
      </c>
      <c r="K70" s="5">
        <v>100</v>
      </c>
      <c r="L70" s="6" t="s">
        <v>1482</v>
      </c>
    </row>
    <row r="71" spans="1:12">
      <c r="A71" t="s">
        <v>27</v>
      </c>
      <c r="G71">
        <v>200</v>
      </c>
      <c r="H71" t="s">
        <v>1482</v>
      </c>
      <c r="K71" s="5">
        <v>200</v>
      </c>
      <c r="L71" s="6" t="s">
        <v>1482</v>
      </c>
    </row>
    <row r="72" spans="1:12">
      <c r="A72" t="s">
        <v>26</v>
      </c>
      <c r="G72">
        <v>200</v>
      </c>
      <c r="H72" t="s">
        <v>1482</v>
      </c>
      <c r="K72" s="5">
        <v>200</v>
      </c>
      <c r="L72" s="6" t="s">
        <v>1482</v>
      </c>
    </row>
    <row r="73" spans="1:12">
      <c r="A73" t="s">
        <v>28</v>
      </c>
      <c r="B73" t="s">
        <v>1483</v>
      </c>
      <c r="C73" t="s">
        <v>1486</v>
      </c>
      <c r="G73">
        <v>200</v>
      </c>
      <c r="H73" t="s">
        <v>1482</v>
      </c>
      <c r="K73" s="5">
        <v>200</v>
      </c>
      <c r="L73" s="6" t="s">
        <v>1482</v>
      </c>
    </row>
    <row r="74" spans="1:12">
      <c r="A74" t="s">
        <v>25</v>
      </c>
      <c r="B74" t="s">
        <v>1485</v>
      </c>
      <c r="G74">
        <v>50</v>
      </c>
      <c r="H74" t="s">
        <v>1482</v>
      </c>
      <c r="K74" s="5">
        <v>50</v>
      </c>
      <c r="L74" s="6" t="s">
        <v>1482</v>
      </c>
    </row>
    <row r="75" spans="1:12">
      <c r="A75" t="s">
        <v>28</v>
      </c>
      <c r="B75" t="s">
        <v>1483</v>
      </c>
      <c r="C75" t="s">
        <v>1485</v>
      </c>
      <c r="G75">
        <v>50</v>
      </c>
      <c r="H75" t="s">
        <v>1482</v>
      </c>
      <c r="K75" s="5">
        <v>50</v>
      </c>
      <c r="L75" s="6" t="s">
        <v>1482</v>
      </c>
    </row>
    <row r="76" spans="1:12">
      <c r="A76" t="s">
        <v>27</v>
      </c>
      <c r="B76" t="s">
        <v>1481</v>
      </c>
      <c r="G76">
        <v>100</v>
      </c>
      <c r="H76" t="s">
        <v>1482</v>
      </c>
      <c r="K76" s="5">
        <v>100</v>
      </c>
      <c r="L76" s="6" t="s">
        <v>1482</v>
      </c>
    </row>
    <row r="77" spans="1:12">
      <c r="A77" t="s">
        <v>150</v>
      </c>
      <c r="B77" t="s">
        <v>1485</v>
      </c>
      <c r="G77">
        <v>100</v>
      </c>
      <c r="H77" t="s">
        <v>1482</v>
      </c>
      <c r="K77" s="5">
        <v>100</v>
      </c>
      <c r="L77" s="6" t="s">
        <v>1482</v>
      </c>
    </row>
    <row r="78" spans="1:12">
      <c r="A78" t="s">
        <v>25</v>
      </c>
      <c r="G78">
        <v>100</v>
      </c>
      <c r="H78" t="s">
        <v>1482</v>
      </c>
      <c r="K78" s="5">
        <v>100</v>
      </c>
      <c r="L78" s="6" t="s">
        <v>1482</v>
      </c>
    </row>
    <row r="79" spans="1:12">
      <c r="A79" t="s">
        <v>150</v>
      </c>
      <c r="B79" t="s">
        <v>1486</v>
      </c>
      <c r="C79" t="s">
        <v>1481</v>
      </c>
      <c r="G79">
        <v>200</v>
      </c>
      <c r="H79" t="s">
        <v>1482</v>
      </c>
      <c r="K79" s="5">
        <v>200</v>
      </c>
      <c r="L79" s="6" t="s">
        <v>1482</v>
      </c>
    </row>
    <row r="80" spans="1:12">
      <c r="A80" t="s">
        <v>150</v>
      </c>
      <c r="B80" t="s">
        <v>1486</v>
      </c>
      <c r="G80">
        <v>150</v>
      </c>
      <c r="H80" t="s">
        <v>1482</v>
      </c>
      <c r="K80" s="5">
        <v>150</v>
      </c>
      <c r="L80" s="6" t="s">
        <v>1482</v>
      </c>
    </row>
    <row r="81" spans="1:12">
      <c r="A81" t="s">
        <v>150</v>
      </c>
      <c r="B81" t="s">
        <v>1485</v>
      </c>
      <c r="C81" t="s">
        <v>1481</v>
      </c>
      <c r="G81">
        <v>200</v>
      </c>
      <c r="H81" t="s">
        <v>1482</v>
      </c>
      <c r="K81" s="5">
        <v>200</v>
      </c>
      <c r="L81" s="6" t="s">
        <v>1482</v>
      </c>
    </row>
    <row r="82" spans="1:12">
      <c r="A82" t="s">
        <v>26</v>
      </c>
      <c r="B82" t="s">
        <v>1485</v>
      </c>
      <c r="C82" t="s">
        <v>1481</v>
      </c>
      <c r="G82">
        <v>100</v>
      </c>
      <c r="H82" t="s">
        <v>1482</v>
      </c>
      <c r="K82" s="5">
        <v>100</v>
      </c>
      <c r="L82" s="6" t="s">
        <v>1482</v>
      </c>
    </row>
    <row r="83" spans="1:12">
      <c r="A83" t="s">
        <v>26</v>
      </c>
      <c r="B83" t="s">
        <v>1486</v>
      </c>
      <c r="C83" t="s">
        <v>1484</v>
      </c>
      <c r="G83">
        <v>50</v>
      </c>
      <c r="H83" t="s">
        <v>1482</v>
      </c>
      <c r="K83" s="5">
        <v>50</v>
      </c>
      <c r="L83" s="6" t="s">
        <v>1482</v>
      </c>
    </row>
    <row r="84" spans="1:12">
      <c r="A84" t="s">
        <v>27</v>
      </c>
      <c r="G84">
        <v>100</v>
      </c>
      <c r="H84" t="s">
        <v>1482</v>
      </c>
      <c r="K84" s="5">
        <v>100</v>
      </c>
      <c r="L84" s="6" t="s">
        <v>1482</v>
      </c>
    </row>
    <row r="85" spans="1:12">
      <c r="A85" t="s">
        <v>28</v>
      </c>
      <c r="B85" t="s">
        <v>1486</v>
      </c>
      <c r="C85" t="s">
        <v>1485</v>
      </c>
      <c r="G85">
        <v>50</v>
      </c>
      <c r="H85" t="s">
        <v>1482</v>
      </c>
      <c r="K85" s="5">
        <v>50</v>
      </c>
      <c r="L85" s="6" t="s">
        <v>1482</v>
      </c>
    </row>
    <row r="86" spans="1:12">
      <c r="A86" t="s">
        <v>28</v>
      </c>
      <c r="B86" t="s">
        <v>1486</v>
      </c>
      <c r="G86">
        <v>100</v>
      </c>
      <c r="H86" t="s">
        <v>1482</v>
      </c>
      <c r="K86" s="5">
        <v>100</v>
      </c>
      <c r="L86" s="6" t="s">
        <v>1482</v>
      </c>
    </row>
    <row r="87" spans="1:12">
      <c r="A87" t="s">
        <v>26</v>
      </c>
      <c r="B87" t="s">
        <v>1481</v>
      </c>
      <c r="G87">
        <v>200</v>
      </c>
      <c r="H87" t="s">
        <v>1482</v>
      </c>
      <c r="K87" s="5">
        <v>200</v>
      </c>
      <c r="L87" s="6" t="s">
        <v>1482</v>
      </c>
    </row>
    <row r="88" spans="1:12">
      <c r="A88" t="s">
        <v>26</v>
      </c>
      <c r="G88">
        <v>50</v>
      </c>
      <c r="H88" t="s">
        <v>1482</v>
      </c>
      <c r="K88" s="5">
        <v>50</v>
      </c>
      <c r="L88" s="6" t="s">
        <v>1482</v>
      </c>
    </row>
    <row r="89" spans="1:12">
      <c r="A89" t="s">
        <v>150</v>
      </c>
      <c r="B89" t="s">
        <v>1483</v>
      </c>
      <c r="G89">
        <v>50</v>
      </c>
      <c r="H89" t="s">
        <v>1482</v>
      </c>
      <c r="K89" s="5">
        <v>50</v>
      </c>
      <c r="L89" s="6" t="s">
        <v>1482</v>
      </c>
    </row>
    <row r="90" spans="1:12">
      <c r="A90" t="s">
        <v>25</v>
      </c>
      <c r="G90">
        <v>200</v>
      </c>
      <c r="H90" t="s">
        <v>1482</v>
      </c>
      <c r="K90" s="5">
        <v>200</v>
      </c>
      <c r="L90" s="6" t="s">
        <v>1482</v>
      </c>
    </row>
    <row r="91" spans="1:12">
      <c r="A91" t="s">
        <v>26</v>
      </c>
      <c r="B91" t="s">
        <v>1485</v>
      </c>
      <c r="G91">
        <v>50</v>
      </c>
      <c r="H91" t="s">
        <v>1482</v>
      </c>
      <c r="K91" s="5">
        <v>50</v>
      </c>
      <c r="L91" s="6" t="s">
        <v>1482</v>
      </c>
    </row>
    <row r="92" spans="1:12">
      <c r="A92" t="s">
        <v>25</v>
      </c>
      <c r="G92">
        <v>150</v>
      </c>
      <c r="H92" t="s">
        <v>1482</v>
      </c>
      <c r="K92" s="5">
        <v>150</v>
      </c>
      <c r="L92" s="6" t="s">
        <v>1482</v>
      </c>
    </row>
    <row r="93" spans="1:12">
      <c r="A93" t="s">
        <v>27</v>
      </c>
      <c r="B93" t="s">
        <v>1481</v>
      </c>
      <c r="G93">
        <v>50</v>
      </c>
      <c r="H93" t="s">
        <v>1482</v>
      </c>
      <c r="K93" s="5">
        <v>50</v>
      </c>
      <c r="L93" s="6" t="s">
        <v>1482</v>
      </c>
    </row>
    <row r="94" spans="1:12">
      <c r="A94" t="s">
        <v>150</v>
      </c>
      <c r="B94" t="s">
        <v>1485</v>
      </c>
      <c r="C94" t="s">
        <v>1481</v>
      </c>
      <c r="G94">
        <v>200</v>
      </c>
      <c r="H94" t="s">
        <v>1482</v>
      </c>
      <c r="K94" s="5">
        <v>200</v>
      </c>
      <c r="L94" s="6" t="s">
        <v>1482</v>
      </c>
    </row>
    <row r="95" spans="1:12">
      <c r="A95" t="s">
        <v>150</v>
      </c>
      <c r="G95">
        <v>200</v>
      </c>
      <c r="H95" t="s">
        <v>1482</v>
      </c>
      <c r="K95" s="5">
        <v>200</v>
      </c>
      <c r="L95" s="6" t="s">
        <v>1482</v>
      </c>
    </row>
    <row r="96" spans="1:12">
      <c r="A96" t="s">
        <v>28</v>
      </c>
      <c r="B96" t="s">
        <v>1486</v>
      </c>
      <c r="G96">
        <v>100</v>
      </c>
      <c r="H96" t="s">
        <v>1482</v>
      </c>
      <c r="K96" s="5">
        <v>100</v>
      </c>
      <c r="L96" s="6" t="s">
        <v>1482</v>
      </c>
    </row>
    <row r="97" spans="1:12">
      <c r="A97" t="s">
        <v>27</v>
      </c>
      <c r="B97" t="s">
        <v>1484</v>
      </c>
      <c r="G97">
        <v>100</v>
      </c>
      <c r="H97" t="s">
        <v>1482</v>
      </c>
      <c r="K97" s="5">
        <v>100</v>
      </c>
      <c r="L97" s="6" t="s">
        <v>1482</v>
      </c>
    </row>
    <row r="98" spans="1:12">
      <c r="A98" t="s">
        <v>28</v>
      </c>
      <c r="B98" t="s">
        <v>1484</v>
      </c>
      <c r="C98" t="s">
        <v>1485</v>
      </c>
      <c r="G98">
        <v>150</v>
      </c>
      <c r="H98" t="s">
        <v>1482</v>
      </c>
      <c r="K98" s="5">
        <v>150</v>
      </c>
      <c r="L98" s="6" t="s">
        <v>1482</v>
      </c>
    </row>
    <row r="99" spans="1:12">
      <c r="A99" t="s">
        <v>28</v>
      </c>
      <c r="G99">
        <v>150</v>
      </c>
      <c r="H99" t="s">
        <v>1482</v>
      </c>
      <c r="K99" s="5">
        <v>150</v>
      </c>
      <c r="L99" s="6" t="s">
        <v>1482</v>
      </c>
    </row>
    <row r="100" spans="1:12">
      <c r="A100" t="s">
        <v>27</v>
      </c>
      <c r="B100" t="s">
        <v>1486</v>
      </c>
      <c r="G100">
        <v>50</v>
      </c>
      <c r="H100" t="s">
        <v>1482</v>
      </c>
      <c r="K100" s="5">
        <v>50</v>
      </c>
      <c r="L100" s="6" t="s">
        <v>1482</v>
      </c>
    </row>
    <row r="101" spans="1:12">
      <c r="A101" t="s">
        <v>26</v>
      </c>
      <c r="G101">
        <v>50</v>
      </c>
      <c r="H101" t="s">
        <v>1482</v>
      </c>
      <c r="K101" s="5">
        <v>50</v>
      </c>
      <c r="L101" s="6" t="s">
        <v>1482</v>
      </c>
    </row>
    <row r="102" spans="1:12">
      <c r="A102" t="s">
        <v>25</v>
      </c>
      <c r="B102" t="s">
        <v>1484</v>
      </c>
      <c r="C102" t="s">
        <v>1483</v>
      </c>
      <c r="G102">
        <v>50</v>
      </c>
      <c r="H102" t="s">
        <v>1482</v>
      </c>
      <c r="K102" s="5">
        <v>50</v>
      </c>
      <c r="L102" s="6" t="s">
        <v>1482</v>
      </c>
    </row>
    <row r="103" spans="1:12">
      <c r="A103" t="s">
        <v>150</v>
      </c>
      <c r="B103" t="s">
        <v>1486</v>
      </c>
      <c r="G103">
        <v>150</v>
      </c>
      <c r="H103" t="s">
        <v>1482</v>
      </c>
      <c r="K103" s="5">
        <v>150</v>
      </c>
      <c r="L103" s="6" t="s">
        <v>1482</v>
      </c>
    </row>
    <row r="104" spans="1:12">
      <c r="A104" t="s">
        <v>25</v>
      </c>
      <c r="B104" t="s">
        <v>1484</v>
      </c>
      <c r="G104">
        <v>200</v>
      </c>
      <c r="H104" t="s">
        <v>1482</v>
      </c>
      <c r="K104" s="5">
        <v>200</v>
      </c>
      <c r="L104" s="6" t="s">
        <v>1482</v>
      </c>
    </row>
    <row r="105" spans="1:12">
      <c r="A105" t="s">
        <v>27</v>
      </c>
      <c r="B105" t="s">
        <v>1481</v>
      </c>
      <c r="C105" t="s">
        <v>1486</v>
      </c>
      <c r="G105">
        <v>100</v>
      </c>
      <c r="H105" t="s">
        <v>1482</v>
      </c>
      <c r="K105" s="5">
        <v>100</v>
      </c>
      <c r="L105" s="6" t="s">
        <v>1482</v>
      </c>
    </row>
    <row r="106" spans="1:12">
      <c r="A106" t="s">
        <v>27</v>
      </c>
      <c r="B106" t="s">
        <v>1486</v>
      </c>
      <c r="G106">
        <v>200</v>
      </c>
      <c r="H106" t="s">
        <v>1482</v>
      </c>
      <c r="K106" s="5">
        <v>200</v>
      </c>
      <c r="L106" s="6" t="s">
        <v>1482</v>
      </c>
    </row>
    <row r="107" spans="1:12">
      <c r="A107" t="s">
        <v>27</v>
      </c>
      <c r="B107" t="s">
        <v>1486</v>
      </c>
      <c r="G107">
        <v>50</v>
      </c>
      <c r="H107" t="s">
        <v>1482</v>
      </c>
      <c r="K107" s="5">
        <v>50</v>
      </c>
      <c r="L107" s="6" t="s">
        <v>1482</v>
      </c>
    </row>
    <row r="108" spans="1:12">
      <c r="A108" t="s">
        <v>25</v>
      </c>
      <c r="G108">
        <v>50</v>
      </c>
      <c r="H108" t="s">
        <v>1482</v>
      </c>
      <c r="K108" s="5">
        <v>50</v>
      </c>
      <c r="L108" s="6" t="s">
        <v>1482</v>
      </c>
    </row>
    <row r="109" spans="1:12">
      <c r="A109" t="s">
        <v>26</v>
      </c>
      <c r="G109">
        <v>100</v>
      </c>
      <c r="H109" t="s">
        <v>1482</v>
      </c>
      <c r="K109" s="5">
        <v>100</v>
      </c>
      <c r="L109" s="6" t="s">
        <v>1482</v>
      </c>
    </row>
    <row r="110" spans="1:12">
      <c r="A110" t="s">
        <v>25</v>
      </c>
      <c r="B110" t="s">
        <v>1481</v>
      </c>
      <c r="G110">
        <v>50</v>
      </c>
      <c r="H110" t="s">
        <v>1482</v>
      </c>
      <c r="K110" s="5">
        <v>50</v>
      </c>
      <c r="L110" s="6" t="s">
        <v>1482</v>
      </c>
    </row>
    <row r="111" spans="1:12">
      <c r="A111" t="s">
        <v>150</v>
      </c>
      <c r="B111" t="s">
        <v>1483</v>
      </c>
      <c r="G111">
        <v>200</v>
      </c>
      <c r="H111" t="s">
        <v>1482</v>
      </c>
      <c r="K111" s="5">
        <v>200</v>
      </c>
      <c r="L111" s="6" t="s">
        <v>1482</v>
      </c>
    </row>
    <row r="112" spans="1:12">
      <c r="A112" t="s">
        <v>28</v>
      </c>
      <c r="B112" t="s">
        <v>1486</v>
      </c>
      <c r="C112" t="s">
        <v>1484</v>
      </c>
      <c r="G112">
        <v>50</v>
      </c>
      <c r="H112" t="s">
        <v>1482</v>
      </c>
      <c r="K112" s="5">
        <v>50</v>
      </c>
      <c r="L112" s="6" t="s">
        <v>1482</v>
      </c>
    </row>
    <row r="113" spans="1:12">
      <c r="A113" t="s">
        <v>27</v>
      </c>
      <c r="G113">
        <v>150</v>
      </c>
      <c r="H113" t="s">
        <v>1482</v>
      </c>
      <c r="K113" s="5">
        <v>150</v>
      </c>
      <c r="L113" s="6" t="s">
        <v>1482</v>
      </c>
    </row>
    <row r="114" spans="1:12">
      <c r="A114" t="s">
        <v>28</v>
      </c>
      <c r="G114">
        <v>200</v>
      </c>
      <c r="H114" t="s">
        <v>1482</v>
      </c>
      <c r="K114" s="5">
        <v>200</v>
      </c>
      <c r="L114" s="6" t="s">
        <v>1482</v>
      </c>
    </row>
    <row r="115" spans="1:12">
      <c r="A115" t="s">
        <v>27</v>
      </c>
      <c r="B115" t="s">
        <v>1484</v>
      </c>
      <c r="C115" t="s">
        <v>1486</v>
      </c>
      <c r="G115">
        <v>200</v>
      </c>
      <c r="H115" t="s">
        <v>1482</v>
      </c>
      <c r="K115" s="5">
        <v>200</v>
      </c>
      <c r="L115" s="6" t="s">
        <v>1482</v>
      </c>
    </row>
    <row r="116" spans="1:12">
      <c r="A116" t="s">
        <v>26</v>
      </c>
      <c r="G116">
        <v>150</v>
      </c>
      <c r="H116" t="s">
        <v>1482</v>
      </c>
      <c r="K116" s="5">
        <v>150</v>
      </c>
      <c r="L116" s="6" t="s">
        <v>1482</v>
      </c>
    </row>
    <row r="117" spans="1:12">
      <c r="A117" t="s">
        <v>25</v>
      </c>
      <c r="B117" t="s">
        <v>1483</v>
      </c>
      <c r="C117" t="s">
        <v>1481</v>
      </c>
      <c r="G117">
        <v>100</v>
      </c>
      <c r="H117" t="s">
        <v>1482</v>
      </c>
      <c r="K117" s="5">
        <v>100</v>
      </c>
      <c r="L117" s="6" t="s">
        <v>1482</v>
      </c>
    </row>
    <row r="118" spans="1:12">
      <c r="A118" t="s">
        <v>26</v>
      </c>
      <c r="B118" t="s">
        <v>1486</v>
      </c>
      <c r="G118">
        <v>200</v>
      </c>
      <c r="H118" t="s">
        <v>1482</v>
      </c>
      <c r="K118" s="5">
        <v>200</v>
      </c>
      <c r="L118" s="6" t="s">
        <v>1482</v>
      </c>
    </row>
    <row r="119" spans="1:12">
      <c r="A119" t="s">
        <v>25</v>
      </c>
      <c r="B119" t="s">
        <v>1485</v>
      </c>
      <c r="C119" t="s">
        <v>1481</v>
      </c>
      <c r="G119">
        <v>100</v>
      </c>
      <c r="H119" t="s">
        <v>1482</v>
      </c>
      <c r="K119" s="5">
        <v>100</v>
      </c>
      <c r="L119" s="6" t="s">
        <v>1482</v>
      </c>
    </row>
    <row r="120" spans="1:12">
      <c r="A120" t="s">
        <v>27</v>
      </c>
      <c r="G120">
        <v>200</v>
      </c>
      <c r="H120" t="s">
        <v>1482</v>
      </c>
      <c r="K120" s="5">
        <v>200</v>
      </c>
      <c r="L120" s="6" t="s">
        <v>1482</v>
      </c>
    </row>
    <row r="121" spans="1:12">
      <c r="A121" t="s">
        <v>25</v>
      </c>
      <c r="B121" t="s">
        <v>1481</v>
      </c>
      <c r="C121" t="s">
        <v>1484</v>
      </c>
      <c r="G121">
        <v>50</v>
      </c>
      <c r="H121" t="s">
        <v>1482</v>
      </c>
      <c r="K121" s="5">
        <v>50</v>
      </c>
      <c r="L121" s="6" t="s">
        <v>1482</v>
      </c>
    </row>
    <row r="122" spans="1:12">
      <c r="A122" t="s">
        <v>150</v>
      </c>
      <c r="G122">
        <v>200</v>
      </c>
      <c r="H122" t="s">
        <v>1482</v>
      </c>
      <c r="K122" s="5">
        <v>200</v>
      </c>
      <c r="L122" s="6" t="s">
        <v>1482</v>
      </c>
    </row>
    <row r="123" spans="1:12">
      <c r="A123" t="s">
        <v>25</v>
      </c>
      <c r="B123" t="s">
        <v>1481</v>
      </c>
      <c r="C123" t="s">
        <v>1485</v>
      </c>
      <c r="G123">
        <v>150</v>
      </c>
      <c r="H123" t="s">
        <v>1482</v>
      </c>
      <c r="K123" s="5">
        <v>150</v>
      </c>
      <c r="L123" s="6" t="s">
        <v>1482</v>
      </c>
    </row>
    <row r="124" spans="1:12">
      <c r="A124" t="s">
        <v>25</v>
      </c>
      <c r="B124" t="s">
        <v>1481</v>
      </c>
      <c r="C124" t="s">
        <v>1485</v>
      </c>
      <c r="G124">
        <v>150</v>
      </c>
      <c r="H124" t="s">
        <v>1482</v>
      </c>
      <c r="K124" s="5">
        <v>150</v>
      </c>
      <c r="L124" s="6" t="s">
        <v>1482</v>
      </c>
    </row>
    <row r="125" spans="1:12">
      <c r="A125" t="s">
        <v>150</v>
      </c>
      <c r="G125">
        <v>100</v>
      </c>
      <c r="H125" t="s">
        <v>1482</v>
      </c>
      <c r="K125" s="5">
        <v>100</v>
      </c>
      <c r="L125" s="6" t="s">
        <v>1482</v>
      </c>
    </row>
    <row r="126" spans="1:12">
      <c r="A126" t="s">
        <v>25</v>
      </c>
      <c r="B126" t="s">
        <v>1481</v>
      </c>
      <c r="G126">
        <v>200</v>
      </c>
      <c r="H126" t="s">
        <v>1482</v>
      </c>
      <c r="K126" s="5">
        <v>200</v>
      </c>
      <c r="L126" s="6" t="s">
        <v>1482</v>
      </c>
    </row>
    <row r="127" spans="1:12">
      <c r="A127" t="s">
        <v>27</v>
      </c>
      <c r="B127" t="s">
        <v>1486</v>
      </c>
      <c r="G127">
        <v>100</v>
      </c>
      <c r="H127" t="s">
        <v>1482</v>
      </c>
      <c r="K127" s="5">
        <v>100</v>
      </c>
      <c r="L127" s="6" t="s">
        <v>1482</v>
      </c>
    </row>
    <row r="128" spans="1:12">
      <c r="A128" t="s">
        <v>150</v>
      </c>
      <c r="B128" t="s">
        <v>1481</v>
      </c>
      <c r="C128" t="s">
        <v>1486</v>
      </c>
      <c r="G128">
        <v>200</v>
      </c>
      <c r="H128" t="s">
        <v>1482</v>
      </c>
      <c r="K128" s="5">
        <v>200</v>
      </c>
      <c r="L128" s="6" t="s">
        <v>1482</v>
      </c>
    </row>
    <row r="129" spans="1:12">
      <c r="A129" t="s">
        <v>28</v>
      </c>
      <c r="G129">
        <v>150</v>
      </c>
      <c r="H129" t="s">
        <v>1482</v>
      </c>
      <c r="K129" s="5">
        <v>150</v>
      </c>
      <c r="L129" s="6" t="s">
        <v>1482</v>
      </c>
    </row>
    <row r="130" spans="1:12">
      <c r="A130" t="s">
        <v>25</v>
      </c>
      <c r="G130">
        <v>100</v>
      </c>
      <c r="H130" t="s">
        <v>1482</v>
      </c>
      <c r="K130" s="5">
        <v>100</v>
      </c>
      <c r="L130" s="6" t="s">
        <v>1482</v>
      </c>
    </row>
    <row r="131" spans="1:12">
      <c r="A131" t="s">
        <v>28</v>
      </c>
      <c r="B131" t="s">
        <v>1484</v>
      </c>
      <c r="C131" t="s">
        <v>1483</v>
      </c>
      <c r="G131">
        <v>200</v>
      </c>
      <c r="H131" t="s">
        <v>1482</v>
      </c>
      <c r="K131" s="5">
        <v>200</v>
      </c>
      <c r="L131" s="6" t="s">
        <v>1482</v>
      </c>
    </row>
    <row r="132" spans="1:12">
      <c r="A132" t="s">
        <v>26</v>
      </c>
      <c r="B132" t="s">
        <v>1486</v>
      </c>
      <c r="G132">
        <v>150</v>
      </c>
      <c r="H132" t="s">
        <v>1482</v>
      </c>
      <c r="K132" s="5">
        <v>150</v>
      </c>
      <c r="L132" s="6" t="s">
        <v>1482</v>
      </c>
    </row>
    <row r="133" spans="1:12">
      <c r="A133" t="s">
        <v>150</v>
      </c>
      <c r="B133" t="s">
        <v>1486</v>
      </c>
      <c r="G133">
        <v>150</v>
      </c>
      <c r="H133" t="s">
        <v>1482</v>
      </c>
      <c r="K133" s="5">
        <v>150</v>
      </c>
      <c r="L133" s="6" t="s">
        <v>1482</v>
      </c>
    </row>
    <row r="134" spans="1:12">
      <c r="A134" t="s">
        <v>28</v>
      </c>
      <c r="B134" t="s">
        <v>1485</v>
      </c>
      <c r="G134">
        <v>150</v>
      </c>
      <c r="H134" t="s">
        <v>1482</v>
      </c>
      <c r="K134" s="5">
        <v>150</v>
      </c>
      <c r="L134" s="6" t="s">
        <v>1482</v>
      </c>
    </row>
    <row r="135" spans="1:12">
      <c r="A135" t="s">
        <v>25</v>
      </c>
      <c r="B135" t="s">
        <v>1485</v>
      </c>
      <c r="G135">
        <v>150</v>
      </c>
      <c r="H135" t="s">
        <v>1482</v>
      </c>
      <c r="K135" s="5">
        <v>150</v>
      </c>
      <c r="L135" s="6" t="s">
        <v>1482</v>
      </c>
    </row>
    <row r="136" spans="1:12">
      <c r="A136" t="s">
        <v>26</v>
      </c>
      <c r="B136" t="s">
        <v>1486</v>
      </c>
      <c r="G136">
        <v>200</v>
      </c>
      <c r="H136" t="s">
        <v>1482</v>
      </c>
      <c r="K136" s="5">
        <v>200</v>
      </c>
      <c r="L136" s="6" t="s">
        <v>1482</v>
      </c>
    </row>
    <row r="137" spans="1:12">
      <c r="A137" t="s">
        <v>25</v>
      </c>
      <c r="B137" t="s">
        <v>1483</v>
      </c>
      <c r="G137">
        <v>50</v>
      </c>
      <c r="H137" t="s">
        <v>1482</v>
      </c>
      <c r="K137" s="5">
        <v>50</v>
      </c>
      <c r="L137" s="6" t="s">
        <v>1482</v>
      </c>
    </row>
    <row r="138" spans="1:12">
      <c r="A138" t="s">
        <v>150</v>
      </c>
      <c r="B138" t="s">
        <v>1485</v>
      </c>
      <c r="C138" t="s">
        <v>1481</v>
      </c>
      <c r="G138">
        <v>200</v>
      </c>
      <c r="H138" t="s">
        <v>1482</v>
      </c>
      <c r="K138" s="5">
        <v>200</v>
      </c>
      <c r="L138" s="6" t="s">
        <v>1482</v>
      </c>
    </row>
    <row r="139" spans="1:12">
      <c r="A139" t="s">
        <v>150</v>
      </c>
      <c r="G139">
        <v>150</v>
      </c>
      <c r="H139" t="s">
        <v>1482</v>
      </c>
      <c r="K139" s="5">
        <v>150</v>
      </c>
      <c r="L139" s="6" t="s">
        <v>1482</v>
      </c>
    </row>
    <row r="140" spans="1:12">
      <c r="A140" t="s">
        <v>150</v>
      </c>
      <c r="B140" t="s">
        <v>1483</v>
      </c>
      <c r="C140" t="s">
        <v>1485</v>
      </c>
      <c r="G140">
        <v>50</v>
      </c>
      <c r="H140" t="s">
        <v>1482</v>
      </c>
      <c r="K140" s="5">
        <v>50</v>
      </c>
      <c r="L140" s="6" t="s">
        <v>1482</v>
      </c>
    </row>
    <row r="141" spans="1:12">
      <c r="A141" t="s">
        <v>26</v>
      </c>
      <c r="G141">
        <v>50</v>
      </c>
      <c r="H141" t="s">
        <v>1482</v>
      </c>
      <c r="K141" s="5">
        <v>50</v>
      </c>
      <c r="L141" s="6" t="s">
        <v>1482</v>
      </c>
    </row>
    <row r="142" spans="1:12">
      <c r="A142" t="s">
        <v>28</v>
      </c>
      <c r="B142" t="s">
        <v>1483</v>
      </c>
      <c r="C142" t="s">
        <v>1486</v>
      </c>
      <c r="G142">
        <v>200</v>
      </c>
      <c r="H142" t="s">
        <v>1482</v>
      </c>
      <c r="K142" s="5">
        <v>200</v>
      </c>
      <c r="L142" s="6" t="s">
        <v>1482</v>
      </c>
    </row>
    <row r="143" spans="1:12">
      <c r="A143" t="s">
        <v>25</v>
      </c>
      <c r="G143">
        <v>200</v>
      </c>
      <c r="H143" t="s">
        <v>1482</v>
      </c>
      <c r="K143" s="5">
        <v>200</v>
      </c>
      <c r="L143" s="6" t="s">
        <v>1482</v>
      </c>
    </row>
    <row r="144" spans="1:12">
      <c r="A144" t="s">
        <v>26</v>
      </c>
      <c r="B144" t="s">
        <v>1485</v>
      </c>
      <c r="C144" t="s">
        <v>1486</v>
      </c>
      <c r="G144">
        <v>50</v>
      </c>
      <c r="H144" t="s">
        <v>1482</v>
      </c>
      <c r="K144" s="5">
        <v>50</v>
      </c>
      <c r="L144" s="6" t="s">
        <v>1482</v>
      </c>
    </row>
    <row r="145" spans="1:12">
      <c r="A145" t="s">
        <v>28</v>
      </c>
      <c r="B145" t="s">
        <v>1485</v>
      </c>
      <c r="C145" t="s">
        <v>1486</v>
      </c>
      <c r="G145">
        <v>150</v>
      </c>
      <c r="H145" t="s">
        <v>1482</v>
      </c>
      <c r="K145" s="5">
        <v>150</v>
      </c>
      <c r="L145" s="6" t="s">
        <v>1482</v>
      </c>
    </row>
    <row r="146" spans="1:12">
      <c r="A146" t="s">
        <v>27</v>
      </c>
      <c r="G146">
        <v>50</v>
      </c>
      <c r="H146" t="s">
        <v>1482</v>
      </c>
      <c r="K146" s="5">
        <v>50</v>
      </c>
      <c r="L146" s="6" t="s">
        <v>1482</v>
      </c>
    </row>
    <row r="147" spans="1:12">
      <c r="A147" t="s">
        <v>25</v>
      </c>
      <c r="G147">
        <v>200</v>
      </c>
      <c r="H147" t="s">
        <v>1482</v>
      </c>
      <c r="K147" s="5">
        <v>200</v>
      </c>
      <c r="L147" s="6" t="s">
        <v>1482</v>
      </c>
    </row>
    <row r="148" spans="1:12">
      <c r="A148" t="s">
        <v>25</v>
      </c>
      <c r="G148">
        <v>100</v>
      </c>
      <c r="H148" t="s">
        <v>1482</v>
      </c>
      <c r="K148" s="5">
        <v>100</v>
      </c>
      <c r="L148" s="6" t="s">
        <v>1482</v>
      </c>
    </row>
    <row r="149" spans="1:12">
      <c r="A149" t="s">
        <v>26</v>
      </c>
      <c r="G149">
        <v>50</v>
      </c>
      <c r="H149" t="s">
        <v>1482</v>
      </c>
      <c r="K149" s="5">
        <v>50</v>
      </c>
      <c r="L149" s="6" t="s">
        <v>1482</v>
      </c>
    </row>
    <row r="150" spans="1:12">
      <c r="A150" t="s">
        <v>26</v>
      </c>
      <c r="G150">
        <v>50</v>
      </c>
      <c r="H150" t="s">
        <v>1482</v>
      </c>
      <c r="K150" s="5">
        <v>50</v>
      </c>
      <c r="L150" s="6" t="s">
        <v>1482</v>
      </c>
    </row>
    <row r="151" spans="1:12">
      <c r="A151" t="s">
        <v>27</v>
      </c>
      <c r="B151" t="s">
        <v>1483</v>
      </c>
      <c r="C151" t="s">
        <v>1481</v>
      </c>
      <c r="G151">
        <v>100</v>
      </c>
      <c r="H151" t="s">
        <v>1482</v>
      </c>
      <c r="K151" s="5">
        <v>100</v>
      </c>
      <c r="L151" s="6" t="s">
        <v>1482</v>
      </c>
    </row>
    <row r="152" spans="1:12">
      <c r="A152" t="s">
        <v>26</v>
      </c>
      <c r="B152" t="s">
        <v>1485</v>
      </c>
      <c r="C152" t="s">
        <v>1486</v>
      </c>
      <c r="G152">
        <v>150</v>
      </c>
      <c r="H152" t="s">
        <v>1482</v>
      </c>
      <c r="K152" s="5">
        <v>150</v>
      </c>
      <c r="L152" s="6" t="s">
        <v>1482</v>
      </c>
    </row>
    <row r="153" spans="1:12">
      <c r="A153" t="s">
        <v>25</v>
      </c>
      <c r="B153" t="s">
        <v>1481</v>
      </c>
      <c r="G153">
        <v>50</v>
      </c>
      <c r="H153" t="s">
        <v>1482</v>
      </c>
      <c r="K153" s="5">
        <v>50</v>
      </c>
      <c r="L153" s="6" t="s">
        <v>1482</v>
      </c>
    </row>
    <row r="154" spans="1:12">
      <c r="A154" t="s">
        <v>150</v>
      </c>
      <c r="B154" t="s">
        <v>1483</v>
      </c>
      <c r="G154">
        <v>100</v>
      </c>
      <c r="H154" t="s">
        <v>1482</v>
      </c>
      <c r="K154" s="5">
        <v>100</v>
      </c>
      <c r="L154" s="6" t="s">
        <v>1482</v>
      </c>
    </row>
    <row r="155" spans="1:12">
      <c r="A155" t="s">
        <v>28</v>
      </c>
      <c r="G155">
        <v>200</v>
      </c>
      <c r="H155" t="s">
        <v>1482</v>
      </c>
      <c r="K155" s="5">
        <v>200</v>
      </c>
      <c r="L155" s="6" t="s">
        <v>1482</v>
      </c>
    </row>
    <row r="156" spans="1:12">
      <c r="A156" t="s">
        <v>25</v>
      </c>
      <c r="B156" t="s">
        <v>1483</v>
      </c>
      <c r="G156">
        <v>100</v>
      </c>
      <c r="H156" t="s">
        <v>1482</v>
      </c>
      <c r="K156" s="5">
        <v>100</v>
      </c>
      <c r="L156" s="6" t="s">
        <v>1482</v>
      </c>
    </row>
    <row r="157" spans="1:12">
      <c r="A157" t="s">
        <v>27</v>
      </c>
      <c r="B157" t="s">
        <v>1483</v>
      </c>
      <c r="C157" t="s">
        <v>1481</v>
      </c>
      <c r="G157">
        <v>200</v>
      </c>
      <c r="H157" t="s">
        <v>1482</v>
      </c>
      <c r="K157" s="5">
        <v>200</v>
      </c>
      <c r="L157" s="6" t="s">
        <v>1482</v>
      </c>
    </row>
    <row r="158" spans="1:12">
      <c r="A158" t="s">
        <v>150</v>
      </c>
      <c r="B158" t="s">
        <v>1481</v>
      </c>
      <c r="G158">
        <v>100</v>
      </c>
      <c r="H158" t="s">
        <v>1482</v>
      </c>
      <c r="K158" s="5">
        <v>100</v>
      </c>
      <c r="L158" s="6" t="s">
        <v>1482</v>
      </c>
    </row>
    <row r="159" spans="1:12">
      <c r="A159" t="s">
        <v>150</v>
      </c>
      <c r="G159">
        <v>150</v>
      </c>
      <c r="H159" t="s">
        <v>1482</v>
      </c>
      <c r="K159" s="5">
        <v>150</v>
      </c>
      <c r="L159" s="6" t="s">
        <v>1482</v>
      </c>
    </row>
    <row r="160" spans="1:12">
      <c r="A160" t="s">
        <v>26</v>
      </c>
      <c r="B160" t="s">
        <v>1481</v>
      </c>
      <c r="G160">
        <v>50</v>
      </c>
      <c r="H160" t="s">
        <v>1482</v>
      </c>
      <c r="K160" s="5">
        <v>50</v>
      </c>
      <c r="L160" s="6" t="s">
        <v>1482</v>
      </c>
    </row>
    <row r="161" spans="1:12">
      <c r="A161" t="s">
        <v>28</v>
      </c>
      <c r="B161" t="s">
        <v>1484</v>
      </c>
      <c r="C161" t="s">
        <v>1483</v>
      </c>
      <c r="G161">
        <v>200</v>
      </c>
      <c r="H161" t="s">
        <v>1482</v>
      </c>
      <c r="K161" s="5">
        <v>200</v>
      </c>
      <c r="L161" s="6" t="s">
        <v>1482</v>
      </c>
    </row>
    <row r="162" spans="1:12">
      <c r="A162" t="s">
        <v>25</v>
      </c>
      <c r="G162">
        <v>150</v>
      </c>
      <c r="H162" t="s">
        <v>1482</v>
      </c>
      <c r="K162" s="5">
        <v>150</v>
      </c>
      <c r="L162" s="6" t="s">
        <v>1482</v>
      </c>
    </row>
    <row r="163" spans="1:12">
      <c r="A163" t="s">
        <v>25</v>
      </c>
      <c r="B163" t="s">
        <v>1484</v>
      </c>
      <c r="G163">
        <v>200</v>
      </c>
      <c r="H163" t="s">
        <v>1482</v>
      </c>
      <c r="K163" s="5">
        <v>200</v>
      </c>
      <c r="L163" s="6" t="s">
        <v>1482</v>
      </c>
    </row>
    <row r="164" spans="1:12">
      <c r="A164" t="s">
        <v>150</v>
      </c>
      <c r="G164">
        <v>50</v>
      </c>
      <c r="H164" t="s">
        <v>1482</v>
      </c>
      <c r="K164" s="5">
        <v>50</v>
      </c>
      <c r="L164" s="6" t="s">
        <v>1482</v>
      </c>
    </row>
    <row r="165" spans="1:12">
      <c r="A165" t="s">
        <v>26</v>
      </c>
      <c r="B165" t="s">
        <v>1486</v>
      </c>
      <c r="C165" t="s">
        <v>1484</v>
      </c>
      <c r="G165">
        <v>100</v>
      </c>
      <c r="H165" t="s">
        <v>1482</v>
      </c>
      <c r="K165" s="5">
        <v>100</v>
      </c>
      <c r="L165" s="6" t="s">
        <v>1482</v>
      </c>
    </row>
    <row r="166" spans="1:12">
      <c r="A166" t="s">
        <v>26</v>
      </c>
      <c r="B166" t="s">
        <v>1486</v>
      </c>
      <c r="C166" t="s">
        <v>1481</v>
      </c>
      <c r="G166">
        <v>100</v>
      </c>
      <c r="H166" t="s">
        <v>1482</v>
      </c>
      <c r="K166" s="5">
        <v>100</v>
      </c>
      <c r="L166" s="6" t="s">
        <v>1482</v>
      </c>
    </row>
    <row r="167" spans="1:12">
      <c r="A167" t="s">
        <v>28</v>
      </c>
      <c r="B167" t="s">
        <v>1485</v>
      </c>
      <c r="C167" t="s">
        <v>1483</v>
      </c>
      <c r="G167">
        <v>50</v>
      </c>
      <c r="H167" t="s">
        <v>1482</v>
      </c>
      <c r="K167" s="5">
        <v>50</v>
      </c>
      <c r="L167" s="6" t="s">
        <v>1482</v>
      </c>
    </row>
    <row r="168" spans="1:12">
      <c r="A168" t="s">
        <v>25</v>
      </c>
      <c r="B168" t="s">
        <v>1483</v>
      </c>
      <c r="C168" t="s">
        <v>1485</v>
      </c>
      <c r="G168">
        <v>50</v>
      </c>
      <c r="H168" t="s">
        <v>1482</v>
      </c>
      <c r="K168" s="5">
        <v>50</v>
      </c>
      <c r="L168" s="6" t="s">
        <v>1482</v>
      </c>
    </row>
    <row r="169" spans="1:12">
      <c r="A169" t="s">
        <v>28</v>
      </c>
      <c r="B169" t="s">
        <v>1486</v>
      </c>
      <c r="C169" t="s">
        <v>1485</v>
      </c>
      <c r="G169">
        <v>100</v>
      </c>
      <c r="H169" t="s">
        <v>1482</v>
      </c>
      <c r="K169" s="5">
        <v>100</v>
      </c>
      <c r="L169" s="6" t="s">
        <v>1482</v>
      </c>
    </row>
    <row r="170" spans="1:12">
      <c r="A170" t="s">
        <v>26</v>
      </c>
      <c r="G170">
        <v>100</v>
      </c>
      <c r="H170" t="s">
        <v>1482</v>
      </c>
      <c r="K170" s="5">
        <v>100</v>
      </c>
      <c r="L170" s="6" t="s">
        <v>1482</v>
      </c>
    </row>
    <row r="171" spans="1:12">
      <c r="A171" t="s">
        <v>27</v>
      </c>
      <c r="B171" t="s">
        <v>1483</v>
      </c>
      <c r="C171" t="s">
        <v>1481</v>
      </c>
      <c r="G171">
        <v>50</v>
      </c>
      <c r="H171" t="s">
        <v>1482</v>
      </c>
      <c r="K171" s="5">
        <v>50</v>
      </c>
      <c r="L171" s="6" t="s">
        <v>1482</v>
      </c>
    </row>
    <row r="172" spans="1:12">
      <c r="A172" t="s">
        <v>26</v>
      </c>
      <c r="G172">
        <v>150</v>
      </c>
      <c r="H172" t="s">
        <v>1482</v>
      </c>
      <c r="K172" s="5">
        <v>150</v>
      </c>
      <c r="L172" s="6" t="s">
        <v>1482</v>
      </c>
    </row>
    <row r="173" spans="1:12">
      <c r="A173" t="s">
        <v>150</v>
      </c>
      <c r="B173" t="s">
        <v>1485</v>
      </c>
      <c r="G173">
        <v>150</v>
      </c>
      <c r="H173" t="s">
        <v>1482</v>
      </c>
      <c r="K173" s="5">
        <v>150</v>
      </c>
      <c r="L173" s="6" t="s">
        <v>1482</v>
      </c>
    </row>
    <row r="174" spans="1:12">
      <c r="A174" t="s">
        <v>25</v>
      </c>
      <c r="B174" t="s">
        <v>1484</v>
      </c>
      <c r="G174">
        <v>50</v>
      </c>
      <c r="H174" t="s">
        <v>1482</v>
      </c>
      <c r="K174" s="5">
        <v>50</v>
      </c>
      <c r="L174" s="6" t="s">
        <v>1482</v>
      </c>
    </row>
    <row r="175" spans="1:12">
      <c r="A175" t="s">
        <v>28</v>
      </c>
      <c r="G175">
        <v>100</v>
      </c>
      <c r="H175" t="s">
        <v>1482</v>
      </c>
      <c r="K175" s="5">
        <v>100</v>
      </c>
      <c r="L175" s="6" t="s">
        <v>1482</v>
      </c>
    </row>
    <row r="176" spans="1:12">
      <c r="A176" t="s">
        <v>25</v>
      </c>
      <c r="B176" t="s">
        <v>1484</v>
      </c>
      <c r="G176">
        <v>150</v>
      </c>
      <c r="H176" t="s">
        <v>1482</v>
      </c>
      <c r="K176" s="5">
        <v>150</v>
      </c>
      <c r="L176" s="6" t="s">
        <v>1482</v>
      </c>
    </row>
    <row r="177" spans="1:12">
      <c r="A177" t="s">
        <v>150</v>
      </c>
      <c r="B177" t="s">
        <v>1485</v>
      </c>
      <c r="C177" t="s">
        <v>1483</v>
      </c>
      <c r="G177">
        <v>200</v>
      </c>
      <c r="H177" t="s">
        <v>1482</v>
      </c>
      <c r="K177" s="5">
        <v>200</v>
      </c>
      <c r="L177" s="6" t="s">
        <v>1482</v>
      </c>
    </row>
    <row r="178" spans="1:12">
      <c r="A178" t="s">
        <v>25</v>
      </c>
      <c r="B178" t="s">
        <v>1485</v>
      </c>
      <c r="C178" t="s">
        <v>1481</v>
      </c>
      <c r="G178">
        <v>100</v>
      </c>
      <c r="H178" t="s">
        <v>1482</v>
      </c>
      <c r="K178" s="5">
        <v>100</v>
      </c>
      <c r="L178" s="6" t="s">
        <v>1482</v>
      </c>
    </row>
    <row r="179" spans="1:12">
      <c r="A179" t="s">
        <v>27</v>
      </c>
      <c r="G179">
        <v>100</v>
      </c>
      <c r="H179" t="s">
        <v>1482</v>
      </c>
      <c r="K179" s="5">
        <v>100</v>
      </c>
      <c r="L179" s="6" t="s">
        <v>1482</v>
      </c>
    </row>
    <row r="180" spans="1:12">
      <c r="A180" t="s">
        <v>25</v>
      </c>
      <c r="B180" t="s">
        <v>1481</v>
      </c>
      <c r="C180" t="s">
        <v>1485</v>
      </c>
      <c r="G180">
        <v>200</v>
      </c>
      <c r="H180" t="s">
        <v>1482</v>
      </c>
      <c r="K180" s="5">
        <v>200</v>
      </c>
      <c r="L180" s="6" t="s">
        <v>1482</v>
      </c>
    </row>
    <row r="181" spans="1:12">
      <c r="A181" t="s">
        <v>28</v>
      </c>
      <c r="B181" t="s">
        <v>1484</v>
      </c>
      <c r="G181">
        <v>150</v>
      </c>
      <c r="H181" t="s">
        <v>1482</v>
      </c>
      <c r="K181" s="5">
        <v>150</v>
      </c>
      <c r="L181" s="6" t="s">
        <v>1482</v>
      </c>
    </row>
    <row r="182" spans="1:12">
      <c r="A182" t="s">
        <v>26</v>
      </c>
      <c r="G182">
        <v>200</v>
      </c>
      <c r="H182" t="s">
        <v>1482</v>
      </c>
      <c r="K182" s="5">
        <v>200</v>
      </c>
      <c r="L182" s="6" t="s">
        <v>1482</v>
      </c>
    </row>
    <row r="183" spans="1:12">
      <c r="A183" t="s">
        <v>25</v>
      </c>
      <c r="B183" t="s">
        <v>1483</v>
      </c>
      <c r="G183">
        <v>50</v>
      </c>
      <c r="H183" t="s">
        <v>1482</v>
      </c>
      <c r="K183" s="5">
        <v>50</v>
      </c>
      <c r="L183" s="6" t="s">
        <v>1482</v>
      </c>
    </row>
    <row r="184" spans="1:12">
      <c r="A184" t="s">
        <v>27</v>
      </c>
      <c r="B184" t="s">
        <v>1481</v>
      </c>
      <c r="G184">
        <v>150</v>
      </c>
      <c r="H184" t="s">
        <v>1482</v>
      </c>
      <c r="K184" s="5">
        <v>150</v>
      </c>
      <c r="L184" s="6" t="s">
        <v>1482</v>
      </c>
    </row>
    <row r="185" spans="1:12">
      <c r="A185" t="s">
        <v>25</v>
      </c>
      <c r="B185" t="s">
        <v>1485</v>
      </c>
      <c r="G185">
        <v>50</v>
      </c>
      <c r="H185" t="s">
        <v>1482</v>
      </c>
      <c r="K185" s="5">
        <v>50</v>
      </c>
      <c r="L185" s="6" t="s">
        <v>1482</v>
      </c>
    </row>
    <row r="186" spans="1:12">
      <c r="A186" t="s">
        <v>25</v>
      </c>
      <c r="B186" t="s">
        <v>1485</v>
      </c>
      <c r="C186" t="s">
        <v>1481</v>
      </c>
      <c r="G186">
        <v>50</v>
      </c>
      <c r="H186" t="s">
        <v>1482</v>
      </c>
      <c r="K186" s="5">
        <v>50</v>
      </c>
      <c r="L186" s="6" t="s">
        <v>1482</v>
      </c>
    </row>
    <row r="187" spans="1:12">
      <c r="A187" t="s">
        <v>26</v>
      </c>
      <c r="G187">
        <v>50</v>
      </c>
      <c r="H187" t="s">
        <v>1482</v>
      </c>
      <c r="K187" s="5">
        <v>50</v>
      </c>
      <c r="L187" s="6" t="s">
        <v>1482</v>
      </c>
    </row>
    <row r="188" spans="1:12">
      <c r="A188" t="s">
        <v>25</v>
      </c>
      <c r="B188" t="s">
        <v>1485</v>
      </c>
      <c r="C188" t="s">
        <v>1481</v>
      </c>
      <c r="G188">
        <v>50</v>
      </c>
      <c r="H188" t="s">
        <v>1482</v>
      </c>
      <c r="K188" s="5">
        <v>50</v>
      </c>
      <c r="L188" s="6" t="s">
        <v>1482</v>
      </c>
    </row>
    <row r="189" spans="1:12">
      <c r="A189" t="s">
        <v>26</v>
      </c>
      <c r="B189" t="s">
        <v>1485</v>
      </c>
      <c r="C189" t="s">
        <v>1481</v>
      </c>
      <c r="G189">
        <v>100</v>
      </c>
      <c r="H189" t="s">
        <v>1482</v>
      </c>
      <c r="K189" s="5">
        <v>100</v>
      </c>
      <c r="L189" s="6" t="s">
        <v>1482</v>
      </c>
    </row>
    <row r="190" spans="1:12">
      <c r="A190" t="s">
        <v>25</v>
      </c>
      <c r="B190" t="s">
        <v>1485</v>
      </c>
      <c r="G190">
        <v>200</v>
      </c>
      <c r="H190" t="s">
        <v>1482</v>
      </c>
      <c r="K190" s="5">
        <v>200</v>
      </c>
      <c r="L190" s="6" t="s">
        <v>1482</v>
      </c>
    </row>
    <row r="191" spans="1:12">
      <c r="A191" t="s">
        <v>28</v>
      </c>
      <c r="G191">
        <v>150</v>
      </c>
      <c r="H191" t="s">
        <v>1482</v>
      </c>
      <c r="K191" s="5">
        <v>150</v>
      </c>
      <c r="L191" s="6" t="s">
        <v>1482</v>
      </c>
    </row>
    <row r="192" spans="1:12">
      <c r="A192" t="s">
        <v>25</v>
      </c>
      <c r="B192" t="s">
        <v>1484</v>
      </c>
      <c r="C192" t="s">
        <v>1485</v>
      </c>
      <c r="G192">
        <v>50</v>
      </c>
      <c r="H192" t="s">
        <v>1482</v>
      </c>
      <c r="K192" s="5">
        <v>50</v>
      </c>
      <c r="L192" s="6" t="s">
        <v>1482</v>
      </c>
    </row>
    <row r="193" spans="1:12">
      <c r="A193" t="s">
        <v>27</v>
      </c>
      <c r="G193">
        <v>150</v>
      </c>
      <c r="H193" t="s">
        <v>1482</v>
      </c>
      <c r="K193" s="5">
        <v>150</v>
      </c>
      <c r="L193" s="6" t="s">
        <v>1482</v>
      </c>
    </row>
    <row r="194" spans="1:12">
      <c r="A194" t="s">
        <v>28</v>
      </c>
      <c r="B194" t="s">
        <v>1483</v>
      </c>
      <c r="C194" t="s">
        <v>1484</v>
      </c>
      <c r="G194">
        <v>50</v>
      </c>
      <c r="H194" t="s">
        <v>1482</v>
      </c>
      <c r="K194" s="5">
        <v>50</v>
      </c>
      <c r="L194" s="6" t="s">
        <v>1482</v>
      </c>
    </row>
    <row r="195" spans="1:12">
      <c r="A195" t="s">
        <v>26</v>
      </c>
      <c r="B195" t="s">
        <v>1485</v>
      </c>
      <c r="G195">
        <v>200</v>
      </c>
      <c r="H195" t="s">
        <v>1482</v>
      </c>
      <c r="K195" s="5">
        <v>200</v>
      </c>
      <c r="L195" s="6" t="s">
        <v>1482</v>
      </c>
    </row>
    <row r="196" spans="1:12">
      <c r="A196" t="s">
        <v>27</v>
      </c>
      <c r="B196" t="s">
        <v>1486</v>
      </c>
      <c r="G196">
        <v>100</v>
      </c>
      <c r="H196" t="s">
        <v>1482</v>
      </c>
      <c r="K196" s="5">
        <v>100</v>
      </c>
      <c r="L196" s="6" t="s">
        <v>1482</v>
      </c>
    </row>
    <row r="197" spans="1:12">
      <c r="A197" t="s">
        <v>150</v>
      </c>
      <c r="B197" t="s">
        <v>1481</v>
      </c>
      <c r="G197">
        <v>150</v>
      </c>
      <c r="H197" t="s">
        <v>1482</v>
      </c>
      <c r="K197" s="5">
        <v>150</v>
      </c>
      <c r="L197" s="6" t="s">
        <v>1482</v>
      </c>
    </row>
    <row r="198" spans="1:12">
      <c r="A198" t="s">
        <v>26</v>
      </c>
      <c r="B198" t="s">
        <v>1484</v>
      </c>
      <c r="G198">
        <v>200</v>
      </c>
      <c r="H198" t="s">
        <v>1482</v>
      </c>
      <c r="K198" s="5">
        <v>200</v>
      </c>
      <c r="L198" s="6" t="s">
        <v>1482</v>
      </c>
    </row>
    <row r="199" spans="1:12">
      <c r="A199" t="s">
        <v>26</v>
      </c>
      <c r="G199">
        <v>100</v>
      </c>
      <c r="H199" t="s">
        <v>1482</v>
      </c>
      <c r="K199" s="5">
        <v>100</v>
      </c>
      <c r="L199" s="6" t="s">
        <v>1482</v>
      </c>
    </row>
    <row r="200" spans="1:12">
      <c r="A200" t="s">
        <v>27</v>
      </c>
      <c r="G200">
        <v>150</v>
      </c>
      <c r="H200" t="s">
        <v>1482</v>
      </c>
      <c r="K200" s="5">
        <v>150</v>
      </c>
      <c r="L200" s="6" t="s">
        <v>1482</v>
      </c>
    </row>
    <row r="201" spans="1:12">
      <c r="A201" t="s">
        <v>28</v>
      </c>
      <c r="B201" t="s">
        <v>1485</v>
      </c>
      <c r="G201">
        <v>150</v>
      </c>
      <c r="H201" t="s">
        <v>1482</v>
      </c>
      <c r="K201" s="5">
        <v>150</v>
      </c>
      <c r="L201" s="6" t="s">
        <v>1482</v>
      </c>
    </row>
    <row r="202" spans="1:12">
      <c r="A202" t="s">
        <v>26</v>
      </c>
      <c r="B202" t="s">
        <v>1481</v>
      </c>
      <c r="C202" t="s">
        <v>1486</v>
      </c>
      <c r="G202">
        <v>50</v>
      </c>
      <c r="H202" t="s">
        <v>1482</v>
      </c>
      <c r="K202" s="5">
        <v>50</v>
      </c>
      <c r="L202" s="6" t="s">
        <v>1482</v>
      </c>
    </row>
    <row r="203" spans="1:12">
      <c r="A203" t="s">
        <v>28</v>
      </c>
      <c r="B203" t="s">
        <v>1485</v>
      </c>
      <c r="C203" t="s">
        <v>1484</v>
      </c>
      <c r="G203">
        <v>100</v>
      </c>
      <c r="H203" t="s">
        <v>1482</v>
      </c>
      <c r="K203" s="5">
        <v>100</v>
      </c>
      <c r="L203" s="6" t="s">
        <v>1482</v>
      </c>
    </row>
    <row r="204" spans="1:12">
      <c r="A204" t="s">
        <v>25</v>
      </c>
      <c r="B204" t="s">
        <v>1485</v>
      </c>
      <c r="G204">
        <v>150</v>
      </c>
      <c r="H204" t="s">
        <v>1482</v>
      </c>
      <c r="K204" s="5">
        <v>150</v>
      </c>
      <c r="L204" s="6" t="s">
        <v>1482</v>
      </c>
    </row>
    <row r="205" spans="1:12">
      <c r="A205" t="s">
        <v>25</v>
      </c>
      <c r="B205" t="s">
        <v>1481</v>
      </c>
      <c r="G205">
        <v>50</v>
      </c>
      <c r="H205" t="s">
        <v>1482</v>
      </c>
      <c r="K205" s="5">
        <v>50</v>
      </c>
      <c r="L205" s="6" t="s">
        <v>1482</v>
      </c>
    </row>
    <row r="206" spans="1:12">
      <c r="A206" t="s">
        <v>26</v>
      </c>
      <c r="G206">
        <v>100</v>
      </c>
      <c r="H206" t="s">
        <v>1482</v>
      </c>
      <c r="K206" s="5">
        <v>100</v>
      </c>
      <c r="L206" s="6" t="s">
        <v>1482</v>
      </c>
    </row>
    <row r="207" spans="1:12">
      <c r="A207" t="s">
        <v>26</v>
      </c>
      <c r="B207" t="s">
        <v>1481</v>
      </c>
      <c r="G207">
        <v>100</v>
      </c>
      <c r="H207" t="s">
        <v>1482</v>
      </c>
      <c r="K207" s="5">
        <v>100</v>
      </c>
      <c r="L207" s="6" t="s">
        <v>1482</v>
      </c>
    </row>
    <row r="208" spans="1:12">
      <c r="A208" t="s">
        <v>150</v>
      </c>
      <c r="B208" t="s">
        <v>1485</v>
      </c>
      <c r="C208" t="s">
        <v>1483</v>
      </c>
      <c r="G208">
        <v>100</v>
      </c>
      <c r="H208" t="s">
        <v>1482</v>
      </c>
      <c r="K208" s="5">
        <v>100</v>
      </c>
      <c r="L208" s="6" t="s">
        <v>1482</v>
      </c>
    </row>
    <row r="209" spans="1:12">
      <c r="A209" t="s">
        <v>25</v>
      </c>
      <c r="B209" t="s">
        <v>1483</v>
      </c>
      <c r="C209" t="s">
        <v>1485</v>
      </c>
      <c r="G209">
        <v>150</v>
      </c>
      <c r="H209" t="s">
        <v>1482</v>
      </c>
      <c r="K209" s="5">
        <v>150</v>
      </c>
      <c r="L209" s="6" t="s">
        <v>1482</v>
      </c>
    </row>
    <row r="210" spans="1:12">
      <c r="A210" t="s">
        <v>28</v>
      </c>
      <c r="G210">
        <v>200</v>
      </c>
      <c r="H210" t="s">
        <v>1482</v>
      </c>
      <c r="K210" s="5">
        <v>200</v>
      </c>
      <c r="L210" s="6" t="s">
        <v>1482</v>
      </c>
    </row>
    <row r="211" spans="1:12">
      <c r="A211" t="s">
        <v>150</v>
      </c>
      <c r="G211">
        <v>100</v>
      </c>
      <c r="H211" t="s">
        <v>1482</v>
      </c>
      <c r="K211" s="5">
        <v>100</v>
      </c>
      <c r="L211" s="6" t="s">
        <v>1482</v>
      </c>
    </row>
    <row r="212" spans="1:12">
      <c r="A212" t="s">
        <v>26</v>
      </c>
      <c r="B212" t="s">
        <v>1484</v>
      </c>
      <c r="C212" t="s">
        <v>1486</v>
      </c>
      <c r="G212">
        <v>200</v>
      </c>
      <c r="H212" t="s">
        <v>1482</v>
      </c>
      <c r="K212" s="5">
        <v>200</v>
      </c>
      <c r="L212" s="6" t="s">
        <v>1482</v>
      </c>
    </row>
    <row r="213" spans="1:12">
      <c r="A213" t="s">
        <v>25</v>
      </c>
      <c r="B213" t="s">
        <v>1483</v>
      </c>
      <c r="C213" t="s">
        <v>1481</v>
      </c>
      <c r="G213">
        <v>100</v>
      </c>
      <c r="H213" t="s">
        <v>1482</v>
      </c>
      <c r="K213" s="5">
        <v>100</v>
      </c>
      <c r="L213" s="6" t="s">
        <v>1482</v>
      </c>
    </row>
    <row r="214" spans="1:12">
      <c r="A214" t="s">
        <v>28</v>
      </c>
      <c r="B214" t="s">
        <v>1485</v>
      </c>
      <c r="C214" t="s">
        <v>1486</v>
      </c>
      <c r="G214">
        <v>100</v>
      </c>
      <c r="H214" t="s">
        <v>1482</v>
      </c>
      <c r="K214" s="5">
        <v>100</v>
      </c>
      <c r="L214" s="6" t="s">
        <v>1482</v>
      </c>
    </row>
    <row r="215" spans="1:12">
      <c r="A215" t="s">
        <v>28</v>
      </c>
      <c r="B215" t="s">
        <v>1486</v>
      </c>
      <c r="C215" t="s">
        <v>1483</v>
      </c>
      <c r="G215">
        <v>100</v>
      </c>
      <c r="H215" t="s">
        <v>1482</v>
      </c>
      <c r="K215" s="5">
        <v>100</v>
      </c>
      <c r="L215" s="6" t="s">
        <v>1482</v>
      </c>
    </row>
    <row r="216" spans="1:12">
      <c r="A216" t="s">
        <v>27</v>
      </c>
      <c r="B216" t="s">
        <v>1484</v>
      </c>
      <c r="G216">
        <v>50</v>
      </c>
      <c r="H216" t="s">
        <v>1482</v>
      </c>
      <c r="K216" s="5">
        <v>50</v>
      </c>
      <c r="L216" s="6" t="s">
        <v>1482</v>
      </c>
    </row>
    <row r="217" spans="1:12">
      <c r="A217" t="s">
        <v>150</v>
      </c>
      <c r="B217" t="s">
        <v>1483</v>
      </c>
      <c r="G217">
        <v>50</v>
      </c>
      <c r="H217" t="s">
        <v>1482</v>
      </c>
      <c r="K217" s="5">
        <v>50</v>
      </c>
      <c r="L217" s="6" t="s">
        <v>1482</v>
      </c>
    </row>
    <row r="218" spans="1:12">
      <c r="A218" t="s">
        <v>28</v>
      </c>
      <c r="B218" t="s">
        <v>1486</v>
      </c>
      <c r="G218">
        <v>200</v>
      </c>
      <c r="H218" t="s">
        <v>1482</v>
      </c>
      <c r="K218" s="5">
        <v>200</v>
      </c>
      <c r="L218" s="6" t="s">
        <v>1482</v>
      </c>
    </row>
    <row r="219" spans="1:12">
      <c r="A219" t="s">
        <v>150</v>
      </c>
      <c r="G219">
        <v>200</v>
      </c>
      <c r="H219" t="s">
        <v>1482</v>
      </c>
      <c r="K219" s="5">
        <v>200</v>
      </c>
      <c r="L219" s="6" t="s">
        <v>1482</v>
      </c>
    </row>
    <row r="220" spans="1:12">
      <c r="A220" t="s">
        <v>28</v>
      </c>
      <c r="B220" t="s">
        <v>1484</v>
      </c>
      <c r="G220">
        <v>200</v>
      </c>
      <c r="H220" t="s">
        <v>1482</v>
      </c>
      <c r="K220" s="5">
        <v>200</v>
      </c>
      <c r="L220" s="6" t="s">
        <v>1482</v>
      </c>
    </row>
    <row r="221" spans="1:12">
      <c r="A221" t="s">
        <v>150</v>
      </c>
      <c r="G221">
        <v>150</v>
      </c>
      <c r="H221" t="s">
        <v>1482</v>
      </c>
      <c r="K221" s="5">
        <v>150</v>
      </c>
      <c r="L221" s="6" t="s">
        <v>1482</v>
      </c>
    </row>
    <row r="222" spans="1:12">
      <c r="A222" t="s">
        <v>26</v>
      </c>
      <c r="G222">
        <v>100</v>
      </c>
      <c r="H222" t="s">
        <v>1482</v>
      </c>
      <c r="K222" s="5">
        <v>100</v>
      </c>
      <c r="L222" s="6" t="s">
        <v>1482</v>
      </c>
    </row>
    <row r="223" spans="1:12">
      <c r="A223" t="s">
        <v>150</v>
      </c>
      <c r="B223" t="s">
        <v>1481</v>
      </c>
      <c r="C223" t="s">
        <v>1485</v>
      </c>
      <c r="G223">
        <v>100</v>
      </c>
      <c r="H223" t="s">
        <v>1482</v>
      </c>
      <c r="K223" s="5">
        <v>100</v>
      </c>
      <c r="L223" s="6" t="s">
        <v>1482</v>
      </c>
    </row>
    <row r="224" spans="1:12">
      <c r="A224" t="s">
        <v>27</v>
      </c>
      <c r="B224" t="s">
        <v>1481</v>
      </c>
      <c r="C224" t="s">
        <v>1486</v>
      </c>
      <c r="G224">
        <v>50</v>
      </c>
      <c r="H224" t="s">
        <v>1482</v>
      </c>
      <c r="K224" s="5">
        <v>50</v>
      </c>
      <c r="L224" s="6" t="s">
        <v>1482</v>
      </c>
    </row>
    <row r="225" spans="1:12">
      <c r="A225" t="s">
        <v>28</v>
      </c>
      <c r="B225" t="s">
        <v>1485</v>
      </c>
      <c r="C225" t="s">
        <v>1486</v>
      </c>
      <c r="G225">
        <v>200</v>
      </c>
      <c r="H225" t="s">
        <v>1482</v>
      </c>
      <c r="K225" s="5">
        <v>200</v>
      </c>
      <c r="L225" s="6" t="s">
        <v>1482</v>
      </c>
    </row>
    <row r="226" spans="1:12">
      <c r="A226" t="s">
        <v>27</v>
      </c>
      <c r="G226">
        <v>50</v>
      </c>
      <c r="H226" t="s">
        <v>1482</v>
      </c>
      <c r="K226" s="5">
        <v>50</v>
      </c>
      <c r="L226" s="6" t="s">
        <v>1482</v>
      </c>
    </row>
    <row r="227" spans="1:12">
      <c r="A227" t="s">
        <v>27</v>
      </c>
      <c r="G227">
        <v>50</v>
      </c>
      <c r="H227" t="s">
        <v>1482</v>
      </c>
      <c r="K227" s="5">
        <v>50</v>
      </c>
      <c r="L227" s="6" t="s">
        <v>1482</v>
      </c>
    </row>
    <row r="228" spans="1:12">
      <c r="A228" t="s">
        <v>28</v>
      </c>
      <c r="G228">
        <v>100</v>
      </c>
      <c r="H228" t="s">
        <v>1482</v>
      </c>
      <c r="K228" s="5">
        <v>100</v>
      </c>
      <c r="L228" s="6" t="s">
        <v>1482</v>
      </c>
    </row>
    <row r="229" spans="1:12">
      <c r="A229" t="s">
        <v>27</v>
      </c>
      <c r="B229" t="s">
        <v>1481</v>
      </c>
      <c r="C229" t="s">
        <v>1483</v>
      </c>
      <c r="G229">
        <v>150</v>
      </c>
      <c r="H229" t="s">
        <v>1482</v>
      </c>
      <c r="K229" s="5">
        <v>150</v>
      </c>
      <c r="L229" s="6" t="s">
        <v>1482</v>
      </c>
    </row>
    <row r="230" spans="1:12">
      <c r="A230" t="s">
        <v>150</v>
      </c>
      <c r="G230">
        <v>150</v>
      </c>
      <c r="H230" t="s">
        <v>1482</v>
      </c>
      <c r="K230" s="5">
        <v>150</v>
      </c>
      <c r="L230" s="6" t="s">
        <v>1482</v>
      </c>
    </row>
    <row r="231" spans="1:12">
      <c r="A231" t="s">
        <v>26</v>
      </c>
      <c r="G231">
        <v>100</v>
      </c>
      <c r="H231" t="s">
        <v>1482</v>
      </c>
      <c r="K231" s="5">
        <v>100</v>
      </c>
      <c r="L231" s="6" t="s">
        <v>1482</v>
      </c>
    </row>
    <row r="232" spans="1:12">
      <c r="A232" t="s">
        <v>150</v>
      </c>
      <c r="B232" t="s">
        <v>1486</v>
      </c>
      <c r="G232">
        <v>50</v>
      </c>
      <c r="H232" t="s">
        <v>1482</v>
      </c>
      <c r="K232" s="5">
        <v>50</v>
      </c>
      <c r="L232" s="6" t="s">
        <v>1482</v>
      </c>
    </row>
    <row r="233" spans="1:12">
      <c r="A233" t="s">
        <v>26</v>
      </c>
      <c r="G233">
        <v>100</v>
      </c>
      <c r="H233" t="s">
        <v>1482</v>
      </c>
      <c r="K233" s="5">
        <v>100</v>
      </c>
      <c r="L233" s="6" t="s">
        <v>1482</v>
      </c>
    </row>
    <row r="234" spans="1:12">
      <c r="A234" t="s">
        <v>28</v>
      </c>
      <c r="B234" t="s">
        <v>1486</v>
      </c>
      <c r="C234" t="s">
        <v>1485</v>
      </c>
      <c r="G234">
        <v>150</v>
      </c>
      <c r="H234" t="s">
        <v>1482</v>
      </c>
      <c r="K234" s="5">
        <v>150</v>
      </c>
      <c r="L234" s="6" t="s">
        <v>1482</v>
      </c>
    </row>
    <row r="235" spans="1:12">
      <c r="A235" t="s">
        <v>25</v>
      </c>
      <c r="G235">
        <v>50</v>
      </c>
      <c r="H235" t="s">
        <v>1482</v>
      </c>
      <c r="K235" s="5">
        <v>50</v>
      </c>
      <c r="L235" s="6" t="s">
        <v>1482</v>
      </c>
    </row>
    <row r="236" spans="1:12">
      <c r="A236" t="s">
        <v>150</v>
      </c>
      <c r="G236">
        <v>50</v>
      </c>
      <c r="H236" t="s">
        <v>1482</v>
      </c>
      <c r="K236" s="5">
        <v>50</v>
      </c>
      <c r="L236" s="6" t="s">
        <v>1482</v>
      </c>
    </row>
    <row r="237" spans="1:12">
      <c r="A237" t="s">
        <v>28</v>
      </c>
      <c r="B237" t="s">
        <v>1485</v>
      </c>
      <c r="G237">
        <v>150</v>
      </c>
      <c r="H237" t="s">
        <v>1482</v>
      </c>
      <c r="K237" s="5">
        <v>150</v>
      </c>
      <c r="L237" s="6" t="s">
        <v>1482</v>
      </c>
    </row>
    <row r="238" spans="1:12">
      <c r="A238" t="s">
        <v>27</v>
      </c>
      <c r="B238" t="s">
        <v>1481</v>
      </c>
      <c r="G238">
        <v>50</v>
      </c>
      <c r="H238" t="s">
        <v>1482</v>
      </c>
      <c r="K238" s="5">
        <v>50</v>
      </c>
      <c r="L238" s="6" t="s">
        <v>1482</v>
      </c>
    </row>
    <row r="239" spans="1:12">
      <c r="A239" t="s">
        <v>27</v>
      </c>
      <c r="B239" t="s">
        <v>1484</v>
      </c>
      <c r="C239" t="s">
        <v>1483</v>
      </c>
      <c r="G239">
        <v>150</v>
      </c>
      <c r="H239" t="s">
        <v>1482</v>
      </c>
      <c r="K239" s="5">
        <v>150</v>
      </c>
      <c r="L239" s="6" t="s">
        <v>1482</v>
      </c>
    </row>
    <row r="240" spans="1:12">
      <c r="A240" t="s">
        <v>28</v>
      </c>
      <c r="B240" t="s">
        <v>1483</v>
      </c>
      <c r="C240" t="s">
        <v>1485</v>
      </c>
      <c r="G240">
        <v>200</v>
      </c>
      <c r="H240" t="s">
        <v>1482</v>
      </c>
      <c r="K240" s="5">
        <v>200</v>
      </c>
      <c r="L240" s="6" t="s">
        <v>1482</v>
      </c>
    </row>
    <row r="241" spans="1:12">
      <c r="A241" t="s">
        <v>25</v>
      </c>
      <c r="B241" t="s">
        <v>1481</v>
      </c>
      <c r="C241" t="s">
        <v>1485</v>
      </c>
      <c r="G241">
        <v>150</v>
      </c>
      <c r="H241" t="s">
        <v>1482</v>
      </c>
      <c r="K241" s="5">
        <v>150</v>
      </c>
      <c r="L241" s="6" t="s">
        <v>1482</v>
      </c>
    </row>
    <row r="242" spans="1:12">
      <c r="A242" t="s">
        <v>25</v>
      </c>
      <c r="G242">
        <v>200</v>
      </c>
      <c r="H242" t="s">
        <v>1482</v>
      </c>
      <c r="K242" s="5">
        <v>200</v>
      </c>
      <c r="L242" s="6" t="s">
        <v>1482</v>
      </c>
    </row>
    <row r="243" spans="1:12">
      <c r="A243" t="s">
        <v>150</v>
      </c>
      <c r="G243">
        <v>50</v>
      </c>
      <c r="H243" t="s">
        <v>1482</v>
      </c>
      <c r="K243" s="5">
        <v>50</v>
      </c>
      <c r="L243" s="6" t="s">
        <v>1482</v>
      </c>
    </row>
    <row r="244" spans="1:12">
      <c r="A244" t="s">
        <v>28</v>
      </c>
      <c r="B244" t="s">
        <v>1484</v>
      </c>
      <c r="G244">
        <v>50</v>
      </c>
      <c r="H244" t="s">
        <v>1482</v>
      </c>
      <c r="K244" s="5">
        <v>50</v>
      </c>
      <c r="L244" s="6" t="s">
        <v>1482</v>
      </c>
    </row>
    <row r="245" spans="1:12">
      <c r="A245" t="s">
        <v>28</v>
      </c>
      <c r="B245" t="s">
        <v>1483</v>
      </c>
      <c r="G245">
        <v>50</v>
      </c>
      <c r="H245" t="s">
        <v>1482</v>
      </c>
      <c r="K245" s="5">
        <v>50</v>
      </c>
      <c r="L245" s="6" t="s">
        <v>1482</v>
      </c>
    </row>
    <row r="246" spans="1:12">
      <c r="A246" t="s">
        <v>25</v>
      </c>
      <c r="G246">
        <v>200</v>
      </c>
      <c r="H246" t="s">
        <v>1482</v>
      </c>
      <c r="K246" s="5">
        <v>200</v>
      </c>
      <c r="L246" s="6" t="s">
        <v>1482</v>
      </c>
    </row>
    <row r="247" spans="1:12">
      <c r="A247" t="s">
        <v>27</v>
      </c>
      <c r="G247">
        <v>150</v>
      </c>
      <c r="H247" t="s">
        <v>1482</v>
      </c>
      <c r="K247" s="5">
        <v>150</v>
      </c>
      <c r="L247" s="6" t="s">
        <v>1482</v>
      </c>
    </row>
    <row r="248" spans="1:12">
      <c r="A248" t="s">
        <v>28</v>
      </c>
      <c r="B248" t="s">
        <v>1483</v>
      </c>
      <c r="C248" t="s">
        <v>1485</v>
      </c>
      <c r="G248">
        <v>200</v>
      </c>
      <c r="H248" t="s">
        <v>1482</v>
      </c>
      <c r="K248" s="5">
        <v>200</v>
      </c>
      <c r="L248" s="6" t="s">
        <v>1482</v>
      </c>
    </row>
    <row r="249" spans="1:12">
      <c r="A249" t="s">
        <v>28</v>
      </c>
      <c r="G249">
        <v>200</v>
      </c>
      <c r="H249" t="s">
        <v>1482</v>
      </c>
      <c r="K249" s="5">
        <v>200</v>
      </c>
      <c r="L249" s="6" t="s">
        <v>1482</v>
      </c>
    </row>
    <row r="250" spans="1:12">
      <c r="A250" t="s">
        <v>25</v>
      </c>
      <c r="B250" t="s">
        <v>1483</v>
      </c>
      <c r="C250" t="s">
        <v>1484</v>
      </c>
      <c r="G250">
        <v>150</v>
      </c>
      <c r="H250" t="s">
        <v>1482</v>
      </c>
      <c r="K250" s="5">
        <v>150</v>
      </c>
      <c r="L250" s="6" t="s">
        <v>1482</v>
      </c>
    </row>
    <row r="251" spans="1:12">
      <c r="A251" t="s">
        <v>25</v>
      </c>
      <c r="G251">
        <v>100</v>
      </c>
      <c r="H251" t="s">
        <v>1482</v>
      </c>
      <c r="K251" s="5">
        <v>100</v>
      </c>
      <c r="L251" s="6" t="s">
        <v>1482</v>
      </c>
    </row>
    <row r="252" spans="1:12">
      <c r="A252" t="s">
        <v>150</v>
      </c>
      <c r="G252">
        <v>100</v>
      </c>
      <c r="H252" t="s">
        <v>1482</v>
      </c>
      <c r="K252" s="5">
        <v>100</v>
      </c>
      <c r="L252" s="6" t="s">
        <v>1482</v>
      </c>
    </row>
    <row r="253" spans="1:12">
      <c r="A253" t="s">
        <v>28</v>
      </c>
      <c r="B253" t="s">
        <v>1486</v>
      </c>
      <c r="G253">
        <v>150</v>
      </c>
      <c r="H253" t="s">
        <v>1482</v>
      </c>
      <c r="K253" s="5">
        <v>150</v>
      </c>
      <c r="L253" s="6" t="s">
        <v>1482</v>
      </c>
    </row>
    <row r="254" spans="1:12">
      <c r="A254" t="s">
        <v>150</v>
      </c>
      <c r="G254">
        <v>50</v>
      </c>
      <c r="H254" t="s">
        <v>1482</v>
      </c>
      <c r="K254" s="5">
        <v>50</v>
      </c>
      <c r="L254" s="6" t="s">
        <v>1482</v>
      </c>
    </row>
    <row r="255" spans="1:12">
      <c r="A255" t="s">
        <v>27</v>
      </c>
      <c r="B255" t="s">
        <v>1484</v>
      </c>
      <c r="G255">
        <v>50</v>
      </c>
      <c r="H255" t="s">
        <v>1482</v>
      </c>
      <c r="K255" s="5">
        <v>50</v>
      </c>
      <c r="L255" s="6" t="s">
        <v>1482</v>
      </c>
    </row>
    <row r="256" spans="1:12">
      <c r="A256" t="s">
        <v>27</v>
      </c>
      <c r="B256" t="s">
        <v>1484</v>
      </c>
      <c r="C256" t="s">
        <v>1483</v>
      </c>
      <c r="G256">
        <v>100</v>
      </c>
      <c r="H256" t="s">
        <v>1482</v>
      </c>
      <c r="K256" s="5">
        <v>100</v>
      </c>
      <c r="L256" s="6" t="s">
        <v>1482</v>
      </c>
    </row>
    <row r="257" spans="1:12">
      <c r="A257" t="s">
        <v>27</v>
      </c>
      <c r="G257">
        <v>100</v>
      </c>
      <c r="H257" t="s">
        <v>1482</v>
      </c>
      <c r="K257" s="5">
        <v>100</v>
      </c>
      <c r="L257" s="6" t="s">
        <v>1482</v>
      </c>
    </row>
    <row r="258" spans="1:12">
      <c r="A258" t="s">
        <v>26</v>
      </c>
      <c r="B258" t="s">
        <v>1486</v>
      </c>
      <c r="C258" t="s">
        <v>1485</v>
      </c>
      <c r="G258">
        <v>100</v>
      </c>
      <c r="H258" t="s">
        <v>1482</v>
      </c>
      <c r="K258" s="5">
        <v>100</v>
      </c>
      <c r="L258" s="6" t="s">
        <v>1482</v>
      </c>
    </row>
    <row r="259" spans="1:12">
      <c r="A259" t="s">
        <v>25</v>
      </c>
      <c r="G259">
        <v>150</v>
      </c>
      <c r="H259" t="s">
        <v>1482</v>
      </c>
      <c r="K259" s="5">
        <v>150</v>
      </c>
      <c r="L259" s="6" t="s">
        <v>1482</v>
      </c>
    </row>
    <row r="260" spans="1:12">
      <c r="A260" t="s">
        <v>25</v>
      </c>
      <c r="G260">
        <v>50</v>
      </c>
      <c r="H260" t="s">
        <v>1482</v>
      </c>
      <c r="K260" s="5">
        <v>50</v>
      </c>
      <c r="L260" s="6" t="s">
        <v>1482</v>
      </c>
    </row>
    <row r="261" spans="1:12">
      <c r="A261" t="s">
        <v>26</v>
      </c>
      <c r="B261" t="s">
        <v>1485</v>
      </c>
      <c r="G261">
        <v>100</v>
      </c>
      <c r="H261" t="s">
        <v>1482</v>
      </c>
      <c r="K261" s="5">
        <v>100</v>
      </c>
      <c r="L261" s="6" t="s">
        <v>1482</v>
      </c>
    </row>
    <row r="262" spans="1:12">
      <c r="A262" t="s">
        <v>150</v>
      </c>
      <c r="B262" t="s">
        <v>1485</v>
      </c>
      <c r="C262" t="s">
        <v>1481</v>
      </c>
      <c r="G262">
        <v>150</v>
      </c>
      <c r="H262" t="s">
        <v>1482</v>
      </c>
      <c r="K262" s="5">
        <v>150</v>
      </c>
      <c r="L262" s="6" t="s">
        <v>1482</v>
      </c>
    </row>
    <row r="263" spans="1:12">
      <c r="A263" t="s">
        <v>150</v>
      </c>
      <c r="B263" t="s">
        <v>1485</v>
      </c>
      <c r="G263">
        <v>50</v>
      </c>
      <c r="H263" t="s">
        <v>1482</v>
      </c>
      <c r="K263" s="5">
        <v>50</v>
      </c>
      <c r="L263" s="6" t="s">
        <v>1482</v>
      </c>
    </row>
    <row r="264" spans="1:12">
      <c r="A264" t="s">
        <v>28</v>
      </c>
      <c r="B264" t="s">
        <v>1483</v>
      </c>
      <c r="G264">
        <v>100</v>
      </c>
      <c r="H264" t="s">
        <v>1482</v>
      </c>
      <c r="K264" s="5">
        <v>100</v>
      </c>
      <c r="L264" s="6" t="s">
        <v>1482</v>
      </c>
    </row>
    <row r="265" spans="1:12">
      <c r="A265" t="s">
        <v>150</v>
      </c>
      <c r="B265" t="s">
        <v>1481</v>
      </c>
      <c r="G265">
        <v>200</v>
      </c>
      <c r="H265" t="s">
        <v>1482</v>
      </c>
      <c r="K265" s="5">
        <v>200</v>
      </c>
      <c r="L265" s="6" t="s">
        <v>1482</v>
      </c>
    </row>
    <row r="266" spans="1:12">
      <c r="A266" t="s">
        <v>28</v>
      </c>
      <c r="G266">
        <v>200</v>
      </c>
      <c r="H266" t="s">
        <v>1482</v>
      </c>
      <c r="K266" s="5">
        <v>200</v>
      </c>
      <c r="L266" s="6" t="s">
        <v>1482</v>
      </c>
    </row>
    <row r="267" spans="1:12">
      <c r="A267" t="s">
        <v>27</v>
      </c>
      <c r="B267" t="s">
        <v>1486</v>
      </c>
      <c r="G267">
        <v>200</v>
      </c>
      <c r="H267" t="s">
        <v>1482</v>
      </c>
      <c r="K267" s="5">
        <v>200</v>
      </c>
      <c r="L267" s="6" t="s">
        <v>1482</v>
      </c>
    </row>
    <row r="268" spans="1:12">
      <c r="A268" t="s">
        <v>25</v>
      </c>
      <c r="B268" t="s">
        <v>1481</v>
      </c>
      <c r="G268">
        <v>100</v>
      </c>
      <c r="H268" t="s">
        <v>1482</v>
      </c>
      <c r="K268" s="5">
        <v>100</v>
      </c>
      <c r="L268" s="6" t="s">
        <v>1482</v>
      </c>
    </row>
    <row r="269" spans="1:12">
      <c r="A269" t="s">
        <v>28</v>
      </c>
      <c r="B269" t="s">
        <v>1485</v>
      </c>
      <c r="G269">
        <v>200</v>
      </c>
      <c r="H269" t="s">
        <v>1482</v>
      </c>
      <c r="K269" s="5">
        <v>200</v>
      </c>
      <c r="L269" s="6" t="s">
        <v>1482</v>
      </c>
    </row>
    <row r="270" spans="1:12">
      <c r="A270" t="s">
        <v>25</v>
      </c>
      <c r="B270" t="s">
        <v>1485</v>
      </c>
      <c r="G270">
        <v>150</v>
      </c>
      <c r="H270" t="s">
        <v>1482</v>
      </c>
      <c r="K270" s="5">
        <v>150</v>
      </c>
      <c r="L270" s="6" t="s">
        <v>1482</v>
      </c>
    </row>
    <row r="271" spans="1:12">
      <c r="A271" t="s">
        <v>27</v>
      </c>
      <c r="B271" t="s">
        <v>1486</v>
      </c>
      <c r="G271">
        <v>200</v>
      </c>
      <c r="H271" t="s">
        <v>1482</v>
      </c>
      <c r="K271" s="5">
        <v>200</v>
      </c>
      <c r="L271" s="6" t="s">
        <v>1482</v>
      </c>
    </row>
    <row r="272" spans="1:12">
      <c r="A272" t="s">
        <v>25</v>
      </c>
      <c r="B272" t="s">
        <v>1483</v>
      </c>
      <c r="G272">
        <v>100</v>
      </c>
      <c r="H272" t="s">
        <v>1482</v>
      </c>
      <c r="K272" s="5">
        <v>100</v>
      </c>
      <c r="L272" s="6" t="s">
        <v>1482</v>
      </c>
    </row>
    <row r="273" spans="1:12">
      <c r="A273" t="s">
        <v>25</v>
      </c>
      <c r="B273" t="s">
        <v>1485</v>
      </c>
      <c r="G273">
        <v>100</v>
      </c>
      <c r="H273" t="s">
        <v>1482</v>
      </c>
      <c r="K273" s="5">
        <v>100</v>
      </c>
      <c r="L273" s="6" t="s">
        <v>1482</v>
      </c>
    </row>
    <row r="274" spans="1:12">
      <c r="A274" t="s">
        <v>28</v>
      </c>
      <c r="G274">
        <v>200</v>
      </c>
      <c r="H274" t="s">
        <v>1482</v>
      </c>
      <c r="K274" s="5">
        <v>200</v>
      </c>
      <c r="L274" s="6" t="s">
        <v>1482</v>
      </c>
    </row>
    <row r="275" spans="1:12">
      <c r="A275" t="s">
        <v>150</v>
      </c>
      <c r="B275" t="s">
        <v>1485</v>
      </c>
      <c r="G275">
        <v>100</v>
      </c>
      <c r="H275" t="s">
        <v>1482</v>
      </c>
      <c r="K275" s="5">
        <v>100</v>
      </c>
      <c r="L275" s="6" t="s">
        <v>1482</v>
      </c>
    </row>
    <row r="276" spans="1:12">
      <c r="A276" t="s">
        <v>27</v>
      </c>
      <c r="B276" t="s">
        <v>1483</v>
      </c>
      <c r="C276" t="s">
        <v>1481</v>
      </c>
      <c r="G276">
        <v>50</v>
      </c>
      <c r="H276" t="s">
        <v>1482</v>
      </c>
      <c r="K276" s="5">
        <v>50</v>
      </c>
      <c r="L276" s="6" t="s">
        <v>1482</v>
      </c>
    </row>
    <row r="277" spans="1:12">
      <c r="A277" t="s">
        <v>150</v>
      </c>
      <c r="G277">
        <v>50</v>
      </c>
      <c r="H277" t="s">
        <v>1482</v>
      </c>
      <c r="K277" s="5">
        <v>50</v>
      </c>
      <c r="L277" s="6" t="s">
        <v>1482</v>
      </c>
    </row>
    <row r="278" spans="1:12">
      <c r="A278" t="s">
        <v>27</v>
      </c>
      <c r="B278" t="s">
        <v>1481</v>
      </c>
      <c r="G278">
        <v>50</v>
      </c>
      <c r="H278" t="s">
        <v>1482</v>
      </c>
      <c r="K278" s="5">
        <v>50</v>
      </c>
      <c r="L278" s="6" t="s">
        <v>1482</v>
      </c>
    </row>
    <row r="279" spans="1:12">
      <c r="A279" t="s">
        <v>150</v>
      </c>
      <c r="G279">
        <v>50</v>
      </c>
      <c r="H279" t="s">
        <v>1482</v>
      </c>
      <c r="K279" s="5">
        <v>50</v>
      </c>
      <c r="L279" s="6" t="s">
        <v>1482</v>
      </c>
    </row>
    <row r="280" spans="1:12">
      <c r="A280" t="s">
        <v>25</v>
      </c>
      <c r="G280">
        <v>100</v>
      </c>
      <c r="H280" t="s">
        <v>1482</v>
      </c>
      <c r="K280" s="5">
        <v>100</v>
      </c>
      <c r="L280" s="6" t="s">
        <v>1482</v>
      </c>
    </row>
    <row r="281" spans="1:12">
      <c r="A281" t="s">
        <v>28</v>
      </c>
      <c r="B281" t="s">
        <v>1485</v>
      </c>
      <c r="G281">
        <v>100</v>
      </c>
      <c r="H281" t="s">
        <v>1482</v>
      </c>
      <c r="K281" s="5">
        <v>100</v>
      </c>
      <c r="L281" s="6" t="s">
        <v>1482</v>
      </c>
    </row>
    <row r="282" spans="1:12">
      <c r="A282" t="s">
        <v>26</v>
      </c>
      <c r="B282" t="s">
        <v>1485</v>
      </c>
      <c r="G282">
        <v>200</v>
      </c>
      <c r="H282" t="s">
        <v>1482</v>
      </c>
      <c r="K282" s="5">
        <v>200</v>
      </c>
      <c r="L282" s="6" t="s">
        <v>1482</v>
      </c>
    </row>
    <row r="283" spans="1:12">
      <c r="A283" t="s">
        <v>26</v>
      </c>
      <c r="B283" t="s">
        <v>1481</v>
      </c>
      <c r="C283" t="s">
        <v>1485</v>
      </c>
      <c r="G283">
        <v>150</v>
      </c>
      <c r="H283" t="s">
        <v>1482</v>
      </c>
      <c r="K283" s="5">
        <v>150</v>
      </c>
      <c r="L283" s="6" t="s">
        <v>1482</v>
      </c>
    </row>
    <row r="284" spans="1:12">
      <c r="A284" t="s">
        <v>150</v>
      </c>
      <c r="B284" t="s">
        <v>1483</v>
      </c>
      <c r="G284">
        <v>50</v>
      </c>
      <c r="H284" t="s">
        <v>1482</v>
      </c>
      <c r="K284" s="5">
        <v>50</v>
      </c>
      <c r="L284" s="6" t="s">
        <v>1482</v>
      </c>
    </row>
    <row r="285" spans="1:12">
      <c r="A285" t="s">
        <v>28</v>
      </c>
      <c r="B285" t="s">
        <v>1483</v>
      </c>
      <c r="G285">
        <v>150</v>
      </c>
      <c r="H285" t="s">
        <v>1482</v>
      </c>
      <c r="K285" s="5">
        <v>150</v>
      </c>
      <c r="L285" s="6" t="s">
        <v>1482</v>
      </c>
    </row>
    <row r="286" spans="1:12">
      <c r="A286" t="s">
        <v>27</v>
      </c>
      <c r="B286" t="s">
        <v>1486</v>
      </c>
      <c r="G286">
        <v>200</v>
      </c>
      <c r="H286" t="s">
        <v>1482</v>
      </c>
      <c r="K286" s="5">
        <v>200</v>
      </c>
      <c r="L286" s="6" t="s">
        <v>1482</v>
      </c>
    </row>
    <row r="287" spans="1:12">
      <c r="A287" t="s">
        <v>28</v>
      </c>
      <c r="G287">
        <v>200</v>
      </c>
      <c r="H287" t="s">
        <v>1482</v>
      </c>
      <c r="K287" s="5">
        <v>200</v>
      </c>
      <c r="L287" s="6" t="s">
        <v>1482</v>
      </c>
    </row>
    <row r="288" spans="1:12">
      <c r="A288" t="s">
        <v>26</v>
      </c>
      <c r="G288">
        <v>150</v>
      </c>
      <c r="H288" t="s">
        <v>1482</v>
      </c>
      <c r="K288" s="5">
        <v>150</v>
      </c>
      <c r="L288" s="6" t="s">
        <v>1482</v>
      </c>
    </row>
    <row r="289" spans="1:12">
      <c r="A289" t="s">
        <v>25</v>
      </c>
      <c r="G289">
        <v>100</v>
      </c>
      <c r="H289" t="s">
        <v>1482</v>
      </c>
      <c r="K289" s="5">
        <v>100</v>
      </c>
      <c r="L289" s="6" t="s">
        <v>1482</v>
      </c>
    </row>
    <row r="290" spans="1:12">
      <c r="A290" t="s">
        <v>150</v>
      </c>
      <c r="B290" t="s">
        <v>1481</v>
      </c>
      <c r="C290" t="s">
        <v>1486</v>
      </c>
      <c r="G290">
        <v>50</v>
      </c>
      <c r="H290" t="s">
        <v>1482</v>
      </c>
      <c r="K290" s="5">
        <v>50</v>
      </c>
      <c r="L290" s="6" t="s">
        <v>1482</v>
      </c>
    </row>
    <row r="291" spans="1:12">
      <c r="A291" t="s">
        <v>25</v>
      </c>
      <c r="G291">
        <v>200</v>
      </c>
      <c r="H291" t="s">
        <v>1482</v>
      </c>
      <c r="K291" s="5">
        <v>200</v>
      </c>
      <c r="L291" s="6" t="s">
        <v>1482</v>
      </c>
    </row>
    <row r="292" spans="1:12">
      <c r="A292" t="s">
        <v>26</v>
      </c>
      <c r="B292" t="s">
        <v>1486</v>
      </c>
      <c r="G292">
        <v>100</v>
      </c>
      <c r="H292" t="s">
        <v>1482</v>
      </c>
      <c r="K292" s="5">
        <v>100</v>
      </c>
      <c r="L292" s="6" t="s">
        <v>1482</v>
      </c>
    </row>
    <row r="293" spans="1:12">
      <c r="A293" t="s">
        <v>28</v>
      </c>
      <c r="B293" t="s">
        <v>1486</v>
      </c>
      <c r="G293">
        <v>150</v>
      </c>
      <c r="H293" t="s">
        <v>1482</v>
      </c>
      <c r="K293" s="5">
        <v>150</v>
      </c>
      <c r="L293" s="6" t="s">
        <v>1482</v>
      </c>
    </row>
    <row r="294" spans="1:12">
      <c r="A294" t="s">
        <v>150</v>
      </c>
      <c r="G294">
        <v>100</v>
      </c>
      <c r="H294" t="s">
        <v>1482</v>
      </c>
      <c r="K294" s="5">
        <v>100</v>
      </c>
      <c r="L294" s="6" t="s">
        <v>1482</v>
      </c>
    </row>
    <row r="295" spans="1:12">
      <c r="A295" t="s">
        <v>27</v>
      </c>
      <c r="B295" t="s">
        <v>1481</v>
      </c>
      <c r="C295" t="s">
        <v>1486</v>
      </c>
      <c r="G295">
        <v>200</v>
      </c>
      <c r="H295" t="s">
        <v>1482</v>
      </c>
      <c r="K295" s="5">
        <v>200</v>
      </c>
      <c r="L295" s="6" t="s">
        <v>1482</v>
      </c>
    </row>
    <row r="296" spans="1:12">
      <c r="A296" t="s">
        <v>25</v>
      </c>
      <c r="B296" t="s">
        <v>1481</v>
      </c>
      <c r="C296" t="s">
        <v>1483</v>
      </c>
      <c r="G296">
        <v>100</v>
      </c>
      <c r="H296" t="s">
        <v>1482</v>
      </c>
      <c r="K296" s="5">
        <v>100</v>
      </c>
      <c r="L296" s="6" t="s">
        <v>1482</v>
      </c>
    </row>
    <row r="297" spans="1:12">
      <c r="A297" t="s">
        <v>26</v>
      </c>
      <c r="B297" t="s">
        <v>1485</v>
      </c>
      <c r="G297">
        <v>150</v>
      </c>
      <c r="H297" t="s">
        <v>1482</v>
      </c>
      <c r="K297" s="5">
        <v>150</v>
      </c>
      <c r="L297" s="6" t="s">
        <v>1482</v>
      </c>
    </row>
    <row r="298" spans="1:12">
      <c r="A298" t="s">
        <v>28</v>
      </c>
      <c r="B298" t="s">
        <v>1484</v>
      </c>
      <c r="C298" t="s">
        <v>1483</v>
      </c>
      <c r="G298">
        <v>200</v>
      </c>
      <c r="H298" t="s">
        <v>1482</v>
      </c>
      <c r="K298" s="5">
        <v>200</v>
      </c>
      <c r="L298" s="6" t="s">
        <v>1482</v>
      </c>
    </row>
    <row r="299" spans="1:12">
      <c r="A299" t="s">
        <v>27</v>
      </c>
      <c r="G299">
        <v>100</v>
      </c>
      <c r="H299" t="s">
        <v>1482</v>
      </c>
      <c r="K299" s="5">
        <v>100</v>
      </c>
      <c r="L299" s="6" t="s">
        <v>1482</v>
      </c>
    </row>
    <row r="300" spans="1:12">
      <c r="A300" t="s">
        <v>25</v>
      </c>
      <c r="G300">
        <v>100</v>
      </c>
      <c r="H300" t="s">
        <v>1482</v>
      </c>
      <c r="K300" s="5">
        <v>100</v>
      </c>
      <c r="L300" s="6" t="s">
        <v>1482</v>
      </c>
    </row>
    <row r="301" spans="1:12">
      <c r="A301" t="s">
        <v>27</v>
      </c>
      <c r="B301" t="s">
        <v>1486</v>
      </c>
      <c r="G301">
        <v>50</v>
      </c>
      <c r="H301" t="s">
        <v>1482</v>
      </c>
      <c r="K301" s="5">
        <v>50</v>
      </c>
      <c r="L301" s="6" t="s">
        <v>1482</v>
      </c>
    </row>
    <row r="302" spans="1:12">
      <c r="A302" t="s">
        <v>28</v>
      </c>
      <c r="B302" t="s">
        <v>1483</v>
      </c>
      <c r="C302" t="s">
        <v>1484</v>
      </c>
      <c r="G302">
        <v>50</v>
      </c>
      <c r="H302" t="s">
        <v>1482</v>
      </c>
      <c r="K302" s="5">
        <v>50</v>
      </c>
      <c r="L302" s="6" t="s">
        <v>1482</v>
      </c>
    </row>
    <row r="303" spans="1:12">
      <c r="A303" t="s">
        <v>150</v>
      </c>
      <c r="G303">
        <v>150</v>
      </c>
      <c r="H303" t="s">
        <v>1482</v>
      </c>
      <c r="K303" s="5">
        <v>150</v>
      </c>
      <c r="L303" s="6" t="s">
        <v>1482</v>
      </c>
    </row>
    <row r="304" spans="1:12">
      <c r="A304" t="s">
        <v>28</v>
      </c>
      <c r="G304">
        <v>200</v>
      </c>
      <c r="H304" t="s">
        <v>1482</v>
      </c>
      <c r="K304" s="5">
        <v>200</v>
      </c>
      <c r="L304" s="6" t="s">
        <v>1482</v>
      </c>
    </row>
    <row r="305" spans="1:12">
      <c r="A305" t="s">
        <v>28</v>
      </c>
      <c r="B305" t="s">
        <v>1485</v>
      </c>
      <c r="G305">
        <v>50</v>
      </c>
      <c r="H305" t="s">
        <v>1482</v>
      </c>
      <c r="K305" s="5">
        <v>50</v>
      </c>
      <c r="L305" s="6" t="s">
        <v>1482</v>
      </c>
    </row>
    <row r="306" spans="1:12">
      <c r="A306" t="s">
        <v>26</v>
      </c>
      <c r="G306">
        <v>200</v>
      </c>
      <c r="H306" t="s">
        <v>1482</v>
      </c>
      <c r="K306" s="5">
        <v>200</v>
      </c>
      <c r="L306" s="6" t="s">
        <v>1482</v>
      </c>
    </row>
    <row r="307" spans="1:12">
      <c r="A307" t="s">
        <v>28</v>
      </c>
      <c r="B307" t="s">
        <v>1483</v>
      </c>
      <c r="G307">
        <v>150</v>
      </c>
      <c r="H307" t="s">
        <v>1482</v>
      </c>
      <c r="K307" s="5">
        <v>150</v>
      </c>
      <c r="L307" s="6" t="s">
        <v>1482</v>
      </c>
    </row>
    <row r="308" spans="1:12">
      <c r="A308" t="s">
        <v>150</v>
      </c>
      <c r="B308" t="s">
        <v>1485</v>
      </c>
      <c r="C308" t="s">
        <v>1483</v>
      </c>
      <c r="G308">
        <v>150</v>
      </c>
      <c r="H308" t="s">
        <v>1482</v>
      </c>
      <c r="K308" s="5">
        <v>150</v>
      </c>
      <c r="L308" s="6" t="s">
        <v>1482</v>
      </c>
    </row>
    <row r="309" spans="1:12">
      <c r="A309" t="s">
        <v>28</v>
      </c>
      <c r="B309" t="s">
        <v>1486</v>
      </c>
      <c r="G309">
        <v>50</v>
      </c>
      <c r="H309" t="s">
        <v>1482</v>
      </c>
      <c r="K309" s="5">
        <v>50</v>
      </c>
      <c r="L309" s="6" t="s">
        <v>1482</v>
      </c>
    </row>
    <row r="310" spans="1:12">
      <c r="A310" t="s">
        <v>25</v>
      </c>
      <c r="B310" t="s">
        <v>1483</v>
      </c>
      <c r="G310">
        <v>100</v>
      </c>
      <c r="H310" t="s">
        <v>1482</v>
      </c>
      <c r="K310" s="5">
        <v>100</v>
      </c>
      <c r="L310" s="6" t="s">
        <v>1482</v>
      </c>
    </row>
    <row r="311" spans="1:12">
      <c r="A311" t="s">
        <v>26</v>
      </c>
      <c r="B311" t="s">
        <v>1485</v>
      </c>
      <c r="C311" t="s">
        <v>1484</v>
      </c>
      <c r="G311">
        <v>150</v>
      </c>
      <c r="H311" t="s">
        <v>1482</v>
      </c>
      <c r="K311" s="5">
        <v>150</v>
      </c>
      <c r="L311" s="6" t="s">
        <v>1482</v>
      </c>
    </row>
    <row r="312" spans="1:12">
      <c r="A312" t="s">
        <v>28</v>
      </c>
      <c r="G312">
        <v>150</v>
      </c>
      <c r="H312" t="s">
        <v>1482</v>
      </c>
      <c r="K312" s="5">
        <v>150</v>
      </c>
      <c r="L312" s="6" t="s">
        <v>1482</v>
      </c>
    </row>
    <row r="313" spans="1:12">
      <c r="A313" t="s">
        <v>25</v>
      </c>
      <c r="B313" t="s">
        <v>1485</v>
      </c>
      <c r="G313">
        <v>150</v>
      </c>
      <c r="H313" t="s">
        <v>1482</v>
      </c>
      <c r="K313" s="5">
        <v>150</v>
      </c>
      <c r="L313" s="6" t="s">
        <v>1482</v>
      </c>
    </row>
    <row r="314" spans="1:12">
      <c r="A314" t="s">
        <v>150</v>
      </c>
      <c r="G314">
        <v>200</v>
      </c>
      <c r="H314" t="s">
        <v>1482</v>
      </c>
      <c r="K314" s="5">
        <v>200</v>
      </c>
      <c r="L314" s="6" t="s">
        <v>1482</v>
      </c>
    </row>
    <row r="315" spans="1:12">
      <c r="A315" t="s">
        <v>27</v>
      </c>
      <c r="B315" t="s">
        <v>1486</v>
      </c>
      <c r="G315">
        <v>200</v>
      </c>
      <c r="H315" t="s">
        <v>1482</v>
      </c>
      <c r="K315" s="5">
        <v>200</v>
      </c>
      <c r="L315" s="6" t="s">
        <v>1482</v>
      </c>
    </row>
    <row r="316" spans="1:12">
      <c r="A316" t="s">
        <v>26</v>
      </c>
      <c r="B316" t="s">
        <v>1481</v>
      </c>
      <c r="G316">
        <v>50</v>
      </c>
      <c r="H316" t="s">
        <v>1482</v>
      </c>
      <c r="K316" s="5">
        <v>50</v>
      </c>
      <c r="L316" s="6" t="s">
        <v>1482</v>
      </c>
    </row>
    <row r="317" spans="1:12">
      <c r="A317" t="s">
        <v>25</v>
      </c>
      <c r="B317" t="s">
        <v>1481</v>
      </c>
      <c r="G317">
        <v>200</v>
      </c>
      <c r="H317" t="s">
        <v>1482</v>
      </c>
      <c r="K317" s="5">
        <v>200</v>
      </c>
      <c r="L317" s="6" t="s">
        <v>1482</v>
      </c>
    </row>
    <row r="318" spans="1:12">
      <c r="A318" t="s">
        <v>27</v>
      </c>
      <c r="B318" t="s">
        <v>1483</v>
      </c>
      <c r="C318" t="s">
        <v>1486</v>
      </c>
      <c r="G318">
        <v>200</v>
      </c>
      <c r="H318" t="s">
        <v>1482</v>
      </c>
      <c r="K318" s="5">
        <v>200</v>
      </c>
      <c r="L318" s="6" t="s">
        <v>1482</v>
      </c>
    </row>
    <row r="319" spans="1:12">
      <c r="A319" t="s">
        <v>25</v>
      </c>
      <c r="B319" t="s">
        <v>1484</v>
      </c>
      <c r="C319" t="s">
        <v>1483</v>
      </c>
      <c r="G319">
        <v>200</v>
      </c>
      <c r="H319" t="s">
        <v>1482</v>
      </c>
      <c r="K319" s="5">
        <v>200</v>
      </c>
      <c r="L319" s="6" t="s">
        <v>1482</v>
      </c>
    </row>
    <row r="320" spans="1:12">
      <c r="A320" t="s">
        <v>28</v>
      </c>
      <c r="B320" t="s">
        <v>1484</v>
      </c>
      <c r="G320">
        <v>100</v>
      </c>
      <c r="H320" t="s">
        <v>1482</v>
      </c>
      <c r="K320" s="5">
        <v>100</v>
      </c>
      <c r="L320" s="6" t="s">
        <v>1482</v>
      </c>
    </row>
    <row r="321" spans="1:12">
      <c r="A321" t="s">
        <v>28</v>
      </c>
      <c r="B321" t="s">
        <v>1484</v>
      </c>
      <c r="G321">
        <v>50</v>
      </c>
      <c r="H321" t="s">
        <v>1482</v>
      </c>
      <c r="K321" s="5">
        <v>50</v>
      </c>
      <c r="L321" s="6" t="s">
        <v>1482</v>
      </c>
    </row>
    <row r="322" spans="1:12">
      <c r="A322" t="s">
        <v>25</v>
      </c>
      <c r="G322">
        <v>200</v>
      </c>
      <c r="H322" t="s">
        <v>1482</v>
      </c>
      <c r="K322" s="5">
        <v>200</v>
      </c>
      <c r="L322" s="6" t="s">
        <v>1482</v>
      </c>
    </row>
    <row r="323" spans="1:12">
      <c r="A323" t="s">
        <v>28</v>
      </c>
      <c r="B323" t="s">
        <v>1484</v>
      </c>
      <c r="C323" t="s">
        <v>1485</v>
      </c>
      <c r="G323">
        <v>50</v>
      </c>
      <c r="H323" t="s">
        <v>1482</v>
      </c>
      <c r="K323" s="5">
        <v>50</v>
      </c>
      <c r="L323" s="6" t="s">
        <v>1482</v>
      </c>
    </row>
    <row r="324" spans="1:12">
      <c r="A324" t="s">
        <v>26</v>
      </c>
      <c r="G324">
        <v>50</v>
      </c>
      <c r="H324" t="s">
        <v>1482</v>
      </c>
      <c r="K324" s="5">
        <v>50</v>
      </c>
      <c r="L324" s="6" t="s">
        <v>1482</v>
      </c>
    </row>
    <row r="325" spans="1:12">
      <c r="A325" t="s">
        <v>28</v>
      </c>
      <c r="B325" t="s">
        <v>1485</v>
      </c>
      <c r="C325" t="s">
        <v>1486</v>
      </c>
      <c r="G325">
        <v>100</v>
      </c>
      <c r="H325" t="s">
        <v>1482</v>
      </c>
      <c r="K325" s="5">
        <v>100</v>
      </c>
      <c r="L325" s="6" t="s">
        <v>1482</v>
      </c>
    </row>
    <row r="326" spans="1:12">
      <c r="A326" t="s">
        <v>27</v>
      </c>
      <c r="B326" t="s">
        <v>1483</v>
      </c>
      <c r="C326" t="s">
        <v>1486</v>
      </c>
      <c r="G326">
        <v>100</v>
      </c>
      <c r="H326" t="s">
        <v>1482</v>
      </c>
      <c r="K326" s="5">
        <v>100</v>
      </c>
      <c r="L326" s="6" t="s">
        <v>1482</v>
      </c>
    </row>
    <row r="327" spans="1:12">
      <c r="A327" t="s">
        <v>28</v>
      </c>
      <c r="G327">
        <v>100</v>
      </c>
      <c r="H327" t="s">
        <v>1482</v>
      </c>
      <c r="K327" s="5">
        <v>100</v>
      </c>
      <c r="L327" s="6" t="s">
        <v>1482</v>
      </c>
    </row>
    <row r="328" spans="1:12">
      <c r="A328" t="s">
        <v>27</v>
      </c>
      <c r="G328">
        <v>50</v>
      </c>
      <c r="H328" t="s">
        <v>1482</v>
      </c>
      <c r="K328" s="5">
        <v>50</v>
      </c>
      <c r="L328" s="6" t="s">
        <v>1482</v>
      </c>
    </row>
    <row r="329" spans="1:12">
      <c r="A329" t="s">
        <v>27</v>
      </c>
      <c r="B329" t="s">
        <v>1486</v>
      </c>
      <c r="C329" t="s">
        <v>1481</v>
      </c>
      <c r="G329">
        <v>100</v>
      </c>
      <c r="H329" t="s">
        <v>1482</v>
      </c>
      <c r="K329" s="5">
        <v>100</v>
      </c>
      <c r="L329" s="6" t="s">
        <v>1482</v>
      </c>
    </row>
    <row r="330" spans="1:12">
      <c r="A330" t="s">
        <v>150</v>
      </c>
      <c r="B330" t="s">
        <v>1485</v>
      </c>
      <c r="G330">
        <v>100</v>
      </c>
      <c r="H330" t="s">
        <v>1482</v>
      </c>
      <c r="K330" s="5">
        <v>100</v>
      </c>
      <c r="L330" s="6" t="s">
        <v>1482</v>
      </c>
    </row>
    <row r="331" spans="1:12">
      <c r="A331" t="s">
        <v>25</v>
      </c>
      <c r="G331">
        <v>150</v>
      </c>
      <c r="H331" t="s">
        <v>1482</v>
      </c>
      <c r="K331" s="5">
        <v>150</v>
      </c>
      <c r="L331" s="6" t="s">
        <v>1482</v>
      </c>
    </row>
    <row r="332" spans="1:12">
      <c r="A332" t="s">
        <v>27</v>
      </c>
      <c r="G332">
        <v>100</v>
      </c>
      <c r="H332" t="s">
        <v>1482</v>
      </c>
      <c r="K332" s="5">
        <v>100</v>
      </c>
      <c r="L332" s="6" t="s">
        <v>1482</v>
      </c>
    </row>
    <row r="333" spans="1:12">
      <c r="A333" t="s">
        <v>26</v>
      </c>
      <c r="B333" t="s">
        <v>1486</v>
      </c>
      <c r="G333">
        <v>150</v>
      </c>
      <c r="H333" t="s">
        <v>1482</v>
      </c>
      <c r="K333" s="5">
        <v>150</v>
      </c>
      <c r="L333" s="6" t="s">
        <v>1482</v>
      </c>
    </row>
    <row r="334" spans="1:12">
      <c r="A334" t="s">
        <v>28</v>
      </c>
      <c r="G334">
        <v>100</v>
      </c>
      <c r="H334" t="s">
        <v>1482</v>
      </c>
      <c r="K334" s="5">
        <v>100</v>
      </c>
      <c r="L334" s="6" t="s">
        <v>1482</v>
      </c>
    </row>
    <row r="335" spans="1:12">
      <c r="A335" t="s">
        <v>26</v>
      </c>
      <c r="B335" t="s">
        <v>1484</v>
      </c>
      <c r="C335" t="s">
        <v>1486</v>
      </c>
      <c r="G335">
        <v>200</v>
      </c>
      <c r="H335" t="s">
        <v>1482</v>
      </c>
      <c r="K335" s="5">
        <v>200</v>
      </c>
      <c r="L335" s="6" t="s">
        <v>1482</v>
      </c>
    </row>
    <row r="336" spans="1:12">
      <c r="A336" t="s">
        <v>25</v>
      </c>
      <c r="B336" t="s">
        <v>1483</v>
      </c>
      <c r="C336" t="s">
        <v>1484</v>
      </c>
      <c r="G336">
        <v>150</v>
      </c>
      <c r="H336" t="s">
        <v>1482</v>
      </c>
      <c r="K336" s="5">
        <v>150</v>
      </c>
      <c r="L336" s="6" t="s">
        <v>1482</v>
      </c>
    </row>
    <row r="337" spans="1:12">
      <c r="A337" t="s">
        <v>25</v>
      </c>
      <c r="G337">
        <v>50</v>
      </c>
      <c r="H337" t="s">
        <v>1482</v>
      </c>
      <c r="K337" s="5">
        <v>50</v>
      </c>
      <c r="L337" s="6" t="s">
        <v>1482</v>
      </c>
    </row>
    <row r="338" spans="1:12">
      <c r="A338" t="s">
        <v>150</v>
      </c>
      <c r="B338" t="s">
        <v>1486</v>
      </c>
      <c r="G338">
        <v>100</v>
      </c>
      <c r="H338" t="s">
        <v>1482</v>
      </c>
      <c r="K338" s="5">
        <v>100</v>
      </c>
      <c r="L338" s="6" t="s">
        <v>1482</v>
      </c>
    </row>
    <row r="339" spans="1:12">
      <c r="A339" t="s">
        <v>25</v>
      </c>
      <c r="G339">
        <v>150</v>
      </c>
      <c r="H339" t="s">
        <v>1482</v>
      </c>
      <c r="K339" s="5">
        <v>150</v>
      </c>
      <c r="L339" s="6" t="s">
        <v>1482</v>
      </c>
    </row>
    <row r="340" spans="1:12">
      <c r="A340" t="s">
        <v>150</v>
      </c>
      <c r="B340" t="s">
        <v>1485</v>
      </c>
      <c r="C340" t="s">
        <v>1486</v>
      </c>
      <c r="G340">
        <v>200</v>
      </c>
      <c r="H340" t="s">
        <v>1482</v>
      </c>
      <c r="K340" s="5">
        <v>200</v>
      </c>
      <c r="L340" s="6" t="s">
        <v>1482</v>
      </c>
    </row>
    <row r="341" spans="1:12">
      <c r="A341" t="s">
        <v>150</v>
      </c>
      <c r="B341" t="s">
        <v>1485</v>
      </c>
      <c r="C341" t="s">
        <v>1481</v>
      </c>
      <c r="G341">
        <v>200</v>
      </c>
      <c r="H341" t="s">
        <v>1482</v>
      </c>
      <c r="K341" s="5">
        <v>200</v>
      </c>
      <c r="L341" s="6" t="s">
        <v>1482</v>
      </c>
    </row>
    <row r="342" spans="1:12">
      <c r="A342" t="s">
        <v>27</v>
      </c>
      <c r="B342" t="s">
        <v>1486</v>
      </c>
      <c r="G342">
        <v>100</v>
      </c>
      <c r="H342" t="s">
        <v>1482</v>
      </c>
      <c r="K342" s="5">
        <v>100</v>
      </c>
      <c r="L342" s="6" t="s">
        <v>1482</v>
      </c>
    </row>
    <row r="343" spans="1:12">
      <c r="A343" t="s">
        <v>150</v>
      </c>
      <c r="G343">
        <v>50</v>
      </c>
      <c r="H343" t="s">
        <v>1482</v>
      </c>
      <c r="K343" s="5">
        <v>50</v>
      </c>
      <c r="L343" s="6" t="s">
        <v>1482</v>
      </c>
    </row>
    <row r="344" spans="1:12">
      <c r="A344" t="s">
        <v>150</v>
      </c>
      <c r="B344" t="s">
        <v>1486</v>
      </c>
      <c r="C344" t="s">
        <v>1481</v>
      </c>
      <c r="G344">
        <v>150</v>
      </c>
      <c r="H344" t="s">
        <v>1482</v>
      </c>
      <c r="K344" s="5">
        <v>150</v>
      </c>
      <c r="L344" s="6" t="s">
        <v>1482</v>
      </c>
    </row>
    <row r="345" spans="1:12">
      <c r="A345" t="s">
        <v>27</v>
      </c>
      <c r="B345" t="s">
        <v>1486</v>
      </c>
      <c r="G345">
        <v>100</v>
      </c>
      <c r="H345" t="s">
        <v>1482</v>
      </c>
      <c r="K345" s="5">
        <v>100</v>
      </c>
      <c r="L345" s="6" t="s">
        <v>1482</v>
      </c>
    </row>
    <row r="346" spans="1:12">
      <c r="A346" t="s">
        <v>27</v>
      </c>
      <c r="B346" t="s">
        <v>1484</v>
      </c>
      <c r="C346" t="s">
        <v>1486</v>
      </c>
      <c r="G346">
        <v>50</v>
      </c>
      <c r="H346" t="s">
        <v>1482</v>
      </c>
      <c r="K346" s="5">
        <v>50</v>
      </c>
      <c r="L346" s="6" t="s">
        <v>1482</v>
      </c>
    </row>
    <row r="347" spans="1:12">
      <c r="A347" t="s">
        <v>26</v>
      </c>
      <c r="G347">
        <v>100</v>
      </c>
      <c r="H347" t="s">
        <v>1482</v>
      </c>
      <c r="K347" s="5">
        <v>100</v>
      </c>
      <c r="L347" s="6" t="s">
        <v>1482</v>
      </c>
    </row>
    <row r="348" spans="1:12">
      <c r="A348" t="s">
        <v>150</v>
      </c>
      <c r="B348" t="s">
        <v>1483</v>
      </c>
      <c r="C348" t="s">
        <v>1486</v>
      </c>
      <c r="G348">
        <v>50</v>
      </c>
      <c r="H348" t="s">
        <v>1482</v>
      </c>
      <c r="K348" s="5">
        <v>50</v>
      </c>
      <c r="L348" s="6" t="s">
        <v>1482</v>
      </c>
    </row>
    <row r="349" spans="1:12">
      <c r="A349" t="s">
        <v>150</v>
      </c>
      <c r="G349">
        <v>150</v>
      </c>
      <c r="H349" t="s">
        <v>1482</v>
      </c>
      <c r="K349" s="5">
        <v>150</v>
      </c>
      <c r="L349" s="6" t="s">
        <v>1482</v>
      </c>
    </row>
    <row r="350" spans="1:12">
      <c r="A350" t="s">
        <v>150</v>
      </c>
      <c r="G350">
        <v>150</v>
      </c>
      <c r="H350" t="s">
        <v>1482</v>
      </c>
      <c r="K350" s="5">
        <v>150</v>
      </c>
      <c r="L350" s="6" t="s">
        <v>1482</v>
      </c>
    </row>
    <row r="351" spans="1:12">
      <c r="A351" t="s">
        <v>150</v>
      </c>
      <c r="G351">
        <v>200</v>
      </c>
      <c r="H351" t="s">
        <v>1482</v>
      </c>
      <c r="K351" s="5">
        <v>200</v>
      </c>
      <c r="L351" s="6" t="s">
        <v>1482</v>
      </c>
    </row>
    <row r="352" spans="1:12">
      <c r="A352" t="s">
        <v>27</v>
      </c>
      <c r="B352" t="s">
        <v>1481</v>
      </c>
      <c r="G352">
        <v>150</v>
      </c>
      <c r="H352" t="s">
        <v>1482</v>
      </c>
      <c r="K352" s="5">
        <v>150</v>
      </c>
      <c r="L352" s="6" t="s">
        <v>1482</v>
      </c>
    </row>
    <row r="353" spans="1:12">
      <c r="A353" t="s">
        <v>26</v>
      </c>
      <c r="B353" t="s">
        <v>1486</v>
      </c>
      <c r="G353">
        <v>200</v>
      </c>
      <c r="H353" t="s">
        <v>1482</v>
      </c>
      <c r="K353" s="5">
        <v>200</v>
      </c>
      <c r="L353" s="6" t="s">
        <v>1482</v>
      </c>
    </row>
    <row r="354" spans="1:12">
      <c r="A354" t="s">
        <v>27</v>
      </c>
      <c r="B354" t="s">
        <v>1483</v>
      </c>
      <c r="C354" t="s">
        <v>1484</v>
      </c>
      <c r="G354">
        <v>150</v>
      </c>
      <c r="H354" t="s">
        <v>1482</v>
      </c>
      <c r="K354" s="5">
        <v>150</v>
      </c>
      <c r="L354" s="6" t="s">
        <v>1482</v>
      </c>
    </row>
    <row r="355" spans="1:12">
      <c r="A355" t="s">
        <v>28</v>
      </c>
      <c r="B355" t="s">
        <v>1486</v>
      </c>
      <c r="G355">
        <v>200</v>
      </c>
      <c r="H355" t="s">
        <v>1482</v>
      </c>
      <c r="K355" s="5">
        <v>200</v>
      </c>
      <c r="L355" s="6" t="s">
        <v>1482</v>
      </c>
    </row>
    <row r="356" spans="1:12">
      <c r="A356" t="s">
        <v>26</v>
      </c>
      <c r="B356" t="s">
        <v>1481</v>
      </c>
      <c r="C356" t="s">
        <v>1486</v>
      </c>
      <c r="G356">
        <v>150</v>
      </c>
      <c r="H356" t="s">
        <v>1482</v>
      </c>
      <c r="K356" s="5">
        <v>150</v>
      </c>
      <c r="L356" s="6" t="s">
        <v>1482</v>
      </c>
    </row>
    <row r="357" spans="1:12">
      <c r="A357" t="s">
        <v>25</v>
      </c>
      <c r="G357">
        <v>100</v>
      </c>
      <c r="H357" t="s">
        <v>1482</v>
      </c>
      <c r="K357" s="5">
        <v>100</v>
      </c>
      <c r="L357" s="6" t="s">
        <v>1482</v>
      </c>
    </row>
    <row r="358" spans="1:12">
      <c r="A358" t="s">
        <v>28</v>
      </c>
      <c r="B358" t="s">
        <v>1483</v>
      </c>
      <c r="G358">
        <v>100</v>
      </c>
      <c r="H358" t="s">
        <v>1482</v>
      </c>
      <c r="K358" s="5">
        <v>100</v>
      </c>
      <c r="L358" s="6" t="s">
        <v>1482</v>
      </c>
    </row>
    <row r="359" spans="1:12">
      <c r="A359" t="s">
        <v>26</v>
      </c>
      <c r="B359" t="s">
        <v>1486</v>
      </c>
      <c r="G359">
        <v>100</v>
      </c>
      <c r="H359" t="s">
        <v>1482</v>
      </c>
      <c r="K359" s="5">
        <v>100</v>
      </c>
      <c r="L359" s="6" t="s">
        <v>1482</v>
      </c>
    </row>
    <row r="360" spans="1:12">
      <c r="A360" t="s">
        <v>26</v>
      </c>
      <c r="B360" t="s">
        <v>1481</v>
      </c>
      <c r="C360" t="s">
        <v>1484</v>
      </c>
      <c r="G360">
        <v>100</v>
      </c>
      <c r="H360" t="s">
        <v>1482</v>
      </c>
      <c r="K360" s="5">
        <v>100</v>
      </c>
      <c r="L360" s="6" t="s">
        <v>1482</v>
      </c>
    </row>
    <row r="361" spans="1:12">
      <c r="A361" t="s">
        <v>150</v>
      </c>
      <c r="G361">
        <v>200</v>
      </c>
      <c r="H361" t="s">
        <v>1482</v>
      </c>
      <c r="K361" s="5">
        <v>200</v>
      </c>
      <c r="L361" s="6" t="s">
        <v>1482</v>
      </c>
    </row>
    <row r="362" spans="1:12">
      <c r="A362" t="s">
        <v>25</v>
      </c>
      <c r="G362">
        <v>200</v>
      </c>
      <c r="H362" t="s">
        <v>1482</v>
      </c>
      <c r="K362" s="5">
        <v>200</v>
      </c>
      <c r="L362" s="6" t="s">
        <v>1482</v>
      </c>
    </row>
    <row r="363" spans="1:12">
      <c r="A363" t="s">
        <v>26</v>
      </c>
      <c r="B363" t="s">
        <v>1484</v>
      </c>
      <c r="C363" t="s">
        <v>1481</v>
      </c>
      <c r="G363">
        <v>200</v>
      </c>
      <c r="H363" t="s">
        <v>1482</v>
      </c>
      <c r="K363" s="5">
        <v>200</v>
      </c>
      <c r="L363" s="6" t="s">
        <v>1482</v>
      </c>
    </row>
    <row r="364" spans="1:12">
      <c r="A364" t="s">
        <v>27</v>
      </c>
      <c r="B364" t="s">
        <v>1483</v>
      </c>
      <c r="G364">
        <v>150</v>
      </c>
      <c r="H364" t="s">
        <v>1482</v>
      </c>
      <c r="K364" s="5">
        <v>150</v>
      </c>
      <c r="L364" s="6" t="s">
        <v>1482</v>
      </c>
    </row>
    <row r="365" spans="1:12">
      <c r="A365" t="s">
        <v>27</v>
      </c>
      <c r="G365">
        <v>200</v>
      </c>
      <c r="H365" t="s">
        <v>1482</v>
      </c>
      <c r="K365" s="5">
        <v>200</v>
      </c>
      <c r="L365" s="6" t="s">
        <v>1482</v>
      </c>
    </row>
    <row r="366" spans="1:12">
      <c r="A366" t="s">
        <v>27</v>
      </c>
      <c r="B366" t="s">
        <v>1483</v>
      </c>
      <c r="C366" t="s">
        <v>1484</v>
      </c>
      <c r="G366">
        <v>50</v>
      </c>
      <c r="H366" t="s">
        <v>1482</v>
      </c>
      <c r="K366" s="5">
        <v>50</v>
      </c>
      <c r="L366" s="6" t="s">
        <v>1482</v>
      </c>
    </row>
    <row r="367" spans="1:12">
      <c r="A367" t="s">
        <v>150</v>
      </c>
      <c r="B367" t="s">
        <v>1485</v>
      </c>
      <c r="G367">
        <v>50</v>
      </c>
      <c r="H367" t="s">
        <v>1482</v>
      </c>
      <c r="K367" s="5">
        <v>50</v>
      </c>
      <c r="L367" s="6" t="s">
        <v>1482</v>
      </c>
    </row>
    <row r="368" spans="1:12">
      <c r="A368" t="s">
        <v>150</v>
      </c>
      <c r="B368" t="s">
        <v>1481</v>
      </c>
      <c r="G368">
        <v>150</v>
      </c>
      <c r="H368" t="s">
        <v>1482</v>
      </c>
      <c r="K368" s="5">
        <v>150</v>
      </c>
      <c r="L368" s="6" t="s">
        <v>1482</v>
      </c>
    </row>
    <row r="369" spans="1:12">
      <c r="A369" t="s">
        <v>27</v>
      </c>
      <c r="G369">
        <v>150</v>
      </c>
      <c r="H369" t="s">
        <v>1482</v>
      </c>
      <c r="K369" s="5">
        <v>150</v>
      </c>
      <c r="L369" s="6" t="s">
        <v>1482</v>
      </c>
    </row>
    <row r="370" spans="1:12">
      <c r="A370" t="s">
        <v>27</v>
      </c>
      <c r="G370">
        <v>50</v>
      </c>
      <c r="H370" t="s">
        <v>1482</v>
      </c>
      <c r="K370" s="5">
        <v>50</v>
      </c>
      <c r="L370" s="6" t="s">
        <v>1482</v>
      </c>
    </row>
    <row r="371" spans="1:12">
      <c r="A371" t="s">
        <v>28</v>
      </c>
      <c r="G371">
        <v>200</v>
      </c>
      <c r="H371" t="s">
        <v>1482</v>
      </c>
      <c r="K371" s="5">
        <v>200</v>
      </c>
      <c r="L371" s="6" t="s">
        <v>1482</v>
      </c>
    </row>
    <row r="372" spans="1:12">
      <c r="A372" t="s">
        <v>25</v>
      </c>
      <c r="G372">
        <v>200</v>
      </c>
      <c r="H372" t="s">
        <v>1482</v>
      </c>
      <c r="K372" s="5">
        <v>200</v>
      </c>
      <c r="L372" s="6" t="s">
        <v>1482</v>
      </c>
    </row>
    <row r="373" spans="1:12">
      <c r="A373" t="s">
        <v>26</v>
      </c>
      <c r="G373">
        <v>100</v>
      </c>
      <c r="H373" t="s">
        <v>1482</v>
      </c>
      <c r="K373" s="5">
        <v>100</v>
      </c>
      <c r="L373" s="6" t="s">
        <v>1482</v>
      </c>
    </row>
    <row r="374" spans="1:12">
      <c r="A374" t="s">
        <v>25</v>
      </c>
      <c r="G374">
        <v>200</v>
      </c>
      <c r="H374" t="s">
        <v>1482</v>
      </c>
      <c r="K374" s="5">
        <v>200</v>
      </c>
      <c r="L374" s="6" t="s">
        <v>1482</v>
      </c>
    </row>
    <row r="375" spans="1:12">
      <c r="A375" t="s">
        <v>27</v>
      </c>
      <c r="B375" t="s">
        <v>1484</v>
      </c>
      <c r="G375">
        <v>100</v>
      </c>
      <c r="H375" t="s">
        <v>1482</v>
      </c>
      <c r="K375" s="5">
        <v>100</v>
      </c>
      <c r="L375" s="6" t="s">
        <v>1482</v>
      </c>
    </row>
    <row r="376" spans="1:12">
      <c r="A376" t="s">
        <v>150</v>
      </c>
      <c r="G376">
        <v>150</v>
      </c>
      <c r="H376" t="s">
        <v>1482</v>
      </c>
      <c r="K376" s="5">
        <v>150</v>
      </c>
      <c r="L376" s="6" t="s">
        <v>1482</v>
      </c>
    </row>
    <row r="377" spans="1:12">
      <c r="A377" t="s">
        <v>26</v>
      </c>
      <c r="B377" t="s">
        <v>1481</v>
      </c>
      <c r="C377" t="s">
        <v>1485</v>
      </c>
      <c r="G377">
        <v>100</v>
      </c>
      <c r="H377" t="s">
        <v>1482</v>
      </c>
      <c r="K377" s="5">
        <v>100</v>
      </c>
      <c r="L377" s="6" t="s">
        <v>1482</v>
      </c>
    </row>
    <row r="378" spans="1:12">
      <c r="A378" t="s">
        <v>25</v>
      </c>
      <c r="G378">
        <v>150</v>
      </c>
      <c r="H378" t="s">
        <v>1482</v>
      </c>
      <c r="K378" s="5">
        <v>150</v>
      </c>
      <c r="L378" s="6" t="s">
        <v>1482</v>
      </c>
    </row>
    <row r="379" spans="1:12">
      <c r="A379" t="s">
        <v>28</v>
      </c>
      <c r="B379" t="s">
        <v>1485</v>
      </c>
      <c r="C379" t="s">
        <v>1484</v>
      </c>
      <c r="G379">
        <v>100</v>
      </c>
      <c r="H379" t="s">
        <v>1482</v>
      </c>
      <c r="K379" s="5">
        <v>100</v>
      </c>
      <c r="L379" s="6" t="s">
        <v>1482</v>
      </c>
    </row>
    <row r="380" spans="1:12">
      <c r="A380" t="s">
        <v>28</v>
      </c>
      <c r="B380" t="s">
        <v>1483</v>
      </c>
      <c r="G380">
        <v>100</v>
      </c>
      <c r="H380" t="s">
        <v>1482</v>
      </c>
      <c r="K380" s="5">
        <v>100</v>
      </c>
      <c r="L380" s="6" t="s">
        <v>1482</v>
      </c>
    </row>
    <row r="381" spans="1:12">
      <c r="A381" t="s">
        <v>150</v>
      </c>
      <c r="G381">
        <v>150</v>
      </c>
      <c r="H381" t="s">
        <v>1482</v>
      </c>
      <c r="K381" s="5">
        <v>150</v>
      </c>
      <c r="L381" s="6" t="s">
        <v>1482</v>
      </c>
    </row>
    <row r="382" spans="1:12">
      <c r="A382" t="s">
        <v>27</v>
      </c>
      <c r="G382">
        <v>200</v>
      </c>
      <c r="H382" t="s">
        <v>1482</v>
      </c>
      <c r="K382" s="5">
        <v>200</v>
      </c>
      <c r="L382" s="6" t="s">
        <v>1482</v>
      </c>
    </row>
    <row r="383" spans="1:12">
      <c r="A383" t="s">
        <v>25</v>
      </c>
      <c r="B383" t="s">
        <v>1483</v>
      </c>
      <c r="G383">
        <v>100</v>
      </c>
      <c r="H383" t="s">
        <v>1482</v>
      </c>
      <c r="K383" s="5">
        <v>100</v>
      </c>
      <c r="L383" s="6" t="s">
        <v>1482</v>
      </c>
    </row>
    <row r="384" spans="1:12">
      <c r="A384" t="s">
        <v>26</v>
      </c>
      <c r="G384">
        <v>50</v>
      </c>
      <c r="H384" t="s">
        <v>1482</v>
      </c>
      <c r="K384" s="5">
        <v>50</v>
      </c>
      <c r="L384" s="6" t="s">
        <v>1482</v>
      </c>
    </row>
    <row r="385" spans="1:12">
      <c r="A385" t="s">
        <v>27</v>
      </c>
      <c r="B385" t="s">
        <v>1483</v>
      </c>
      <c r="G385">
        <v>150</v>
      </c>
      <c r="H385" t="s">
        <v>1482</v>
      </c>
      <c r="K385" s="5">
        <v>150</v>
      </c>
      <c r="L385" s="6" t="s">
        <v>1482</v>
      </c>
    </row>
    <row r="386" spans="1:12">
      <c r="A386" t="s">
        <v>150</v>
      </c>
      <c r="G386">
        <v>200</v>
      </c>
      <c r="H386" t="s">
        <v>1482</v>
      </c>
      <c r="K386" s="5">
        <v>200</v>
      </c>
      <c r="L386" s="6" t="s">
        <v>1482</v>
      </c>
    </row>
    <row r="387" spans="1:12">
      <c r="A387" t="s">
        <v>25</v>
      </c>
      <c r="G387">
        <v>50</v>
      </c>
      <c r="H387" t="s">
        <v>1482</v>
      </c>
      <c r="K387" s="5">
        <v>50</v>
      </c>
      <c r="L387" s="6" t="s">
        <v>1482</v>
      </c>
    </row>
    <row r="388" spans="1:12">
      <c r="A388" t="s">
        <v>26</v>
      </c>
      <c r="G388">
        <v>50</v>
      </c>
      <c r="H388" t="s">
        <v>1482</v>
      </c>
      <c r="K388" s="5">
        <v>50</v>
      </c>
      <c r="L388" s="6" t="s">
        <v>1482</v>
      </c>
    </row>
    <row r="389" spans="1:12">
      <c r="A389" t="s">
        <v>150</v>
      </c>
      <c r="B389" t="s">
        <v>1485</v>
      </c>
      <c r="G389">
        <v>200</v>
      </c>
      <c r="H389" t="s">
        <v>1482</v>
      </c>
      <c r="K389" s="5">
        <v>200</v>
      </c>
      <c r="L389" s="6" t="s">
        <v>1482</v>
      </c>
    </row>
    <row r="390" spans="1:12">
      <c r="A390" t="s">
        <v>28</v>
      </c>
      <c r="B390" t="s">
        <v>1483</v>
      </c>
      <c r="C390" t="s">
        <v>1485</v>
      </c>
      <c r="G390">
        <v>100</v>
      </c>
      <c r="H390" t="s">
        <v>1482</v>
      </c>
      <c r="K390" s="5">
        <v>100</v>
      </c>
      <c r="L390" s="6" t="s">
        <v>1482</v>
      </c>
    </row>
    <row r="391" spans="1:12">
      <c r="A391" t="s">
        <v>26</v>
      </c>
      <c r="G391">
        <v>100</v>
      </c>
      <c r="H391" t="s">
        <v>1482</v>
      </c>
      <c r="K391" s="5">
        <v>100</v>
      </c>
      <c r="L391" s="6" t="s">
        <v>1482</v>
      </c>
    </row>
    <row r="392" spans="1:12">
      <c r="A392" t="s">
        <v>25</v>
      </c>
      <c r="G392">
        <v>50</v>
      </c>
      <c r="H392" t="s">
        <v>1482</v>
      </c>
      <c r="K392" s="5">
        <v>50</v>
      </c>
      <c r="L392" s="6" t="s">
        <v>1482</v>
      </c>
    </row>
    <row r="393" spans="1:12">
      <c r="A393" t="s">
        <v>26</v>
      </c>
      <c r="B393" t="s">
        <v>1481</v>
      </c>
      <c r="C393" t="s">
        <v>1486</v>
      </c>
      <c r="G393">
        <v>100</v>
      </c>
      <c r="H393" t="s">
        <v>1482</v>
      </c>
      <c r="K393" s="5">
        <v>100</v>
      </c>
      <c r="L393" s="6" t="s">
        <v>1482</v>
      </c>
    </row>
    <row r="394" spans="1:12">
      <c r="A394" t="s">
        <v>26</v>
      </c>
      <c r="B394" t="s">
        <v>1481</v>
      </c>
      <c r="G394">
        <v>100</v>
      </c>
      <c r="H394" t="s">
        <v>1482</v>
      </c>
      <c r="K394" s="5">
        <v>100</v>
      </c>
      <c r="L394" s="6" t="s">
        <v>1482</v>
      </c>
    </row>
    <row r="395" spans="1:12">
      <c r="A395" t="s">
        <v>25</v>
      </c>
      <c r="G395">
        <v>150</v>
      </c>
      <c r="H395" t="s">
        <v>1482</v>
      </c>
      <c r="K395" s="5">
        <v>150</v>
      </c>
      <c r="L395" s="6" t="s">
        <v>1482</v>
      </c>
    </row>
    <row r="396" spans="1:12">
      <c r="A396" t="s">
        <v>150</v>
      </c>
      <c r="G396">
        <v>150</v>
      </c>
      <c r="H396" t="s">
        <v>1482</v>
      </c>
      <c r="K396" s="5">
        <v>150</v>
      </c>
      <c r="L396" s="6" t="s">
        <v>1482</v>
      </c>
    </row>
    <row r="397" spans="1:12">
      <c r="A397" t="s">
        <v>25</v>
      </c>
      <c r="G397">
        <v>100</v>
      </c>
      <c r="H397" t="s">
        <v>1482</v>
      </c>
      <c r="K397" s="5">
        <v>100</v>
      </c>
      <c r="L397" s="6" t="s">
        <v>1482</v>
      </c>
    </row>
    <row r="398" spans="1:12">
      <c r="A398" t="s">
        <v>26</v>
      </c>
      <c r="B398" t="s">
        <v>1484</v>
      </c>
      <c r="G398">
        <v>150</v>
      </c>
      <c r="H398" t="s">
        <v>1482</v>
      </c>
      <c r="K398" s="5">
        <v>150</v>
      </c>
      <c r="L398" s="6" t="s">
        <v>1482</v>
      </c>
    </row>
    <row r="399" spans="1:12">
      <c r="A399" t="s">
        <v>28</v>
      </c>
      <c r="B399" t="s">
        <v>1485</v>
      </c>
      <c r="G399">
        <v>50</v>
      </c>
      <c r="H399" t="s">
        <v>1482</v>
      </c>
      <c r="K399" s="5">
        <v>50</v>
      </c>
      <c r="L399" s="6" t="s">
        <v>1482</v>
      </c>
    </row>
    <row r="400" spans="1:12">
      <c r="A400" t="s">
        <v>150</v>
      </c>
      <c r="G400">
        <v>200</v>
      </c>
      <c r="H400" t="s">
        <v>1482</v>
      </c>
      <c r="K400" s="5">
        <v>200</v>
      </c>
      <c r="L400" s="6" t="s">
        <v>1482</v>
      </c>
    </row>
    <row r="401" spans="1:12">
      <c r="A401" t="s">
        <v>25</v>
      </c>
      <c r="B401" t="s">
        <v>1481</v>
      </c>
      <c r="C401" t="s">
        <v>1485</v>
      </c>
      <c r="G401">
        <v>100</v>
      </c>
      <c r="H401" t="s">
        <v>1482</v>
      </c>
      <c r="K401" s="5">
        <v>100</v>
      </c>
      <c r="L401" s="6" t="s">
        <v>1482</v>
      </c>
    </row>
    <row r="402" spans="1:12">
      <c r="A402" t="s">
        <v>28</v>
      </c>
      <c r="B402" t="s">
        <v>1485</v>
      </c>
      <c r="C402" t="s">
        <v>1483</v>
      </c>
      <c r="G402">
        <v>100</v>
      </c>
      <c r="H402" t="s">
        <v>1482</v>
      </c>
      <c r="K402" s="5">
        <v>100</v>
      </c>
      <c r="L402" s="6" t="s">
        <v>1482</v>
      </c>
    </row>
    <row r="403" spans="1:12">
      <c r="A403" t="s">
        <v>27</v>
      </c>
      <c r="B403" t="s">
        <v>1481</v>
      </c>
      <c r="C403" t="s">
        <v>1483</v>
      </c>
      <c r="G403">
        <v>50</v>
      </c>
      <c r="H403" t="s">
        <v>1482</v>
      </c>
      <c r="K403" s="5">
        <v>50</v>
      </c>
      <c r="L403" s="6" t="s">
        <v>1482</v>
      </c>
    </row>
    <row r="404" spans="1:12">
      <c r="A404" t="s">
        <v>150</v>
      </c>
      <c r="B404" t="s">
        <v>1483</v>
      </c>
      <c r="C404" t="s">
        <v>1481</v>
      </c>
      <c r="G404">
        <v>100</v>
      </c>
      <c r="H404" t="s">
        <v>1482</v>
      </c>
      <c r="K404" s="5">
        <v>100</v>
      </c>
      <c r="L404" s="6" t="s">
        <v>1482</v>
      </c>
    </row>
    <row r="405" spans="1:12">
      <c r="A405" t="s">
        <v>25</v>
      </c>
      <c r="G405">
        <v>100</v>
      </c>
      <c r="H405" t="s">
        <v>1482</v>
      </c>
      <c r="K405" s="5">
        <v>100</v>
      </c>
      <c r="L405" s="6" t="s">
        <v>1482</v>
      </c>
    </row>
    <row r="406" spans="1:12">
      <c r="A406" t="s">
        <v>26</v>
      </c>
      <c r="G406">
        <v>50</v>
      </c>
      <c r="H406" t="s">
        <v>1482</v>
      </c>
      <c r="K406" s="5">
        <v>50</v>
      </c>
      <c r="L406" s="6" t="s">
        <v>1482</v>
      </c>
    </row>
    <row r="407" spans="1:12">
      <c r="A407" t="s">
        <v>27</v>
      </c>
      <c r="B407" t="s">
        <v>1486</v>
      </c>
      <c r="C407" t="s">
        <v>1483</v>
      </c>
      <c r="G407">
        <v>50</v>
      </c>
      <c r="H407" t="s">
        <v>1482</v>
      </c>
      <c r="K407" s="5">
        <v>50</v>
      </c>
      <c r="L407" s="6" t="s">
        <v>1482</v>
      </c>
    </row>
    <row r="408" spans="1:12">
      <c r="A408" t="s">
        <v>150</v>
      </c>
      <c r="B408" t="s">
        <v>1481</v>
      </c>
      <c r="C408" t="s">
        <v>1485</v>
      </c>
      <c r="G408">
        <v>200</v>
      </c>
      <c r="H408" t="s">
        <v>1482</v>
      </c>
      <c r="K408" s="5">
        <v>200</v>
      </c>
      <c r="L408" s="6" t="s">
        <v>1482</v>
      </c>
    </row>
    <row r="409" spans="1:12">
      <c r="A409" t="s">
        <v>26</v>
      </c>
      <c r="G409">
        <v>200</v>
      </c>
      <c r="H409" t="s">
        <v>1482</v>
      </c>
      <c r="K409" s="5">
        <v>200</v>
      </c>
      <c r="L409" s="6" t="s">
        <v>1482</v>
      </c>
    </row>
    <row r="410" spans="1:12">
      <c r="A410" t="s">
        <v>150</v>
      </c>
      <c r="G410">
        <v>50</v>
      </c>
      <c r="H410" t="s">
        <v>1482</v>
      </c>
      <c r="K410" s="5">
        <v>50</v>
      </c>
      <c r="L410" s="6" t="s">
        <v>1482</v>
      </c>
    </row>
    <row r="411" spans="1:12">
      <c r="A411" t="s">
        <v>26</v>
      </c>
      <c r="B411" t="s">
        <v>1485</v>
      </c>
      <c r="C411" t="s">
        <v>1481</v>
      </c>
      <c r="G411">
        <v>150</v>
      </c>
      <c r="H411" t="s">
        <v>1482</v>
      </c>
      <c r="K411" s="5">
        <v>150</v>
      </c>
      <c r="L411" s="6" t="s">
        <v>1482</v>
      </c>
    </row>
    <row r="412" spans="1:12">
      <c r="A412" t="s">
        <v>27</v>
      </c>
      <c r="B412" t="s">
        <v>1481</v>
      </c>
      <c r="C412" t="s">
        <v>1484</v>
      </c>
      <c r="G412">
        <v>50</v>
      </c>
      <c r="H412" t="s">
        <v>1482</v>
      </c>
      <c r="K412" s="5">
        <v>50</v>
      </c>
      <c r="L412" s="6" t="s">
        <v>1482</v>
      </c>
    </row>
    <row r="413" spans="1:12">
      <c r="A413" t="s">
        <v>25</v>
      </c>
      <c r="B413" t="s">
        <v>1481</v>
      </c>
      <c r="C413" t="s">
        <v>1485</v>
      </c>
      <c r="G413">
        <v>50</v>
      </c>
      <c r="H413" t="s">
        <v>1482</v>
      </c>
      <c r="K413" s="5">
        <v>50</v>
      </c>
      <c r="L413" s="6" t="s">
        <v>1482</v>
      </c>
    </row>
    <row r="414" spans="1:12">
      <c r="A414" t="s">
        <v>28</v>
      </c>
      <c r="B414" t="s">
        <v>1483</v>
      </c>
      <c r="C414" t="s">
        <v>1484</v>
      </c>
      <c r="G414">
        <v>200</v>
      </c>
      <c r="H414" t="s">
        <v>1482</v>
      </c>
      <c r="K414" s="5">
        <v>200</v>
      </c>
      <c r="L414" s="6" t="s">
        <v>1482</v>
      </c>
    </row>
    <row r="415" spans="1:12">
      <c r="A415" t="s">
        <v>25</v>
      </c>
      <c r="G415">
        <v>50</v>
      </c>
      <c r="H415" t="s">
        <v>1482</v>
      </c>
      <c r="K415" s="5">
        <v>50</v>
      </c>
      <c r="L415" s="6" t="s">
        <v>1482</v>
      </c>
    </row>
    <row r="416" spans="1:12">
      <c r="A416" t="s">
        <v>150</v>
      </c>
      <c r="B416" t="s">
        <v>1485</v>
      </c>
      <c r="G416">
        <v>100</v>
      </c>
      <c r="H416" t="s">
        <v>1482</v>
      </c>
      <c r="K416" s="5">
        <v>100</v>
      </c>
      <c r="L416" s="6" t="s">
        <v>1482</v>
      </c>
    </row>
    <row r="417" spans="1:12">
      <c r="A417" t="s">
        <v>26</v>
      </c>
      <c r="G417">
        <v>150</v>
      </c>
      <c r="H417" t="s">
        <v>1482</v>
      </c>
      <c r="K417" s="5">
        <v>150</v>
      </c>
      <c r="L417" s="6" t="s">
        <v>1482</v>
      </c>
    </row>
    <row r="418" spans="1:12">
      <c r="A418" t="s">
        <v>27</v>
      </c>
      <c r="B418" t="s">
        <v>1484</v>
      </c>
      <c r="C418" t="s">
        <v>1486</v>
      </c>
      <c r="G418">
        <v>150</v>
      </c>
      <c r="H418" t="s">
        <v>1482</v>
      </c>
      <c r="K418" s="5">
        <v>150</v>
      </c>
      <c r="L418" s="6" t="s">
        <v>1482</v>
      </c>
    </row>
    <row r="419" spans="1:12">
      <c r="A419" t="s">
        <v>28</v>
      </c>
      <c r="B419" t="s">
        <v>1484</v>
      </c>
      <c r="C419" t="s">
        <v>1486</v>
      </c>
      <c r="G419">
        <v>150</v>
      </c>
      <c r="H419" t="s">
        <v>1482</v>
      </c>
      <c r="K419" s="5">
        <v>150</v>
      </c>
      <c r="L419" s="6" t="s">
        <v>1482</v>
      </c>
    </row>
    <row r="420" spans="1:12">
      <c r="A420" t="s">
        <v>150</v>
      </c>
      <c r="B420" t="s">
        <v>1483</v>
      </c>
      <c r="G420">
        <v>200</v>
      </c>
      <c r="H420" t="s">
        <v>1482</v>
      </c>
      <c r="K420" s="5">
        <v>200</v>
      </c>
      <c r="L420" s="6" t="s">
        <v>1482</v>
      </c>
    </row>
    <row r="421" spans="1:12">
      <c r="A421" t="s">
        <v>150</v>
      </c>
      <c r="B421" t="s">
        <v>1483</v>
      </c>
      <c r="G421">
        <v>50</v>
      </c>
      <c r="H421" t="s">
        <v>1482</v>
      </c>
      <c r="K421" s="5">
        <v>50</v>
      </c>
      <c r="L421" s="6" t="s">
        <v>1482</v>
      </c>
    </row>
    <row r="422" spans="1:12">
      <c r="A422" t="s">
        <v>25</v>
      </c>
      <c r="B422" t="s">
        <v>1481</v>
      </c>
      <c r="G422">
        <v>150</v>
      </c>
      <c r="H422" t="s">
        <v>1482</v>
      </c>
      <c r="K422" s="5">
        <v>150</v>
      </c>
      <c r="L422" s="6" t="s">
        <v>1482</v>
      </c>
    </row>
    <row r="423" spans="1:12">
      <c r="A423" t="s">
        <v>150</v>
      </c>
      <c r="B423" t="s">
        <v>1481</v>
      </c>
      <c r="C423" t="s">
        <v>1486</v>
      </c>
      <c r="G423">
        <v>100</v>
      </c>
      <c r="H423" t="s">
        <v>1482</v>
      </c>
      <c r="K423" s="5">
        <v>100</v>
      </c>
      <c r="L423" s="6" t="s">
        <v>1482</v>
      </c>
    </row>
    <row r="424" spans="1:12">
      <c r="A424" t="s">
        <v>26</v>
      </c>
      <c r="B424" t="s">
        <v>1485</v>
      </c>
      <c r="G424">
        <v>100</v>
      </c>
      <c r="H424" t="s">
        <v>1482</v>
      </c>
      <c r="K424" s="5">
        <v>100</v>
      </c>
      <c r="L424" s="6" t="s">
        <v>1482</v>
      </c>
    </row>
    <row r="425" spans="1:12">
      <c r="A425" t="s">
        <v>26</v>
      </c>
      <c r="B425" t="s">
        <v>1481</v>
      </c>
      <c r="C425" t="s">
        <v>1485</v>
      </c>
      <c r="G425">
        <v>100</v>
      </c>
      <c r="H425" t="s">
        <v>1482</v>
      </c>
      <c r="K425" s="5">
        <v>100</v>
      </c>
      <c r="L425" s="6" t="s">
        <v>1482</v>
      </c>
    </row>
    <row r="426" spans="1:12">
      <c r="A426" t="s">
        <v>26</v>
      </c>
      <c r="G426">
        <v>50</v>
      </c>
      <c r="H426" t="s">
        <v>1482</v>
      </c>
      <c r="K426" s="5">
        <v>50</v>
      </c>
      <c r="L426" s="6" t="s">
        <v>1482</v>
      </c>
    </row>
    <row r="427" spans="1:12">
      <c r="A427" t="s">
        <v>27</v>
      </c>
      <c r="G427">
        <v>100</v>
      </c>
      <c r="H427" t="s">
        <v>1482</v>
      </c>
      <c r="K427" s="5">
        <v>100</v>
      </c>
      <c r="L427" s="6" t="s">
        <v>1482</v>
      </c>
    </row>
    <row r="428" spans="1:12">
      <c r="A428" t="s">
        <v>150</v>
      </c>
      <c r="B428" t="s">
        <v>1486</v>
      </c>
      <c r="G428">
        <v>50</v>
      </c>
      <c r="H428" t="s">
        <v>1482</v>
      </c>
      <c r="K428" s="5">
        <v>50</v>
      </c>
      <c r="L428" s="6" t="s">
        <v>1482</v>
      </c>
    </row>
    <row r="429" spans="1:12">
      <c r="A429" t="s">
        <v>28</v>
      </c>
      <c r="G429">
        <v>100</v>
      </c>
      <c r="H429" t="s">
        <v>1482</v>
      </c>
      <c r="K429" s="5">
        <v>100</v>
      </c>
      <c r="L429" s="6" t="s">
        <v>1482</v>
      </c>
    </row>
    <row r="430" spans="1:12">
      <c r="A430" t="s">
        <v>150</v>
      </c>
      <c r="B430" t="s">
        <v>1486</v>
      </c>
      <c r="C430" t="s">
        <v>1485</v>
      </c>
      <c r="G430">
        <v>150</v>
      </c>
      <c r="H430" t="s">
        <v>1482</v>
      </c>
      <c r="K430" s="5">
        <v>150</v>
      </c>
      <c r="L430" s="6" t="s">
        <v>1482</v>
      </c>
    </row>
    <row r="431" spans="1:12">
      <c r="A431" t="s">
        <v>150</v>
      </c>
      <c r="B431" t="s">
        <v>1481</v>
      </c>
      <c r="G431">
        <v>200</v>
      </c>
      <c r="H431" t="s">
        <v>1482</v>
      </c>
      <c r="K431" s="5">
        <v>200</v>
      </c>
      <c r="L431" s="6" t="s">
        <v>1482</v>
      </c>
    </row>
    <row r="432" spans="1:12">
      <c r="A432" t="s">
        <v>25</v>
      </c>
      <c r="B432" t="s">
        <v>1483</v>
      </c>
      <c r="C432" t="s">
        <v>1481</v>
      </c>
      <c r="G432">
        <v>100</v>
      </c>
      <c r="H432" t="s">
        <v>1482</v>
      </c>
      <c r="K432" s="5">
        <v>100</v>
      </c>
      <c r="L432" s="6" t="s">
        <v>1482</v>
      </c>
    </row>
    <row r="433" spans="1:12">
      <c r="A433" t="s">
        <v>25</v>
      </c>
      <c r="B433" t="s">
        <v>1485</v>
      </c>
      <c r="C433" t="s">
        <v>1481</v>
      </c>
      <c r="G433">
        <v>150</v>
      </c>
      <c r="H433" t="s">
        <v>1482</v>
      </c>
      <c r="K433" s="5">
        <v>150</v>
      </c>
      <c r="L433" s="6" t="s">
        <v>1482</v>
      </c>
    </row>
    <row r="434" spans="1:12">
      <c r="A434" t="s">
        <v>28</v>
      </c>
      <c r="B434" t="s">
        <v>1484</v>
      </c>
      <c r="C434" t="s">
        <v>1485</v>
      </c>
      <c r="G434">
        <v>200</v>
      </c>
      <c r="H434" t="s">
        <v>1482</v>
      </c>
      <c r="K434" s="5">
        <v>200</v>
      </c>
      <c r="L434" s="6" t="s">
        <v>1482</v>
      </c>
    </row>
    <row r="435" spans="1:12">
      <c r="A435" t="s">
        <v>27</v>
      </c>
      <c r="B435" t="s">
        <v>1484</v>
      </c>
      <c r="G435">
        <v>50</v>
      </c>
      <c r="H435" t="s">
        <v>1482</v>
      </c>
      <c r="K435" s="5">
        <v>50</v>
      </c>
      <c r="L435" s="6" t="s">
        <v>1482</v>
      </c>
    </row>
    <row r="436" spans="1:12">
      <c r="A436" t="s">
        <v>28</v>
      </c>
      <c r="B436" t="s">
        <v>1483</v>
      </c>
      <c r="G436">
        <v>50</v>
      </c>
      <c r="H436" t="s">
        <v>1482</v>
      </c>
      <c r="K436" s="5">
        <v>50</v>
      </c>
      <c r="L436" s="6" t="s">
        <v>1482</v>
      </c>
    </row>
    <row r="437" spans="1:12">
      <c r="A437" t="s">
        <v>25</v>
      </c>
      <c r="B437" t="s">
        <v>1481</v>
      </c>
      <c r="G437">
        <v>100</v>
      </c>
      <c r="H437" t="s">
        <v>1482</v>
      </c>
      <c r="K437" s="5">
        <v>100</v>
      </c>
      <c r="L437" s="6" t="s">
        <v>1482</v>
      </c>
    </row>
    <row r="438" spans="1:12">
      <c r="A438" t="s">
        <v>26</v>
      </c>
      <c r="B438" t="s">
        <v>1484</v>
      </c>
      <c r="C438" t="s">
        <v>1481</v>
      </c>
      <c r="G438">
        <v>100</v>
      </c>
      <c r="H438" t="s">
        <v>1482</v>
      </c>
      <c r="K438" s="5">
        <v>100</v>
      </c>
      <c r="L438" s="6" t="s">
        <v>1482</v>
      </c>
    </row>
    <row r="439" spans="1:12">
      <c r="A439" t="s">
        <v>150</v>
      </c>
      <c r="B439" t="s">
        <v>1485</v>
      </c>
      <c r="G439">
        <v>150</v>
      </c>
      <c r="H439" t="s">
        <v>1482</v>
      </c>
      <c r="K439" s="5">
        <v>150</v>
      </c>
      <c r="L439" s="6" t="s">
        <v>1482</v>
      </c>
    </row>
    <row r="440" spans="1:12">
      <c r="A440" t="s">
        <v>26</v>
      </c>
      <c r="B440" t="s">
        <v>1485</v>
      </c>
      <c r="G440">
        <v>50</v>
      </c>
      <c r="H440" t="s">
        <v>1482</v>
      </c>
      <c r="K440" s="5">
        <v>50</v>
      </c>
      <c r="L440" s="6" t="s">
        <v>1482</v>
      </c>
    </row>
    <row r="441" spans="1:12">
      <c r="A441" t="s">
        <v>26</v>
      </c>
      <c r="B441" t="s">
        <v>1486</v>
      </c>
      <c r="C441" t="s">
        <v>1484</v>
      </c>
      <c r="G441">
        <v>50</v>
      </c>
      <c r="H441" t="s">
        <v>1482</v>
      </c>
      <c r="K441" s="5">
        <v>50</v>
      </c>
      <c r="L441" s="6" t="s">
        <v>1482</v>
      </c>
    </row>
    <row r="442" spans="1:12">
      <c r="A442" t="s">
        <v>26</v>
      </c>
      <c r="G442">
        <v>50</v>
      </c>
      <c r="H442" t="s">
        <v>1482</v>
      </c>
      <c r="K442" s="5">
        <v>50</v>
      </c>
      <c r="L442" s="6" t="s">
        <v>1482</v>
      </c>
    </row>
    <row r="443" spans="1:12">
      <c r="A443" t="s">
        <v>26</v>
      </c>
      <c r="G443">
        <v>50</v>
      </c>
      <c r="H443" t="s">
        <v>1482</v>
      </c>
      <c r="K443" s="5">
        <v>50</v>
      </c>
      <c r="L443" s="6" t="s">
        <v>1482</v>
      </c>
    </row>
    <row r="444" spans="1:12">
      <c r="A444" t="s">
        <v>27</v>
      </c>
      <c r="B444" t="s">
        <v>1486</v>
      </c>
      <c r="G444">
        <v>50</v>
      </c>
      <c r="H444" t="s">
        <v>1482</v>
      </c>
      <c r="K444" s="5">
        <v>50</v>
      </c>
      <c r="L444" s="6" t="s">
        <v>1482</v>
      </c>
    </row>
    <row r="445" spans="1:12">
      <c r="A445" t="s">
        <v>28</v>
      </c>
      <c r="B445" t="s">
        <v>1483</v>
      </c>
      <c r="G445">
        <v>200</v>
      </c>
      <c r="H445" t="s">
        <v>1482</v>
      </c>
      <c r="K445" s="5">
        <v>200</v>
      </c>
      <c r="L445" s="6" t="s">
        <v>1482</v>
      </c>
    </row>
    <row r="446" spans="1:12">
      <c r="A446" t="s">
        <v>27</v>
      </c>
      <c r="B446" t="s">
        <v>1486</v>
      </c>
      <c r="C446" t="s">
        <v>1483</v>
      </c>
      <c r="G446">
        <v>50</v>
      </c>
      <c r="H446" t="s">
        <v>1482</v>
      </c>
      <c r="K446" s="5">
        <v>50</v>
      </c>
      <c r="L446" s="6" t="s">
        <v>1482</v>
      </c>
    </row>
    <row r="447" spans="1:12">
      <c r="A447" t="s">
        <v>28</v>
      </c>
      <c r="G447">
        <v>100</v>
      </c>
      <c r="H447" t="s">
        <v>1482</v>
      </c>
      <c r="K447" s="5">
        <v>100</v>
      </c>
      <c r="L447" s="6" t="s">
        <v>1482</v>
      </c>
    </row>
    <row r="448" spans="1:12">
      <c r="A448" t="s">
        <v>150</v>
      </c>
      <c r="B448" t="s">
        <v>1481</v>
      </c>
      <c r="G448">
        <v>50</v>
      </c>
      <c r="H448" t="s">
        <v>1482</v>
      </c>
      <c r="K448" s="5">
        <v>50</v>
      </c>
      <c r="L448" s="6" t="s">
        <v>1482</v>
      </c>
    </row>
    <row r="449" spans="1:12">
      <c r="A449" t="s">
        <v>25</v>
      </c>
      <c r="G449">
        <v>100</v>
      </c>
      <c r="H449" t="s">
        <v>1482</v>
      </c>
      <c r="K449" s="5">
        <v>100</v>
      </c>
      <c r="L449" s="6" t="s">
        <v>1482</v>
      </c>
    </row>
    <row r="450" spans="1:12">
      <c r="A450" t="s">
        <v>150</v>
      </c>
      <c r="B450" t="s">
        <v>1486</v>
      </c>
      <c r="C450" t="s">
        <v>1485</v>
      </c>
      <c r="G450">
        <v>200</v>
      </c>
      <c r="H450" t="s">
        <v>1482</v>
      </c>
      <c r="K450" s="5">
        <v>200</v>
      </c>
      <c r="L450" s="6" t="s">
        <v>1482</v>
      </c>
    </row>
    <row r="451" spans="1:12">
      <c r="A451" t="s">
        <v>26</v>
      </c>
      <c r="G451">
        <v>150</v>
      </c>
      <c r="H451" t="s">
        <v>1482</v>
      </c>
      <c r="K451" s="5">
        <v>150</v>
      </c>
      <c r="L451" s="6" t="s">
        <v>1482</v>
      </c>
    </row>
    <row r="452" spans="1:12">
      <c r="A452" t="s">
        <v>27</v>
      </c>
      <c r="B452" t="s">
        <v>1484</v>
      </c>
      <c r="C452" t="s">
        <v>1486</v>
      </c>
      <c r="G452">
        <v>50</v>
      </c>
      <c r="H452" t="s">
        <v>1482</v>
      </c>
      <c r="K452" s="5">
        <v>50</v>
      </c>
      <c r="L452" s="6" t="s">
        <v>1482</v>
      </c>
    </row>
    <row r="453" spans="1:12">
      <c r="A453" t="s">
        <v>28</v>
      </c>
      <c r="B453" t="s">
        <v>1485</v>
      </c>
      <c r="G453">
        <v>50</v>
      </c>
      <c r="H453" t="s">
        <v>1482</v>
      </c>
      <c r="K453" s="5">
        <v>50</v>
      </c>
      <c r="L453" s="6" t="s">
        <v>1482</v>
      </c>
    </row>
    <row r="454" spans="1:12">
      <c r="A454" t="s">
        <v>28</v>
      </c>
      <c r="G454">
        <v>50</v>
      </c>
      <c r="H454" t="s">
        <v>1482</v>
      </c>
      <c r="K454" s="5">
        <v>50</v>
      </c>
      <c r="L454" s="6" t="s">
        <v>1482</v>
      </c>
    </row>
    <row r="455" spans="1:12">
      <c r="A455" t="s">
        <v>150</v>
      </c>
      <c r="G455">
        <v>150</v>
      </c>
      <c r="H455" t="s">
        <v>1482</v>
      </c>
      <c r="K455" s="5">
        <v>150</v>
      </c>
      <c r="L455" s="6" t="s">
        <v>1482</v>
      </c>
    </row>
    <row r="456" spans="1:12">
      <c r="A456" t="s">
        <v>150</v>
      </c>
      <c r="G456">
        <v>150</v>
      </c>
      <c r="H456" t="s">
        <v>1482</v>
      </c>
      <c r="K456" s="5">
        <v>150</v>
      </c>
      <c r="L456" s="6" t="s">
        <v>1482</v>
      </c>
    </row>
    <row r="457" spans="1:12">
      <c r="A457" t="s">
        <v>150</v>
      </c>
      <c r="B457" t="s">
        <v>1483</v>
      </c>
      <c r="C457" t="s">
        <v>1486</v>
      </c>
      <c r="G457">
        <v>150</v>
      </c>
      <c r="H457" t="s">
        <v>1482</v>
      </c>
      <c r="K457" s="5">
        <v>150</v>
      </c>
      <c r="L457" s="6" t="s">
        <v>1482</v>
      </c>
    </row>
    <row r="458" spans="1:12">
      <c r="A458" t="s">
        <v>26</v>
      </c>
      <c r="G458">
        <v>100</v>
      </c>
      <c r="H458" t="s">
        <v>1482</v>
      </c>
      <c r="K458" s="5">
        <v>100</v>
      </c>
      <c r="L458" s="6" t="s">
        <v>1482</v>
      </c>
    </row>
    <row r="459" spans="1:12">
      <c r="A459" t="s">
        <v>28</v>
      </c>
      <c r="B459" t="s">
        <v>1483</v>
      </c>
      <c r="G459">
        <v>200</v>
      </c>
      <c r="H459" t="s">
        <v>1482</v>
      </c>
      <c r="K459" s="5">
        <v>200</v>
      </c>
      <c r="L459" s="6" t="s">
        <v>1482</v>
      </c>
    </row>
    <row r="460" spans="1:12">
      <c r="A460" t="s">
        <v>25</v>
      </c>
      <c r="B460" t="s">
        <v>1485</v>
      </c>
      <c r="C460" t="s">
        <v>1483</v>
      </c>
      <c r="G460">
        <v>150</v>
      </c>
      <c r="H460" t="s">
        <v>1482</v>
      </c>
      <c r="K460" s="5">
        <v>150</v>
      </c>
      <c r="L460" s="6" t="s">
        <v>1482</v>
      </c>
    </row>
    <row r="461" spans="1:12">
      <c r="A461" t="s">
        <v>150</v>
      </c>
      <c r="G461">
        <v>100</v>
      </c>
      <c r="H461" t="s">
        <v>1482</v>
      </c>
      <c r="K461" s="5">
        <v>100</v>
      </c>
      <c r="L461" s="6" t="s">
        <v>1482</v>
      </c>
    </row>
    <row r="462" spans="1:12">
      <c r="A462" t="s">
        <v>26</v>
      </c>
      <c r="B462" t="s">
        <v>1485</v>
      </c>
      <c r="G462">
        <v>150</v>
      </c>
      <c r="H462" t="s">
        <v>1482</v>
      </c>
      <c r="K462" s="5">
        <v>150</v>
      </c>
      <c r="L462" s="6" t="s">
        <v>1482</v>
      </c>
    </row>
    <row r="463" spans="1:12">
      <c r="A463" t="s">
        <v>27</v>
      </c>
      <c r="B463" t="s">
        <v>1483</v>
      </c>
      <c r="G463">
        <v>150</v>
      </c>
      <c r="H463" t="s">
        <v>1482</v>
      </c>
      <c r="K463" s="5">
        <v>150</v>
      </c>
      <c r="L463" s="6" t="s">
        <v>1482</v>
      </c>
    </row>
    <row r="464" spans="1:12">
      <c r="A464" t="s">
        <v>28</v>
      </c>
      <c r="B464" t="s">
        <v>1484</v>
      </c>
      <c r="G464">
        <v>150</v>
      </c>
      <c r="H464" t="s">
        <v>1482</v>
      </c>
      <c r="K464" s="5">
        <v>150</v>
      </c>
      <c r="L464" s="6" t="s">
        <v>1482</v>
      </c>
    </row>
    <row r="465" spans="1:12">
      <c r="A465" t="s">
        <v>27</v>
      </c>
      <c r="G465">
        <v>200</v>
      </c>
      <c r="H465" t="s">
        <v>1482</v>
      </c>
      <c r="K465" s="5">
        <v>200</v>
      </c>
      <c r="L465" s="6" t="s">
        <v>1482</v>
      </c>
    </row>
    <row r="466" spans="1:12">
      <c r="A466" t="s">
        <v>25</v>
      </c>
      <c r="G466">
        <v>50</v>
      </c>
      <c r="H466" t="s">
        <v>1482</v>
      </c>
      <c r="K466" s="5">
        <v>50</v>
      </c>
      <c r="L466" s="6" t="s">
        <v>1482</v>
      </c>
    </row>
    <row r="467" spans="1:12">
      <c r="A467" t="s">
        <v>28</v>
      </c>
      <c r="B467" t="s">
        <v>1486</v>
      </c>
      <c r="C467" t="s">
        <v>1484</v>
      </c>
      <c r="G467">
        <v>200</v>
      </c>
      <c r="H467" t="s">
        <v>1482</v>
      </c>
      <c r="K467" s="5">
        <v>200</v>
      </c>
      <c r="L467" s="6" t="s">
        <v>1482</v>
      </c>
    </row>
    <row r="468" spans="1:12">
      <c r="A468" t="s">
        <v>26</v>
      </c>
      <c r="B468" t="s">
        <v>1485</v>
      </c>
      <c r="C468" t="s">
        <v>1484</v>
      </c>
      <c r="G468">
        <v>50</v>
      </c>
      <c r="H468" t="s">
        <v>1482</v>
      </c>
      <c r="K468" s="5">
        <v>50</v>
      </c>
      <c r="L468" s="6" t="s">
        <v>1482</v>
      </c>
    </row>
    <row r="469" spans="1:12">
      <c r="A469" t="s">
        <v>150</v>
      </c>
      <c r="B469" t="s">
        <v>1486</v>
      </c>
      <c r="C469" t="s">
        <v>1483</v>
      </c>
      <c r="G469">
        <v>100</v>
      </c>
      <c r="H469" t="s">
        <v>1482</v>
      </c>
      <c r="K469" s="5">
        <v>100</v>
      </c>
      <c r="L469" s="6" t="s">
        <v>1482</v>
      </c>
    </row>
    <row r="470" spans="1:12">
      <c r="A470" t="s">
        <v>28</v>
      </c>
      <c r="B470" t="s">
        <v>1483</v>
      </c>
      <c r="C470" t="s">
        <v>1486</v>
      </c>
      <c r="G470">
        <v>200</v>
      </c>
      <c r="H470" t="s">
        <v>1482</v>
      </c>
      <c r="K470" s="5">
        <v>200</v>
      </c>
      <c r="L470" s="6" t="s">
        <v>1482</v>
      </c>
    </row>
    <row r="471" spans="1:12">
      <c r="A471" t="s">
        <v>28</v>
      </c>
      <c r="B471" t="s">
        <v>1486</v>
      </c>
      <c r="C471" t="s">
        <v>1484</v>
      </c>
      <c r="G471">
        <v>50</v>
      </c>
      <c r="H471" t="s">
        <v>1482</v>
      </c>
      <c r="K471" s="5">
        <v>50</v>
      </c>
      <c r="L471" s="6" t="s">
        <v>1482</v>
      </c>
    </row>
    <row r="472" spans="1:12">
      <c r="A472" t="s">
        <v>150</v>
      </c>
      <c r="B472" t="s">
        <v>1485</v>
      </c>
      <c r="G472">
        <v>200</v>
      </c>
      <c r="H472" t="s">
        <v>1482</v>
      </c>
      <c r="K472" s="5">
        <v>200</v>
      </c>
      <c r="L472" s="6" t="s">
        <v>1482</v>
      </c>
    </row>
    <row r="473" spans="1:12">
      <c r="A473" t="s">
        <v>28</v>
      </c>
      <c r="G473">
        <v>100</v>
      </c>
      <c r="H473" t="s">
        <v>1482</v>
      </c>
      <c r="K473" s="5">
        <v>100</v>
      </c>
      <c r="L473" s="6" t="s">
        <v>1482</v>
      </c>
    </row>
    <row r="474" spans="1:12">
      <c r="A474" t="s">
        <v>150</v>
      </c>
      <c r="G474">
        <v>50</v>
      </c>
      <c r="H474" t="s">
        <v>1482</v>
      </c>
      <c r="K474" s="5">
        <v>50</v>
      </c>
      <c r="L474" s="6" t="s">
        <v>1482</v>
      </c>
    </row>
    <row r="475" spans="1:12">
      <c r="A475" t="s">
        <v>27</v>
      </c>
      <c r="B475" t="s">
        <v>1483</v>
      </c>
      <c r="C475" t="s">
        <v>1486</v>
      </c>
      <c r="G475">
        <v>200</v>
      </c>
      <c r="H475" t="s">
        <v>1482</v>
      </c>
      <c r="K475" s="5">
        <v>200</v>
      </c>
      <c r="L475" s="6" t="s">
        <v>1482</v>
      </c>
    </row>
    <row r="476" spans="1:12">
      <c r="A476" t="s">
        <v>150</v>
      </c>
      <c r="B476" t="s">
        <v>1486</v>
      </c>
      <c r="C476" t="s">
        <v>1483</v>
      </c>
      <c r="G476">
        <v>100</v>
      </c>
      <c r="H476" t="s">
        <v>1482</v>
      </c>
      <c r="K476" s="5">
        <v>100</v>
      </c>
      <c r="L476" s="6" t="s">
        <v>1482</v>
      </c>
    </row>
    <row r="477" spans="1:12">
      <c r="A477" t="s">
        <v>27</v>
      </c>
      <c r="B477" t="s">
        <v>1483</v>
      </c>
      <c r="G477">
        <v>100</v>
      </c>
      <c r="H477" t="s">
        <v>1482</v>
      </c>
      <c r="K477" s="5">
        <v>100</v>
      </c>
      <c r="L477" s="6" t="s">
        <v>1482</v>
      </c>
    </row>
    <row r="478" spans="1:12">
      <c r="A478" t="s">
        <v>25</v>
      </c>
      <c r="B478" t="s">
        <v>1483</v>
      </c>
      <c r="C478" t="s">
        <v>1484</v>
      </c>
      <c r="G478">
        <v>200</v>
      </c>
      <c r="H478" t="s">
        <v>1482</v>
      </c>
      <c r="K478" s="5">
        <v>200</v>
      </c>
      <c r="L478" s="6" t="s">
        <v>1482</v>
      </c>
    </row>
    <row r="479" spans="1:12">
      <c r="A479" t="s">
        <v>27</v>
      </c>
      <c r="B479" t="s">
        <v>1484</v>
      </c>
      <c r="G479">
        <v>150</v>
      </c>
      <c r="H479" t="s">
        <v>1482</v>
      </c>
      <c r="K479" s="5">
        <v>150</v>
      </c>
      <c r="L479" s="6" t="s">
        <v>1482</v>
      </c>
    </row>
    <row r="480" spans="1:12">
      <c r="A480" t="s">
        <v>150</v>
      </c>
      <c r="B480" t="s">
        <v>1483</v>
      </c>
      <c r="G480">
        <v>50</v>
      </c>
      <c r="H480" t="s">
        <v>1482</v>
      </c>
      <c r="K480" s="5">
        <v>50</v>
      </c>
      <c r="L480" s="6" t="s">
        <v>1482</v>
      </c>
    </row>
    <row r="481" spans="1:12">
      <c r="A481" t="s">
        <v>27</v>
      </c>
      <c r="B481" t="s">
        <v>1483</v>
      </c>
      <c r="G481">
        <v>150</v>
      </c>
      <c r="H481" t="s">
        <v>1482</v>
      </c>
      <c r="K481" s="5">
        <v>150</v>
      </c>
      <c r="L481" s="6" t="s">
        <v>1482</v>
      </c>
    </row>
    <row r="482" spans="1:12">
      <c r="A482" t="s">
        <v>28</v>
      </c>
      <c r="B482" t="s">
        <v>1483</v>
      </c>
      <c r="C482" t="s">
        <v>1485</v>
      </c>
      <c r="G482">
        <v>50</v>
      </c>
      <c r="H482" t="s">
        <v>1482</v>
      </c>
      <c r="K482" s="5">
        <v>50</v>
      </c>
      <c r="L482" s="6" t="s">
        <v>1482</v>
      </c>
    </row>
    <row r="483" spans="1:12">
      <c r="A483" t="s">
        <v>28</v>
      </c>
      <c r="B483" t="s">
        <v>1483</v>
      </c>
      <c r="G483">
        <v>200</v>
      </c>
      <c r="H483" t="s">
        <v>1482</v>
      </c>
      <c r="K483" s="5">
        <v>200</v>
      </c>
      <c r="L483" s="6" t="s">
        <v>1482</v>
      </c>
    </row>
    <row r="484" spans="1:12">
      <c r="A484" t="s">
        <v>28</v>
      </c>
      <c r="G484">
        <v>200</v>
      </c>
      <c r="H484" t="s">
        <v>1482</v>
      </c>
      <c r="K484" s="5">
        <v>200</v>
      </c>
      <c r="L484" s="6" t="s">
        <v>1482</v>
      </c>
    </row>
    <row r="485" spans="1:12">
      <c r="A485" t="s">
        <v>150</v>
      </c>
      <c r="B485" t="s">
        <v>1485</v>
      </c>
      <c r="G485">
        <v>200</v>
      </c>
      <c r="H485" t="s">
        <v>1482</v>
      </c>
      <c r="K485" s="5">
        <v>200</v>
      </c>
      <c r="L485" s="6" t="s">
        <v>1482</v>
      </c>
    </row>
    <row r="486" spans="1:12">
      <c r="A486" t="s">
        <v>28</v>
      </c>
      <c r="B486" t="s">
        <v>1485</v>
      </c>
      <c r="C486" t="s">
        <v>1486</v>
      </c>
      <c r="G486">
        <v>100</v>
      </c>
      <c r="H486" t="s">
        <v>1482</v>
      </c>
      <c r="K486" s="5">
        <v>100</v>
      </c>
      <c r="L486" s="6" t="s">
        <v>1482</v>
      </c>
    </row>
    <row r="487" spans="1:12">
      <c r="A487" t="s">
        <v>25</v>
      </c>
      <c r="B487" t="s">
        <v>1483</v>
      </c>
      <c r="C487" t="s">
        <v>1481</v>
      </c>
      <c r="G487">
        <v>200</v>
      </c>
      <c r="H487" t="s">
        <v>1482</v>
      </c>
      <c r="K487" s="5">
        <v>200</v>
      </c>
      <c r="L487" s="6" t="s">
        <v>1482</v>
      </c>
    </row>
    <row r="488" spans="1:12">
      <c r="A488" t="s">
        <v>26</v>
      </c>
      <c r="B488" t="s">
        <v>1484</v>
      </c>
      <c r="C488" t="s">
        <v>1486</v>
      </c>
      <c r="G488">
        <v>150</v>
      </c>
      <c r="H488" t="s">
        <v>1482</v>
      </c>
      <c r="K488" s="5">
        <v>150</v>
      </c>
      <c r="L488" s="6" t="s">
        <v>1482</v>
      </c>
    </row>
    <row r="489" spans="1:12">
      <c r="A489" t="s">
        <v>27</v>
      </c>
      <c r="B489" t="s">
        <v>1483</v>
      </c>
      <c r="G489">
        <v>50</v>
      </c>
      <c r="H489" t="s">
        <v>1482</v>
      </c>
      <c r="K489" s="5">
        <v>50</v>
      </c>
      <c r="L489" s="6" t="s">
        <v>1482</v>
      </c>
    </row>
    <row r="490" spans="1:12">
      <c r="A490" t="s">
        <v>26</v>
      </c>
      <c r="B490" t="s">
        <v>1484</v>
      </c>
      <c r="C490" t="s">
        <v>1485</v>
      </c>
      <c r="G490">
        <v>150</v>
      </c>
      <c r="H490" t="s">
        <v>1482</v>
      </c>
      <c r="K490" s="5">
        <v>150</v>
      </c>
      <c r="L490" s="6" t="s">
        <v>1482</v>
      </c>
    </row>
    <row r="491" spans="1:12">
      <c r="A491" t="s">
        <v>28</v>
      </c>
      <c r="G491">
        <v>100</v>
      </c>
      <c r="H491" t="s">
        <v>1482</v>
      </c>
      <c r="K491" s="5">
        <v>100</v>
      </c>
      <c r="L491" s="6" t="s">
        <v>1482</v>
      </c>
    </row>
    <row r="492" spans="1:12">
      <c r="A492" t="s">
        <v>25</v>
      </c>
      <c r="B492" t="s">
        <v>1485</v>
      </c>
      <c r="G492">
        <v>150</v>
      </c>
      <c r="H492" t="s">
        <v>1482</v>
      </c>
      <c r="K492" s="5">
        <v>150</v>
      </c>
      <c r="L492" s="6" t="s">
        <v>1482</v>
      </c>
    </row>
    <row r="493" spans="1:12">
      <c r="A493" t="s">
        <v>25</v>
      </c>
      <c r="B493" t="s">
        <v>1485</v>
      </c>
      <c r="C493" t="s">
        <v>1481</v>
      </c>
      <c r="G493">
        <v>150</v>
      </c>
      <c r="H493" t="s">
        <v>1482</v>
      </c>
      <c r="K493" s="5">
        <v>150</v>
      </c>
      <c r="L493" s="6" t="s">
        <v>1482</v>
      </c>
    </row>
    <row r="494" spans="1:12">
      <c r="A494" t="s">
        <v>25</v>
      </c>
      <c r="G494">
        <v>50</v>
      </c>
      <c r="H494" t="s">
        <v>1482</v>
      </c>
      <c r="K494" s="5">
        <v>50</v>
      </c>
      <c r="L494" s="6" t="s">
        <v>1482</v>
      </c>
    </row>
    <row r="495" spans="1:12">
      <c r="A495" t="s">
        <v>150</v>
      </c>
      <c r="B495" t="s">
        <v>1481</v>
      </c>
      <c r="C495" t="s">
        <v>1486</v>
      </c>
      <c r="G495">
        <v>200</v>
      </c>
      <c r="H495" t="s">
        <v>1482</v>
      </c>
      <c r="K495" s="5">
        <v>200</v>
      </c>
      <c r="L495" s="6" t="s">
        <v>1482</v>
      </c>
    </row>
    <row r="496" spans="1:12">
      <c r="A496" t="s">
        <v>25</v>
      </c>
      <c r="B496" t="s">
        <v>1483</v>
      </c>
      <c r="G496">
        <v>200</v>
      </c>
      <c r="H496" t="s">
        <v>1482</v>
      </c>
      <c r="K496" s="5">
        <v>200</v>
      </c>
      <c r="L496" s="6" t="s">
        <v>1482</v>
      </c>
    </row>
    <row r="497" spans="1:12">
      <c r="A497" t="s">
        <v>27</v>
      </c>
      <c r="B497" t="s">
        <v>1486</v>
      </c>
      <c r="C497" t="s">
        <v>1483</v>
      </c>
      <c r="G497">
        <v>50</v>
      </c>
      <c r="H497" t="s">
        <v>1482</v>
      </c>
      <c r="K497" s="5">
        <v>50</v>
      </c>
      <c r="L497" s="6" t="s">
        <v>1482</v>
      </c>
    </row>
    <row r="498" spans="1:12">
      <c r="A498" t="s">
        <v>28</v>
      </c>
      <c r="B498" t="s">
        <v>1484</v>
      </c>
      <c r="G498">
        <v>50</v>
      </c>
      <c r="H498" t="s">
        <v>1482</v>
      </c>
      <c r="K498" s="5">
        <v>50</v>
      </c>
      <c r="L498" s="6" t="s">
        <v>1482</v>
      </c>
    </row>
    <row r="499" spans="1:12">
      <c r="A499" t="s">
        <v>26</v>
      </c>
      <c r="G499">
        <v>150</v>
      </c>
      <c r="H499" t="s">
        <v>1482</v>
      </c>
      <c r="K499" s="5">
        <v>150</v>
      </c>
      <c r="L499" s="6" t="s">
        <v>1482</v>
      </c>
    </row>
    <row r="500" spans="1:12">
      <c r="A500" t="s">
        <v>28</v>
      </c>
      <c r="G500">
        <v>200</v>
      </c>
      <c r="H500" t="s">
        <v>1482</v>
      </c>
      <c r="K500" s="5">
        <v>200</v>
      </c>
      <c r="L500" s="6" t="s">
        <v>1482</v>
      </c>
    </row>
    <row r="501" spans="1:12">
      <c r="A501" t="s">
        <v>150</v>
      </c>
      <c r="G501">
        <v>150</v>
      </c>
      <c r="H501" t="s">
        <v>1482</v>
      </c>
      <c r="K501" s="5">
        <v>150</v>
      </c>
      <c r="L501" s="6" t="s">
        <v>1482</v>
      </c>
    </row>
    <row r="502" spans="1:12">
      <c r="A502" t="s">
        <v>26</v>
      </c>
      <c r="B502" t="s">
        <v>1481</v>
      </c>
      <c r="C502" t="s">
        <v>1484</v>
      </c>
      <c r="G502">
        <v>200</v>
      </c>
      <c r="H502" t="s">
        <v>1482</v>
      </c>
      <c r="K502" s="5">
        <v>200</v>
      </c>
      <c r="L502" s="6" t="s">
        <v>1482</v>
      </c>
    </row>
    <row r="503" spans="1:12">
      <c r="A503" t="s">
        <v>28</v>
      </c>
      <c r="B503" t="s">
        <v>1486</v>
      </c>
      <c r="G503">
        <v>200</v>
      </c>
      <c r="H503" t="s">
        <v>1482</v>
      </c>
      <c r="K503" s="5">
        <v>200</v>
      </c>
      <c r="L503" s="6" t="s">
        <v>1482</v>
      </c>
    </row>
    <row r="504" spans="1:12">
      <c r="A504" t="s">
        <v>150</v>
      </c>
      <c r="B504" t="s">
        <v>1481</v>
      </c>
      <c r="G504">
        <v>200</v>
      </c>
      <c r="H504" t="s">
        <v>1482</v>
      </c>
      <c r="K504" s="5">
        <v>200</v>
      </c>
      <c r="L504" s="6" t="s">
        <v>1482</v>
      </c>
    </row>
    <row r="505" spans="1:12">
      <c r="A505" t="s">
        <v>27</v>
      </c>
      <c r="B505" t="s">
        <v>1484</v>
      </c>
      <c r="G505">
        <v>150</v>
      </c>
      <c r="H505" t="s">
        <v>1482</v>
      </c>
      <c r="K505" s="5">
        <v>150</v>
      </c>
      <c r="L505" s="6" t="s">
        <v>1482</v>
      </c>
    </row>
    <row r="506" spans="1:12">
      <c r="A506" t="s">
        <v>28</v>
      </c>
      <c r="G506">
        <v>150</v>
      </c>
      <c r="H506" t="s">
        <v>1482</v>
      </c>
      <c r="K506" s="5">
        <v>150</v>
      </c>
      <c r="L506" s="6" t="s">
        <v>1482</v>
      </c>
    </row>
    <row r="507" spans="1:12">
      <c r="A507" t="s">
        <v>26</v>
      </c>
      <c r="G507">
        <v>200</v>
      </c>
      <c r="H507" t="s">
        <v>1482</v>
      </c>
      <c r="K507" s="5">
        <v>200</v>
      </c>
      <c r="L507" s="6" t="s">
        <v>1482</v>
      </c>
    </row>
    <row r="508" spans="1:12">
      <c r="A508" t="s">
        <v>26</v>
      </c>
      <c r="B508" t="s">
        <v>1484</v>
      </c>
      <c r="G508">
        <v>50</v>
      </c>
      <c r="H508" t="s">
        <v>1482</v>
      </c>
      <c r="K508" s="5">
        <v>50</v>
      </c>
      <c r="L508" s="6" t="s">
        <v>1482</v>
      </c>
    </row>
    <row r="509" spans="1:12">
      <c r="A509" t="s">
        <v>25</v>
      </c>
      <c r="B509" t="s">
        <v>1485</v>
      </c>
      <c r="C509" t="s">
        <v>1481</v>
      </c>
      <c r="G509">
        <v>50</v>
      </c>
      <c r="H509" t="s">
        <v>1482</v>
      </c>
      <c r="K509" s="5">
        <v>50</v>
      </c>
      <c r="L509" s="6" t="s">
        <v>1482</v>
      </c>
    </row>
    <row r="510" spans="1:12">
      <c r="A510" t="s">
        <v>27</v>
      </c>
      <c r="B510" t="s">
        <v>1483</v>
      </c>
      <c r="G510">
        <v>50</v>
      </c>
      <c r="H510" t="s">
        <v>1482</v>
      </c>
      <c r="K510" s="5">
        <v>50</v>
      </c>
      <c r="L510" s="6" t="s">
        <v>1482</v>
      </c>
    </row>
    <row r="511" spans="1:12">
      <c r="A511" t="s">
        <v>27</v>
      </c>
      <c r="G511">
        <v>200</v>
      </c>
      <c r="H511" t="s">
        <v>1482</v>
      </c>
      <c r="K511" s="5">
        <v>200</v>
      </c>
      <c r="L511" s="6" t="s">
        <v>1482</v>
      </c>
    </row>
    <row r="512" spans="1:12">
      <c r="A512" t="s">
        <v>25</v>
      </c>
      <c r="B512" t="s">
        <v>1485</v>
      </c>
      <c r="G512">
        <v>100</v>
      </c>
      <c r="H512" t="s">
        <v>1482</v>
      </c>
      <c r="K512" s="5">
        <v>100</v>
      </c>
      <c r="L512" s="6" t="s">
        <v>1482</v>
      </c>
    </row>
    <row r="513" spans="1:12">
      <c r="A513" t="s">
        <v>27</v>
      </c>
      <c r="B513" t="s">
        <v>1484</v>
      </c>
      <c r="G513">
        <v>150</v>
      </c>
      <c r="H513" t="s">
        <v>1482</v>
      </c>
      <c r="K513" s="5">
        <v>150</v>
      </c>
      <c r="L513" s="6" t="s">
        <v>1482</v>
      </c>
    </row>
    <row r="514" spans="1:12">
      <c r="A514" t="s">
        <v>28</v>
      </c>
      <c r="G514">
        <v>100</v>
      </c>
      <c r="H514" t="s">
        <v>1482</v>
      </c>
      <c r="K514" s="5">
        <v>100</v>
      </c>
      <c r="L514" s="6" t="s">
        <v>1482</v>
      </c>
    </row>
    <row r="515" spans="1:12">
      <c r="A515" t="s">
        <v>28</v>
      </c>
      <c r="B515" t="s">
        <v>1485</v>
      </c>
      <c r="C515" t="s">
        <v>1484</v>
      </c>
      <c r="G515">
        <v>100</v>
      </c>
      <c r="H515" t="s">
        <v>1482</v>
      </c>
      <c r="K515" s="5">
        <v>100</v>
      </c>
      <c r="L515" s="6" t="s">
        <v>1482</v>
      </c>
    </row>
    <row r="516" spans="1:12">
      <c r="A516" t="s">
        <v>28</v>
      </c>
      <c r="B516" t="s">
        <v>1484</v>
      </c>
      <c r="C516" t="s">
        <v>1485</v>
      </c>
      <c r="G516">
        <v>100</v>
      </c>
      <c r="H516" t="s">
        <v>1482</v>
      </c>
      <c r="K516" s="5">
        <v>100</v>
      </c>
      <c r="L516" s="6" t="s">
        <v>1482</v>
      </c>
    </row>
    <row r="517" spans="1:12">
      <c r="A517" t="s">
        <v>26</v>
      </c>
      <c r="B517" t="s">
        <v>1484</v>
      </c>
      <c r="C517" t="s">
        <v>1486</v>
      </c>
      <c r="G517">
        <v>200</v>
      </c>
      <c r="H517" t="s">
        <v>1482</v>
      </c>
      <c r="K517" s="5">
        <v>200</v>
      </c>
      <c r="L517" s="6" t="s">
        <v>1482</v>
      </c>
    </row>
    <row r="518" spans="1:12">
      <c r="A518" t="s">
        <v>28</v>
      </c>
      <c r="B518" t="s">
        <v>1484</v>
      </c>
      <c r="C518" t="s">
        <v>1483</v>
      </c>
      <c r="G518">
        <v>200</v>
      </c>
      <c r="H518" t="s">
        <v>1482</v>
      </c>
      <c r="K518" s="5">
        <v>200</v>
      </c>
      <c r="L518" s="6" t="s">
        <v>1482</v>
      </c>
    </row>
    <row r="519" spans="1:12">
      <c r="A519" t="s">
        <v>150</v>
      </c>
      <c r="B519" t="s">
        <v>1486</v>
      </c>
      <c r="G519">
        <v>150</v>
      </c>
      <c r="H519" t="s">
        <v>1482</v>
      </c>
      <c r="K519" s="5">
        <v>150</v>
      </c>
      <c r="L519" s="6" t="s">
        <v>1482</v>
      </c>
    </row>
    <row r="520" spans="1:12">
      <c r="A520" t="s">
        <v>28</v>
      </c>
      <c r="B520" t="s">
        <v>1486</v>
      </c>
      <c r="C520" t="s">
        <v>1483</v>
      </c>
      <c r="G520">
        <v>200</v>
      </c>
      <c r="H520" t="s">
        <v>1482</v>
      </c>
      <c r="K520" s="5">
        <v>200</v>
      </c>
      <c r="L520" s="6" t="s">
        <v>1482</v>
      </c>
    </row>
    <row r="521" spans="1:12">
      <c r="A521" t="s">
        <v>25</v>
      </c>
      <c r="B521" t="s">
        <v>1485</v>
      </c>
      <c r="C521" t="s">
        <v>1481</v>
      </c>
      <c r="G521">
        <v>150</v>
      </c>
      <c r="H521" t="s">
        <v>1482</v>
      </c>
      <c r="K521" s="5">
        <v>150</v>
      </c>
      <c r="L521" s="6" t="s">
        <v>1482</v>
      </c>
    </row>
    <row r="522" spans="1:12">
      <c r="A522" t="s">
        <v>27</v>
      </c>
      <c r="B522" t="s">
        <v>1483</v>
      </c>
      <c r="G522">
        <v>200</v>
      </c>
      <c r="H522" t="s">
        <v>1482</v>
      </c>
      <c r="K522" s="5">
        <v>200</v>
      </c>
      <c r="L522" s="6" t="s">
        <v>1482</v>
      </c>
    </row>
    <row r="523" spans="1:12">
      <c r="A523" t="s">
        <v>25</v>
      </c>
      <c r="B523" t="s">
        <v>1483</v>
      </c>
      <c r="C523" t="s">
        <v>1481</v>
      </c>
      <c r="G523">
        <v>200</v>
      </c>
      <c r="H523" t="s">
        <v>1482</v>
      </c>
      <c r="K523" s="5">
        <v>200</v>
      </c>
      <c r="L523" s="6" t="s">
        <v>1482</v>
      </c>
    </row>
    <row r="524" spans="1:12">
      <c r="A524" t="s">
        <v>27</v>
      </c>
      <c r="G524">
        <v>100</v>
      </c>
      <c r="H524" t="s">
        <v>1482</v>
      </c>
      <c r="K524" s="5">
        <v>100</v>
      </c>
      <c r="L524" s="6" t="s">
        <v>1482</v>
      </c>
    </row>
    <row r="525" spans="1:12">
      <c r="A525" t="s">
        <v>25</v>
      </c>
      <c r="B525" t="s">
        <v>1481</v>
      </c>
      <c r="C525" t="s">
        <v>1483</v>
      </c>
      <c r="G525">
        <v>50</v>
      </c>
      <c r="H525" t="s">
        <v>1482</v>
      </c>
      <c r="K525" s="5">
        <v>50</v>
      </c>
      <c r="L525" s="6" t="s">
        <v>1482</v>
      </c>
    </row>
    <row r="526" spans="1:12">
      <c r="A526" t="s">
        <v>150</v>
      </c>
      <c r="B526" t="s">
        <v>1483</v>
      </c>
      <c r="G526">
        <v>150</v>
      </c>
      <c r="H526" t="s">
        <v>1482</v>
      </c>
      <c r="K526" s="5">
        <v>150</v>
      </c>
      <c r="L526" s="6" t="s">
        <v>1482</v>
      </c>
    </row>
    <row r="527" spans="1:12">
      <c r="A527" t="s">
        <v>28</v>
      </c>
      <c r="B527" t="s">
        <v>1483</v>
      </c>
      <c r="C527" t="s">
        <v>1486</v>
      </c>
      <c r="G527">
        <v>150</v>
      </c>
      <c r="H527" t="s">
        <v>1482</v>
      </c>
      <c r="K527" s="5">
        <v>150</v>
      </c>
      <c r="L527" s="6" t="s">
        <v>1482</v>
      </c>
    </row>
    <row r="528" spans="1:12">
      <c r="A528" t="s">
        <v>25</v>
      </c>
      <c r="G528">
        <v>100</v>
      </c>
      <c r="H528" t="s">
        <v>1482</v>
      </c>
      <c r="K528" s="5">
        <v>100</v>
      </c>
      <c r="L528" s="6" t="s">
        <v>1482</v>
      </c>
    </row>
    <row r="529" spans="1:12">
      <c r="A529" t="s">
        <v>25</v>
      </c>
      <c r="B529" t="s">
        <v>1484</v>
      </c>
      <c r="C529" t="s">
        <v>1485</v>
      </c>
      <c r="G529">
        <v>100</v>
      </c>
      <c r="H529" t="s">
        <v>1482</v>
      </c>
      <c r="K529" s="5">
        <v>100</v>
      </c>
      <c r="L529" s="6" t="s">
        <v>1482</v>
      </c>
    </row>
    <row r="530" spans="1:12">
      <c r="A530" t="s">
        <v>28</v>
      </c>
      <c r="B530" t="s">
        <v>1483</v>
      </c>
      <c r="C530" t="s">
        <v>1485</v>
      </c>
      <c r="G530">
        <v>150</v>
      </c>
      <c r="H530" t="s">
        <v>1482</v>
      </c>
      <c r="K530" s="5">
        <v>150</v>
      </c>
      <c r="L530" s="6" t="s">
        <v>1482</v>
      </c>
    </row>
    <row r="531" spans="1:12">
      <c r="A531" t="s">
        <v>27</v>
      </c>
      <c r="G531">
        <v>50</v>
      </c>
      <c r="H531" t="s">
        <v>1482</v>
      </c>
      <c r="K531" s="5">
        <v>50</v>
      </c>
      <c r="L531" s="6" t="s">
        <v>1482</v>
      </c>
    </row>
    <row r="532" spans="1:12">
      <c r="A532" t="s">
        <v>150</v>
      </c>
      <c r="B532" t="s">
        <v>1481</v>
      </c>
      <c r="C532" t="s">
        <v>1485</v>
      </c>
      <c r="G532">
        <v>100</v>
      </c>
      <c r="H532" t="s">
        <v>1482</v>
      </c>
      <c r="K532" s="5">
        <v>100</v>
      </c>
      <c r="L532" s="6" t="s">
        <v>1482</v>
      </c>
    </row>
    <row r="533" spans="1:12">
      <c r="A533" t="s">
        <v>25</v>
      </c>
      <c r="G533">
        <v>100</v>
      </c>
      <c r="H533" t="s">
        <v>1482</v>
      </c>
      <c r="K533" s="5">
        <v>100</v>
      </c>
      <c r="L533" s="6" t="s">
        <v>1482</v>
      </c>
    </row>
    <row r="534" spans="1:12">
      <c r="A534" t="s">
        <v>26</v>
      </c>
      <c r="B534" t="s">
        <v>1484</v>
      </c>
      <c r="C534" t="s">
        <v>1485</v>
      </c>
      <c r="G534">
        <v>200</v>
      </c>
      <c r="H534" t="s">
        <v>1482</v>
      </c>
      <c r="K534" s="5">
        <v>200</v>
      </c>
      <c r="L534" s="6" t="s">
        <v>1482</v>
      </c>
    </row>
    <row r="535" spans="1:12">
      <c r="A535" t="s">
        <v>26</v>
      </c>
      <c r="G535">
        <v>200</v>
      </c>
      <c r="H535" t="s">
        <v>1482</v>
      </c>
      <c r="K535" s="5">
        <v>200</v>
      </c>
      <c r="L535" s="6" t="s">
        <v>1482</v>
      </c>
    </row>
    <row r="536" spans="1:12">
      <c r="A536" t="s">
        <v>26</v>
      </c>
      <c r="B536" t="s">
        <v>1484</v>
      </c>
      <c r="C536" t="s">
        <v>1481</v>
      </c>
      <c r="G536">
        <v>100</v>
      </c>
      <c r="H536" t="s">
        <v>1482</v>
      </c>
      <c r="K536" s="5">
        <v>100</v>
      </c>
      <c r="L536" s="6" t="s">
        <v>1482</v>
      </c>
    </row>
    <row r="537" spans="1:12">
      <c r="A537" t="s">
        <v>150</v>
      </c>
      <c r="B537" t="s">
        <v>1486</v>
      </c>
      <c r="G537">
        <v>150</v>
      </c>
      <c r="H537" t="s">
        <v>1482</v>
      </c>
      <c r="K537" s="5">
        <v>150</v>
      </c>
      <c r="L537" s="6" t="s">
        <v>1482</v>
      </c>
    </row>
    <row r="538" spans="1:12">
      <c r="A538" t="s">
        <v>150</v>
      </c>
      <c r="B538" t="s">
        <v>1481</v>
      </c>
      <c r="G538">
        <v>150</v>
      </c>
      <c r="H538" t="s">
        <v>1482</v>
      </c>
      <c r="K538" s="5">
        <v>150</v>
      </c>
      <c r="L538" s="6" t="s">
        <v>1482</v>
      </c>
    </row>
    <row r="539" spans="1:12">
      <c r="A539" t="s">
        <v>27</v>
      </c>
      <c r="G539">
        <v>200</v>
      </c>
      <c r="H539" t="s">
        <v>1482</v>
      </c>
      <c r="K539" s="5">
        <v>200</v>
      </c>
      <c r="L539" s="6" t="s">
        <v>1482</v>
      </c>
    </row>
    <row r="540" spans="1:12">
      <c r="A540" t="s">
        <v>27</v>
      </c>
      <c r="B540" t="s">
        <v>1483</v>
      </c>
      <c r="C540" t="s">
        <v>1481</v>
      </c>
      <c r="G540">
        <v>150</v>
      </c>
      <c r="H540" t="s">
        <v>1482</v>
      </c>
      <c r="K540" s="5">
        <v>150</v>
      </c>
      <c r="L540" s="6" t="s">
        <v>1482</v>
      </c>
    </row>
    <row r="541" spans="1:12">
      <c r="A541" t="s">
        <v>27</v>
      </c>
      <c r="B541" t="s">
        <v>1483</v>
      </c>
      <c r="G541">
        <v>150</v>
      </c>
      <c r="H541" t="s">
        <v>1482</v>
      </c>
      <c r="K541" s="5">
        <v>150</v>
      </c>
      <c r="L541" s="6" t="s">
        <v>1482</v>
      </c>
    </row>
    <row r="542" spans="1:12">
      <c r="A542" t="s">
        <v>25</v>
      </c>
      <c r="G542">
        <v>200</v>
      </c>
      <c r="H542" t="s">
        <v>1482</v>
      </c>
      <c r="K542" s="5">
        <v>200</v>
      </c>
      <c r="L542" s="6" t="s">
        <v>1482</v>
      </c>
    </row>
    <row r="543" spans="1:12">
      <c r="A543" t="s">
        <v>26</v>
      </c>
      <c r="B543" t="s">
        <v>1481</v>
      </c>
      <c r="C543" t="s">
        <v>1484</v>
      </c>
      <c r="G543">
        <v>50</v>
      </c>
      <c r="H543" t="s">
        <v>1482</v>
      </c>
      <c r="K543" s="5">
        <v>50</v>
      </c>
      <c r="L543" s="6" t="s">
        <v>1482</v>
      </c>
    </row>
    <row r="544" spans="1:12">
      <c r="A544" t="s">
        <v>27</v>
      </c>
      <c r="B544" t="s">
        <v>1481</v>
      </c>
      <c r="C544" t="s">
        <v>1486</v>
      </c>
      <c r="G544">
        <v>50</v>
      </c>
      <c r="H544" t="s">
        <v>1482</v>
      </c>
      <c r="K544" s="5">
        <v>50</v>
      </c>
      <c r="L544" s="6" t="s">
        <v>1482</v>
      </c>
    </row>
    <row r="545" spans="1:12">
      <c r="A545" t="s">
        <v>28</v>
      </c>
      <c r="G545">
        <v>100</v>
      </c>
      <c r="H545" t="s">
        <v>1482</v>
      </c>
      <c r="K545" s="5">
        <v>100</v>
      </c>
      <c r="L545" s="6" t="s">
        <v>1482</v>
      </c>
    </row>
    <row r="546" spans="1:12">
      <c r="A546" t="s">
        <v>26</v>
      </c>
      <c r="G546">
        <v>150</v>
      </c>
      <c r="H546" t="s">
        <v>1482</v>
      </c>
      <c r="K546" s="5">
        <v>150</v>
      </c>
      <c r="L546" s="6" t="s">
        <v>1482</v>
      </c>
    </row>
    <row r="547" spans="1:12">
      <c r="A547" t="s">
        <v>26</v>
      </c>
      <c r="G547">
        <v>50</v>
      </c>
      <c r="H547" t="s">
        <v>1482</v>
      </c>
      <c r="K547" s="5">
        <v>50</v>
      </c>
      <c r="L547" s="6" t="s">
        <v>1482</v>
      </c>
    </row>
    <row r="548" spans="1:12">
      <c r="A548" t="s">
        <v>28</v>
      </c>
      <c r="B548" t="s">
        <v>1484</v>
      </c>
      <c r="G548">
        <v>200</v>
      </c>
      <c r="H548" t="s">
        <v>1482</v>
      </c>
      <c r="K548" s="5">
        <v>200</v>
      </c>
      <c r="L548" s="6" t="s">
        <v>1482</v>
      </c>
    </row>
    <row r="549" spans="1:12">
      <c r="A549" t="s">
        <v>26</v>
      </c>
      <c r="B549" t="s">
        <v>1486</v>
      </c>
      <c r="C549" t="s">
        <v>1484</v>
      </c>
      <c r="G549">
        <v>100</v>
      </c>
      <c r="H549" t="s">
        <v>1482</v>
      </c>
      <c r="K549" s="5">
        <v>100</v>
      </c>
      <c r="L549" s="6" t="s">
        <v>1482</v>
      </c>
    </row>
    <row r="550" spans="1:12">
      <c r="A550" t="s">
        <v>27</v>
      </c>
      <c r="B550" t="s">
        <v>1484</v>
      </c>
      <c r="G550">
        <v>100</v>
      </c>
      <c r="H550" t="s">
        <v>1482</v>
      </c>
      <c r="K550" s="5">
        <v>100</v>
      </c>
      <c r="L550" s="6" t="s">
        <v>1482</v>
      </c>
    </row>
    <row r="551" spans="1:12">
      <c r="A551" t="s">
        <v>27</v>
      </c>
      <c r="G551">
        <v>100</v>
      </c>
      <c r="H551" t="s">
        <v>1482</v>
      </c>
      <c r="K551" s="5">
        <v>100</v>
      </c>
      <c r="L551" s="6" t="s">
        <v>1482</v>
      </c>
    </row>
    <row r="552" spans="1:12">
      <c r="A552" t="s">
        <v>25</v>
      </c>
      <c r="B552" t="s">
        <v>1483</v>
      </c>
      <c r="G552">
        <v>200</v>
      </c>
      <c r="H552" t="s">
        <v>1482</v>
      </c>
      <c r="K552" s="5">
        <v>200</v>
      </c>
      <c r="L552" s="6" t="s">
        <v>1482</v>
      </c>
    </row>
    <row r="553" spans="1:12">
      <c r="A553" t="s">
        <v>27</v>
      </c>
      <c r="B553" t="s">
        <v>1484</v>
      </c>
      <c r="G553">
        <v>150</v>
      </c>
      <c r="H553" t="s">
        <v>1482</v>
      </c>
      <c r="K553" s="5">
        <v>150</v>
      </c>
      <c r="L553" s="6" t="s">
        <v>1482</v>
      </c>
    </row>
    <row r="554" spans="1:12">
      <c r="A554" t="s">
        <v>25</v>
      </c>
      <c r="G554">
        <v>150</v>
      </c>
      <c r="H554" t="s">
        <v>1482</v>
      </c>
      <c r="K554" s="5">
        <v>150</v>
      </c>
      <c r="L554" s="6" t="s">
        <v>1482</v>
      </c>
    </row>
    <row r="555" spans="1:12">
      <c r="A555" t="s">
        <v>27</v>
      </c>
      <c r="B555" t="s">
        <v>1481</v>
      </c>
      <c r="C555" t="s">
        <v>1484</v>
      </c>
      <c r="G555">
        <v>200</v>
      </c>
      <c r="H555" t="s">
        <v>1482</v>
      </c>
      <c r="K555" s="5">
        <v>200</v>
      </c>
      <c r="L555" s="6" t="s">
        <v>1482</v>
      </c>
    </row>
    <row r="556" spans="1:12">
      <c r="A556" t="s">
        <v>28</v>
      </c>
      <c r="B556" t="s">
        <v>1483</v>
      </c>
      <c r="C556" t="s">
        <v>1485</v>
      </c>
      <c r="G556">
        <v>200</v>
      </c>
      <c r="H556" t="s">
        <v>1482</v>
      </c>
      <c r="K556" s="5">
        <v>200</v>
      </c>
      <c r="L556" s="6" t="s">
        <v>1482</v>
      </c>
    </row>
    <row r="557" spans="1:12">
      <c r="A557" t="s">
        <v>26</v>
      </c>
      <c r="B557" t="s">
        <v>1481</v>
      </c>
      <c r="G557">
        <v>100</v>
      </c>
      <c r="H557" t="s">
        <v>1482</v>
      </c>
      <c r="K557" s="5">
        <v>100</v>
      </c>
      <c r="L557" s="6" t="s">
        <v>1482</v>
      </c>
    </row>
    <row r="558" spans="1:12">
      <c r="A558" t="s">
        <v>150</v>
      </c>
      <c r="G558">
        <v>50</v>
      </c>
      <c r="H558" t="s">
        <v>1482</v>
      </c>
      <c r="K558" s="5">
        <v>50</v>
      </c>
      <c r="L558" s="6" t="s">
        <v>1482</v>
      </c>
    </row>
    <row r="559" spans="1:12">
      <c r="A559" t="s">
        <v>28</v>
      </c>
      <c r="B559" t="s">
        <v>1483</v>
      </c>
      <c r="G559">
        <v>100</v>
      </c>
      <c r="H559" t="s">
        <v>1482</v>
      </c>
      <c r="K559" s="5">
        <v>100</v>
      </c>
      <c r="L559" s="6" t="s">
        <v>1482</v>
      </c>
    </row>
    <row r="560" spans="1:12">
      <c r="A560" t="s">
        <v>27</v>
      </c>
      <c r="G560">
        <v>200</v>
      </c>
      <c r="H560" t="s">
        <v>1482</v>
      </c>
      <c r="K560" s="5">
        <v>200</v>
      </c>
      <c r="L560" s="6" t="s">
        <v>1482</v>
      </c>
    </row>
    <row r="561" spans="1:12">
      <c r="A561" t="s">
        <v>26</v>
      </c>
      <c r="B561" t="s">
        <v>1481</v>
      </c>
      <c r="G561">
        <v>200</v>
      </c>
      <c r="H561" t="s">
        <v>1482</v>
      </c>
      <c r="K561" s="5">
        <v>200</v>
      </c>
      <c r="L561" s="6" t="s">
        <v>1482</v>
      </c>
    </row>
    <row r="562" spans="1:12">
      <c r="A562" t="s">
        <v>28</v>
      </c>
      <c r="B562" t="s">
        <v>1486</v>
      </c>
      <c r="G562">
        <v>150</v>
      </c>
      <c r="H562" t="s">
        <v>1482</v>
      </c>
      <c r="K562" s="5">
        <v>150</v>
      </c>
      <c r="L562" s="6" t="s">
        <v>1482</v>
      </c>
    </row>
    <row r="563" spans="1:12">
      <c r="A563" t="s">
        <v>28</v>
      </c>
      <c r="B563" t="s">
        <v>1486</v>
      </c>
      <c r="C563" t="s">
        <v>1485</v>
      </c>
      <c r="G563">
        <v>50</v>
      </c>
      <c r="H563" t="s">
        <v>1482</v>
      </c>
      <c r="K563" s="5">
        <v>50</v>
      </c>
      <c r="L563" s="6" t="s">
        <v>1482</v>
      </c>
    </row>
    <row r="564" spans="1:12">
      <c r="A564" t="s">
        <v>150</v>
      </c>
      <c r="G564">
        <v>100</v>
      </c>
      <c r="H564" t="s">
        <v>1482</v>
      </c>
      <c r="K564" s="5">
        <v>100</v>
      </c>
      <c r="L564" s="6" t="s">
        <v>1482</v>
      </c>
    </row>
    <row r="565" spans="1:12">
      <c r="A565" t="s">
        <v>26</v>
      </c>
      <c r="G565">
        <v>150</v>
      </c>
      <c r="H565" t="s">
        <v>1482</v>
      </c>
      <c r="K565" s="5">
        <v>150</v>
      </c>
      <c r="L565" s="6" t="s">
        <v>1482</v>
      </c>
    </row>
    <row r="566" spans="1:12">
      <c r="A566" t="s">
        <v>25</v>
      </c>
      <c r="B566" t="s">
        <v>1485</v>
      </c>
      <c r="G566">
        <v>200</v>
      </c>
      <c r="H566" t="s">
        <v>1482</v>
      </c>
      <c r="K566" s="5">
        <v>200</v>
      </c>
      <c r="L566" s="6" t="s">
        <v>1482</v>
      </c>
    </row>
    <row r="567" spans="1:12">
      <c r="A567" t="s">
        <v>25</v>
      </c>
      <c r="B567" t="s">
        <v>1483</v>
      </c>
      <c r="C567" t="s">
        <v>1485</v>
      </c>
      <c r="G567">
        <v>150</v>
      </c>
      <c r="H567" t="s">
        <v>1482</v>
      </c>
      <c r="K567" s="5">
        <v>150</v>
      </c>
      <c r="L567" s="6" t="s">
        <v>1482</v>
      </c>
    </row>
    <row r="568" spans="1:12">
      <c r="A568" t="s">
        <v>25</v>
      </c>
      <c r="B568" t="s">
        <v>1481</v>
      </c>
      <c r="C568" t="s">
        <v>1483</v>
      </c>
      <c r="G568">
        <v>150</v>
      </c>
      <c r="H568" t="s">
        <v>1482</v>
      </c>
      <c r="K568" s="5">
        <v>150</v>
      </c>
      <c r="L568" s="6" t="s">
        <v>1482</v>
      </c>
    </row>
    <row r="569" spans="1:12">
      <c r="A569" t="s">
        <v>150</v>
      </c>
      <c r="G569">
        <v>100</v>
      </c>
      <c r="H569" t="s">
        <v>1482</v>
      </c>
      <c r="K569" s="5">
        <v>100</v>
      </c>
      <c r="L569" s="6" t="s">
        <v>1482</v>
      </c>
    </row>
    <row r="570" spans="1:12">
      <c r="A570" t="s">
        <v>150</v>
      </c>
      <c r="G570">
        <v>150</v>
      </c>
      <c r="H570" t="s">
        <v>1482</v>
      </c>
      <c r="K570" s="5">
        <v>150</v>
      </c>
      <c r="L570" s="6" t="s">
        <v>1482</v>
      </c>
    </row>
    <row r="571" spans="1:12">
      <c r="A571" t="s">
        <v>25</v>
      </c>
      <c r="B571" t="s">
        <v>1485</v>
      </c>
      <c r="G571">
        <v>50</v>
      </c>
      <c r="H571" t="s">
        <v>1482</v>
      </c>
      <c r="K571" s="5">
        <v>50</v>
      </c>
      <c r="L571" s="6" t="s">
        <v>1482</v>
      </c>
    </row>
    <row r="572" spans="1:12">
      <c r="A572" t="s">
        <v>25</v>
      </c>
      <c r="B572" t="s">
        <v>1485</v>
      </c>
      <c r="C572" t="s">
        <v>1483</v>
      </c>
      <c r="G572">
        <v>50</v>
      </c>
      <c r="H572" t="s">
        <v>1482</v>
      </c>
      <c r="K572" s="5">
        <v>50</v>
      </c>
      <c r="L572" s="6" t="s">
        <v>1482</v>
      </c>
    </row>
    <row r="573" spans="1:12">
      <c r="A573" t="s">
        <v>28</v>
      </c>
      <c r="B573" t="s">
        <v>1484</v>
      </c>
      <c r="C573" t="s">
        <v>1485</v>
      </c>
      <c r="G573">
        <v>50</v>
      </c>
      <c r="H573" t="s">
        <v>1482</v>
      </c>
      <c r="K573" s="5">
        <v>50</v>
      </c>
      <c r="L573" s="6" t="s">
        <v>1482</v>
      </c>
    </row>
    <row r="574" spans="1:12">
      <c r="A574" t="s">
        <v>27</v>
      </c>
      <c r="G574">
        <v>50</v>
      </c>
      <c r="H574" t="s">
        <v>1482</v>
      </c>
      <c r="K574" s="5">
        <v>50</v>
      </c>
      <c r="L574" s="6" t="s">
        <v>1482</v>
      </c>
    </row>
    <row r="575" spans="1:12">
      <c r="A575" t="s">
        <v>150</v>
      </c>
      <c r="G575">
        <v>100</v>
      </c>
      <c r="H575" t="s">
        <v>1482</v>
      </c>
      <c r="K575" s="5">
        <v>100</v>
      </c>
      <c r="L575" s="6" t="s">
        <v>1482</v>
      </c>
    </row>
    <row r="576" spans="1:12">
      <c r="A576" t="s">
        <v>27</v>
      </c>
      <c r="B576" t="s">
        <v>1484</v>
      </c>
      <c r="G576">
        <v>50</v>
      </c>
      <c r="H576" t="s">
        <v>1482</v>
      </c>
      <c r="K576" s="5">
        <v>50</v>
      </c>
      <c r="L576" s="6" t="s">
        <v>1482</v>
      </c>
    </row>
    <row r="577" spans="1:12">
      <c r="A577" t="s">
        <v>26</v>
      </c>
      <c r="B577" t="s">
        <v>1486</v>
      </c>
      <c r="C577" t="s">
        <v>1485</v>
      </c>
      <c r="G577">
        <v>200</v>
      </c>
      <c r="H577" t="s">
        <v>1482</v>
      </c>
      <c r="K577" s="5">
        <v>200</v>
      </c>
      <c r="L577" s="6" t="s">
        <v>1482</v>
      </c>
    </row>
    <row r="578" spans="1:12">
      <c r="A578" t="s">
        <v>25</v>
      </c>
      <c r="B578" t="s">
        <v>1485</v>
      </c>
      <c r="G578">
        <v>150</v>
      </c>
      <c r="H578" t="s">
        <v>1482</v>
      </c>
      <c r="K578" s="5">
        <v>150</v>
      </c>
      <c r="L578" s="6" t="s">
        <v>1482</v>
      </c>
    </row>
    <row r="579" spans="1:12">
      <c r="A579" t="s">
        <v>28</v>
      </c>
      <c r="B579" t="s">
        <v>1484</v>
      </c>
      <c r="C579" t="s">
        <v>1485</v>
      </c>
      <c r="G579">
        <v>50</v>
      </c>
      <c r="H579" t="s">
        <v>1482</v>
      </c>
      <c r="K579" s="5">
        <v>50</v>
      </c>
      <c r="L579" s="6" t="s">
        <v>1482</v>
      </c>
    </row>
    <row r="580" spans="1:12">
      <c r="A580" t="s">
        <v>28</v>
      </c>
      <c r="B580" t="s">
        <v>1484</v>
      </c>
      <c r="G580">
        <v>50</v>
      </c>
      <c r="H580" t="s">
        <v>1482</v>
      </c>
      <c r="K580" s="5">
        <v>50</v>
      </c>
      <c r="L580" s="6" t="s">
        <v>1482</v>
      </c>
    </row>
    <row r="581" spans="1:12">
      <c r="A581" t="s">
        <v>150</v>
      </c>
      <c r="B581" t="s">
        <v>1481</v>
      </c>
      <c r="C581" t="s">
        <v>1486</v>
      </c>
      <c r="G581">
        <v>100</v>
      </c>
      <c r="H581" t="s">
        <v>1482</v>
      </c>
      <c r="K581" s="5">
        <v>100</v>
      </c>
      <c r="L581" s="6" t="s">
        <v>1482</v>
      </c>
    </row>
    <row r="582" spans="1:12">
      <c r="A582" t="s">
        <v>150</v>
      </c>
      <c r="B582" t="s">
        <v>1481</v>
      </c>
      <c r="C582" t="s">
        <v>1486</v>
      </c>
      <c r="G582">
        <v>100</v>
      </c>
      <c r="H582" t="s">
        <v>1482</v>
      </c>
      <c r="K582" s="5">
        <v>100</v>
      </c>
      <c r="L582" s="6" t="s">
        <v>1482</v>
      </c>
    </row>
    <row r="583" spans="1:12">
      <c r="A583" t="s">
        <v>28</v>
      </c>
      <c r="B583" t="s">
        <v>1483</v>
      </c>
      <c r="G583">
        <v>150</v>
      </c>
      <c r="H583" t="s">
        <v>1482</v>
      </c>
      <c r="K583" s="5">
        <v>150</v>
      </c>
      <c r="L583" s="6" t="s">
        <v>1482</v>
      </c>
    </row>
    <row r="584" spans="1:12">
      <c r="A584" t="s">
        <v>25</v>
      </c>
      <c r="B584" t="s">
        <v>1481</v>
      </c>
      <c r="G584">
        <v>200</v>
      </c>
      <c r="H584" t="s">
        <v>1482</v>
      </c>
      <c r="K584" s="5">
        <v>200</v>
      </c>
      <c r="L584" s="6" t="s">
        <v>1482</v>
      </c>
    </row>
    <row r="585" spans="1:12">
      <c r="A585" t="s">
        <v>25</v>
      </c>
      <c r="B585" t="s">
        <v>1484</v>
      </c>
      <c r="G585">
        <v>200</v>
      </c>
      <c r="H585" t="s">
        <v>1482</v>
      </c>
      <c r="K585" s="5">
        <v>200</v>
      </c>
      <c r="L585" s="6" t="s">
        <v>1482</v>
      </c>
    </row>
    <row r="586" spans="1:12">
      <c r="A586" t="s">
        <v>28</v>
      </c>
      <c r="G586">
        <v>200</v>
      </c>
      <c r="H586" t="s">
        <v>1482</v>
      </c>
      <c r="K586" s="5">
        <v>200</v>
      </c>
      <c r="L586" s="6" t="s">
        <v>1482</v>
      </c>
    </row>
    <row r="587" spans="1:12">
      <c r="A587" t="s">
        <v>150</v>
      </c>
      <c r="B587" t="s">
        <v>1483</v>
      </c>
      <c r="G587">
        <v>100</v>
      </c>
      <c r="H587" t="s">
        <v>1482</v>
      </c>
      <c r="K587" s="5">
        <v>100</v>
      </c>
      <c r="L587" s="6" t="s">
        <v>1482</v>
      </c>
    </row>
    <row r="588" spans="1:12">
      <c r="A588" t="s">
        <v>26</v>
      </c>
      <c r="B588" t="s">
        <v>1486</v>
      </c>
      <c r="C588" t="s">
        <v>1484</v>
      </c>
      <c r="G588">
        <v>150</v>
      </c>
      <c r="H588" t="s">
        <v>1482</v>
      </c>
      <c r="K588" s="5">
        <v>150</v>
      </c>
      <c r="L588" s="6" t="s">
        <v>1482</v>
      </c>
    </row>
    <row r="589" spans="1:12">
      <c r="A589" t="s">
        <v>28</v>
      </c>
      <c r="G589">
        <v>50</v>
      </c>
      <c r="H589" t="s">
        <v>1482</v>
      </c>
      <c r="K589" s="5">
        <v>50</v>
      </c>
      <c r="L589" s="6" t="s">
        <v>1482</v>
      </c>
    </row>
    <row r="590" spans="1:12">
      <c r="A590" t="s">
        <v>26</v>
      </c>
      <c r="G590">
        <v>150</v>
      </c>
      <c r="H590" t="s">
        <v>1482</v>
      </c>
      <c r="K590" s="5">
        <v>150</v>
      </c>
      <c r="L590" s="6" t="s">
        <v>1482</v>
      </c>
    </row>
    <row r="591" spans="1:12">
      <c r="A591" t="s">
        <v>150</v>
      </c>
      <c r="G591">
        <v>200</v>
      </c>
      <c r="H591" t="s">
        <v>1482</v>
      </c>
      <c r="K591" s="5">
        <v>200</v>
      </c>
      <c r="L591" s="6" t="s">
        <v>1482</v>
      </c>
    </row>
    <row r="592" spans="1:12">
      <c r="A592" t="s">
        <v>25</v>
      </c>
      <c r="B592" t="s">
        <v>1484</v>
      </c>
      <c r="C592" t="s">
        <v>1483</v>
      </c>
      <c r="G592">
        <v>100</v>
      </c>
      <c r="H592" t="s">
        <v>1482</v>
      </c>
      <c r="K592" s="5">
        <v>100</v>
      </c>
      <c r="L592" s="6" t="s">
        <v>1482</v>
      </c>
    </row>
    <row r="593" spans="1:12">
      <c r="A593" t="s">
        <v>27</v>
      </c>
      <c r="B593" t="s">
        <v>1486</v>
      </c>
      <c r="C593" t="s">
        <v>1481</v>
      </c>
      <c r="G593">
        <v>100</v>
      </c>
      <c r="H593" t="s">
        <v>1482</v>
      </c>
      <c r="K593" s="5">
        <v>100</v>
      </c>
      <c r="L593" s="6" t="s">
        <v>1482</v>
      </c>
    </row>
    <row r="594" spans="1:12">
      <c r="A594" t="s">
        <v>150</v>
      </c>
      <c r="B594" t="s">
        <v>1481</v>
      </c>
      <c r="G594">
        <v>100</v>
      </c>
      <c r="H594" t="s">
        <v>1482</v>
      </c>
      <c r="K594" s="5">
        <v>100</v>
      </c>
      <c r="L594" s="6" t="s">
        <v>1482</v>
      </c>
    </row>
    <row r="595" spans="1:12">
      <c r="A595" t="s">
        <v>150</v>
      </c>
      <c r="B595" t="s">
        <v>1485</v>
      </c>
      <c r="C595" t="s">
        <v>1483</v>
      </c>
      <c r="G595">
        <v>150</v>
      </c>
      <c r="H595" t="s">
        <v>1482</v>
      </c>
      <c r="K595" s="5">
        <v>150</v>
      </c>
      <c r="L595" s="6" t="s">
        <v>1482</v>
      </c>
    </row>
    <row r="596" spans="1:12">
      <c r="A596" t="s">
        <v>26</v>
      </c>
      <c r="B596" t="s">
        <v>1485</v>
      </c>
      <c r="C596" t="s">
        <v>1481</v>
      </c>
      <c r="G596">
        <v>50</v>
      </c>
      <c r="H596" t="s">
        <v>1482</v>
      </c>
      <c r="K596" s="5">
        <v>50</v>
      </c>
      <c r="L596" s="6" t="s">
        <v>1482</v>
      </c>
    </row>
    <row r="597" spans="1:12">
      <c r="A597" t="s">
        <v>28</v>
      </c>
      <c r="B597" t="s">
        <v>1484</v>
      </c>
      <c r="G597">
        <v>150</v>
      </c>
      <c r="H597" t="s">
        <v>1482</v>
      </c>
      <c r="K597" s="5">
        <v>150</v>
      </c>
      <c r="L597" s="6" t="s">
        <v>1482</v>
      </c>
    </row>
    <row r="598" spans="1:12">
      <c r="A598" t="s">
        <v>26</v>
      </c>
      <c r="B598" t="s">
        <v>1484</v>
      </c>
      <c r="G598">
        <v>150</v>
      </c>
      <c r="H598" t="s">
        <v>1482</v>
      </c>
      <c r="K598" s="5">
        <v>150</v>
      </c>
      <c r="L598" s="6" t="s">
        <v>1482</v>
      </c>
    </row>
    <row r="599" spans="1:12">
      <c r="A599" t="s">
        <v>25</v>
      </c>
      <c r="G599">
        <v>50</v>
      </c>
      <c r="H599" t="s">
        <v>1482</v>
      </c>
      <c r="K599" s="5">
        <v>50</v>
      </c>
      <c r="L599" s="6" t="s">
        <v>1482</v>
      </c>
    </row>
    <row r="600" spans="1:12">
      <c r="A600" t="s">
        <v>150</v>
      </c>
      <c r="G600">
        <v>150</v>
      </c>
      <c r="H600" t="s">
        <v>1482</v>
      </c>
      <c r="K600" s="5">
        <v>150</v>
      </c>
      <c r="L600" s="6" t="s">
        <v>1482</v>
      </c>
    </row>
    <row r="601" spans="1:12">
      <c r="A601" t="s">
        <v>28</v>
      </c>
      <c r="B601" t="s">
        <v>1483</v>
      </c>
      <c r="G601">
        <v>100</v>
      </c>
      <c r="H601" t="s">
        <v>1482</v>
      </c>
      <c r="K601" s="5">
        <v>100</v>
      </c>
      <c r="L601" s="6" t="s">
        <v>1482</v>
      </c>
    </row>
    <row r="602" spans="1:12">
      <c r="A602" t="s">
        <v>28</v>
      </c>
      <c r="G602">
        <v>100</v>
      </c>
      <c r="H602" t="s">
        <v>1482</v>
      </c>
      <c r="K602" s="5">
        <v>100</v>
      </c>
      <c r="L602" s="6" t="s">
        <v>1482</v>
      </c>
    </row>
    <row r="603" spans="1:12">
      <c r="A603" t="s">
        <v>25</v>
      </c>
      <c r="B603" t="s">
        <v>1481</v>
      </c>
      <c r="G603">
        <v>200</v>
      </c>
      <c r="H603" t="s">
        <v>1482</v>
      </c>
      <c r="K603" s="5">
        <v>200</v>
      </c>
      <c r="L603" s="6" t="s">
        <v>1482</v>
      </c>
    </row>
    <row r="604" spans="1:12">
      <c r="A604" t="s">
        <v>27</v>
      </c>
      <c r="G604">
        <v>100</v>
      </c>
      <c r="H604" t="s">
        <v>1482</v>
      </c>
      <c r="K604" s="5">
        <v>100</v>
      </c>
      <c r="L604" s="6" t="s">
        <v>1482</v>
      </c>
    </row>
    <row r="605" spans="1:12">
      <c r="A605" t="s">
        <v>150</v>
      </c>
      <c r="B605" t="s">
        <v>1481</v>
      </c>
      <c r="G605">
        <v>50</v>
      </c>
      <c r="H605" t="s">
        <v>1482</v>
      </c>
      <c r="K605" s="5">
        <v>50</v>
      </c>
      <c r="L605" s="6" t="s">
        <v>1482</v>
      </c>
    </row>
    <row r="606" spans="1:12">
      <c r="A606" t="s">
        <v>27</v>
      </c>
      <c r="B606" t="s">
        <v>1484</v>
      </c>
      <c r="G606">
        <v>200</v>
      </c>
      <c r="H606" t="s">
        <v>1482</v>
      </c>
      <c r="K606" s="5">
        <v>200</v>
      </c>
      <c r="L606" s="6" t="s">
        <v>1482</v>
      </c>
    </row>
    <row r="607" spans="1:12">
      <c r="A607" t="s">
        <v>28</v>
      </c>
      <c r="B607" t="s">
        <v>1483</v>
      </c>
      <c r="G607">
        <v>200</v>
      </c>
      <c r="H607" t="s">
        <v>1482</v>
      </c>
      <c r="K607" s="5">
        <v>200</v>
      </c>
      <c r="L607" s="6" t="s">
        <v>1482</v>
      </c>
    </row>
    <row r="608" spans="1:12">
      <c r="A608" t="s">
        <v>26</v>
      </c>
      <c r="B608" t="s">
        <v>1481</v>
      </c>
      <c r="G608">
        <v>150</v>
      </c>
      <c r="H608" t="s">
        <v>1482</v>
      </c>
      <c r="K608" s="5">
        <v>150</v>
      </c>
      <c r="L608" s="6" t="s">
        <v>1482</v>
      </c>
    </row>
    <row r="609" spans="1:12">
      <c r="A609" t="s">
        <v>150</v>
      </c>
      <c r="G609">
        <v>50</v>
      </c>
      <c r="H609" t="s">
        <v>1482</v>
      </c>
      <c r="K609" s="5">
        <v>50</v>
      </c>
      <c r="L609" s="6" t="s">
        <v>1482</v>
      </c>
    </row>
    <row r="610" spans="1:12">
      <c r="A610" t="s">
        <v>150</v>
      </c>
      <c r="B610" t="s">
        <v>1486</v>
      </c>
      <c r="C610" t="s">
        <v>1485</v>
      </c>
      <c r="G610">
        <v>100</v>
      </c>
      <c r="H610" t="s">
        <v>1482</v>
      </c>
      <c r="K610" s="5">
        <v>100</v>
      </c>
      <c r="L610" s="6" t="s">
        <v>1482</v>
      </c>
    </row>
    <row r="611" spans="1:12">
      <c r="A611" t="s">
        <v>26</v>
      </c>
      <c r="B611" t="s">
        <v>1486</v>
      </c>
      <c r="C611" t="s">
        <v>1485</v>
      </c>
      <c r="G611">
        <v>150</v>
      </c>
      <c r="H611" t="s">
        <v>1482</v>
      </c>
      <c r="K611" s="5">
        <v>150</v>
      </c>
      <c r="L611" s="6" t="s">
        <v>1482</v>
      </c>
    </row>
    <row r="612" spans="1:12">
      <c r="A612" t="s">
        <v>27</v>
      </c>
      <c r="G612">
        <v>150</v>
      </c>
      <c r="H612" t="s">
        <v>1482</v>
      </c>
      <c r="K612" s="5">
        <v>150</v>
      </c>
      <c r="L612" s="6" t="s">
        <v>1482</v>
      </c>
    </row>
    <row r="613" spans="1:12">
      <c r="A613" t="s">
        <v>26</v>
      </c>
      <c r="B613" t="s">
        <v>1481</v>
      </c>
      <c r="C613" t="s">
        <v>1486</v>
      </c>
      <c r="G613">
        <v>100</v>
      </c>
      <c r="H613" t="s">
        <v>1482</v>
      </c>
      <c r="K613" s="5">
        <v>100</v>
      </c>
      <c r="L613" s="6" t="s">
        <v>1482</v>
      </c>
    </row>
    <row r="614" spans="1:12">
      <c r="A614" t="s">
        <v>150</v>
      </c>
      <c r="G614">
        <v>200</v>
      </c>
      <c r="H614" t="s">
        <v>1482</v>
      </c>
      <c r="K614" s="5">
        <v>200</v>
      </c>
      <c r="L614" s="6" t="s">
        <v>1482</v>
      </c>
    </row>
    <row r="615" spans="1:12">
      <c r="A615" t="s">
        <v>28</v>
      </c>
      <c r="G615">
        <v>50</v>
      </c>
      <c r="H615" t="s">
        <v>1482</v>
      </c>
      <c r="K615" s="5">
        <v>50</v>
      </c>
      <c r="L615" s="6" t="s">
        <v>1482</v>
      </c>
    </row>
    <row r="616" spans="1:12">
      <c r="A616" t="s">
        <v>25</v>
      </c>
      <c r="B616" t="s">
        <v>1481</v>
      </c>
      <c r="C616" t="s">
        <v>1484</v>
      </c>
      <c r="G616">
        <v>150</v>
      </c>
      <c r="H616" t="s">
        <v>1482</v>
      </c>
      <c r="K616" s="5">
        <v>150</v>
      </c>
      <c r="L616" s="6" t="s">
        <v>1482</v>
      </c>
    </row>
    <row r="617" spans="1:12">
      <c r="A617" t="s">
        <v>27</v>
      </c>
      <c r="B617" t="s">
        <v>1481</v>
      </c>
      <c r="G617">
        <v>50</v>
      </c>
      <c r="H617" t="s">
        <v>1482</v>
      </c>
      <c r="K617" s="5">
        <v>50</v>
      </c>
      <c r="L617" s="6" t="s">
        <v>1482</v>
      </c>
    </row>
    <row r="618" spans="1:12">
      <c r="A618" t="s">
        <v>26</v>
      </c>
      <c r="G618">
        <v>50</v>
      </c>
      <c r="H618" t="s">
        <v>1482</v>
      </c>
      <c r="K618" s="5">
        <v>50</v>
      </c>
      <c r="L618" s="6" t="s">
        <v>1482</v>
      </c>
    </row>
    <row r="619" spans="1:12">
      <c r="A619" t="s">
        <v>28</v>
      </c>
      <c r="B619" t="s">
        <v>1486</v>
      </c>
      <c r="C619" t="s">
        <v>1485</v>
      </c>
      <c r="G619">
        <v>200</v>
      </c>
      <c r="H619" t="s">
        <v>1482</v>
      </c>
      <c r="K619" s="5">
        <v>200</v>
      </c>
      <c r="L619" s="6" t="s">
        <v>1482</v>
      </c>
    </row>
    <row r="620" spans="1:12">
      <c r="A620" t="s">
        <v>25</v>
      </c>
      <c r="B620" t="s">
        <v>1484</v>
      </c>
      <c r="G620">
        <v>150</v>
      </c>
      <c r="H620" t="s">
        <v>1482</v>
      </c>
      <c r="K620" s="5">
        <v>150</v>
      </c>
      <c r="L620" s="6" t="s">
        <v>1482</v>
      </c>
    </row>
    <row r="621" spans="1:12">
      <c r="A621" t="s">
        <v>26</v>
      </c>
      <c r="G621">
        <v>200</v>
      </c>
      <c r="H621" t="s">
        <v>1482</v>
      </c>
      <c r="K621" s="5">
        <v>200</v>
      </c>
      <c r="L621" s="6" t="s">
        <v>1482</v>
      </c>
    </row>
    <row r="622" spans="1:12">
      <c r="A622" t="s">
        <v>28</v>
      </c>
      <c r="B622" t="s">
        <v>1484</v>
      </c>
      <c r="C622" t="s">
        <v>1486</v>
      </c>
      <c r="G622">
        <v>100</v>
      </c>
      <c r="H622" t="s">
        <v>1482</v>
      </c>
      <c r="K622" s="5">
        <v>100</v>
      </c>
      <c r="L622" s="6" t="s">
        <v>1482</v>
      </c>
    </row>
    <row r="623" spans="1:12">
      <c r="A623" t="s">
        <v>25</v>
      </c>
      <c r="G623">
        <v>50</v>
      </c>
      <c r="H623" t="s">
        <v>1482</v>
      </c>
      <c r="K623" s="5">
        <v>50</v>
      </c>
      <c r="L623" s="6" t="s">
        <v>1482</v>
      </c>
    </row>
    <row r="624" spans="1:12">
      <c r="A624" t="s">
        <v>28</v>
      </c>
      <c r="B624" t="s">
        <v>1486</v>
      </c>
      <c r="G624">
        <v>50</v>
      </c>
      <c r="H624" t="s">
        <v>1482</v>
      </c>
      <c r="K624" s="5">
        <v>50</v>
      </c>
      <c r="L624" s="6" t="s">
        <v>1482</v>
      </c>
    </row>
    <row r="625" spans="1:12">
      <c r="A625" t="s">
        <v>26</v>
      </c>
      <c r="B625" t="s">
        <v>1486</v>
      </c>
      <c r="C625" t="s">
        <v>1481</v>
      </c>
      <c r="G625">
        <v>50</v>
      </c>
      <c r="H625" t="s">
        <v>1482</v>
      </c>
      <c r="K625" s="5">
        <v>50</v>
      </c>
      <c r="L625" s="6" t="s">
        <v>1482</v>
      </c>
    </row>
    <row r="626" spans="1:12">
      <c r="A626" t="s">
        <v>150</v>
      </c>
      <c r="G626">
        <v>200</v>
      </c>
      <c r="H626" t="s">
        <v>1482</v>
      </c>
      <c r="K626" s="5">
        <v>200</v>
      </c>
      <c r="L626" s="6" t="s">
        <v>1482</v>
      </c>
    </row>
    <row r="627" spans="1:12">
      <c r="A627" t="s">
        <v>27</v>
      </c>
      <c r="B627" t="s">
        <v>1483</v>
      </c>
      <c r="G627">
        <v>150</v>
      </c>
      <c r="H627" t="s">
        <v>1482</v>
      </c>
      <c r="K627" s="5">
        <v>150</v>
      </c>
      <c r="L627" s="6" t="s">
        <v>1482</v>
      </c>
    </row>
    <row r="628" spans="1:12">
      <c r="A628" t="s">
        <v>25</v>
      </c>
      <c r="B628" t="s">
        <v>1485</v>
      </c>
      <c r="C628" t="s">
        <v>1483</v>
      </c>
      <c r="G628">
        <v>200</v>
      </c>
      <c r="H628" t="s">
        <v>1482</v>
      </c>
      <c r="K628" s="5">
        <v>200</v>
      </c>
      <c r="L628" s="6" t="s">
        <v>1482</v>
      </c>
    </row>
    <row r="629" spans="1:12">
      <c r="A629" t="s">
        <v>26</v>
      </c>
      <c r="B629" t="s">
        <v>1486</v>
      </c>
      <c r="C629" t="s">
        <v>1481</v>
      </c>
      <c r="G629">
        <v>150</v>
      </c>
      <c r="H629" t="s">
        <v>1482</v>
      </c>
      <c r="K629" s="5">
        <v>150</v>
      </c>
      <c r="L629" s="6" t="s">
        <v>1482</v>
      </c>
    </row>
    <row r="630" spans="1:12">
      <c r="A630" t="s">
        <v>27</v>
      </c>
      <c r="B630" t="s">
        <v>1486</v>
      </c>
      <c r="C630" t="s">
        <v>1481</v>
      </c>
      <c r="G630">
        <v>150</v>
      </c>
      <c r="H630" t="s">
        <v>1482</v>
      </c>
      <c r="K630" s="5">
        <v>150</v>
      </c>
      <c r="L630" s="6" t="s">
        <v>1482</v>
      </c>
    </row>
    <row r="631" spans="1:12">
      <c r="A631" t="s">
        <v>150</v>
      </c>
      <c r="B631" t="s">
        <v>1483</v>
      </c>
      <c r="G631">
        <v>100</v>
      </c>
      <c r="H631" t="s">
        <v>1482</v>
      </c>
      <c r="K631" s="5">
        <v>100</v>
      </c>
      <c r="L631" s="6" t="s">
        <v>1482</v>
      </c>
    </row>
    <row r="632" spans="1:12">
      <c r="A632" t="s">
        <v>25</v>
      </c>
      <c r="G632">
        <v>200</v>
      </c>
      <c r="H632" t="s">
        <v>1482</v>
      </c>
      <c r="K632" s="5">
        <v>200</v>
      </c>
      <c r="L632" s="6" t="s">
        <v>1482</v>
      </c>
    </row>
    <row r="633" spans="1:12">
      <c r="A633" t="s">
        <v>27</v>
      </c>
      <c r="B633" t="s">
        <v>1486</v>
      </c>
      <c r="G633">
        <v>50</v>
      </c>
      <c r="H633" t="s">
        <v>1482</v>
      </c>
      <c r="K633" s="5">
        <v>50</v>
      </c>
      <c r="L633" s="6" t="s">
        <v>1482</v>
      </c>
    </row>
    <row r="634" spans="1:12">
      <c r="A634" t="s">
        <v>27</v>
      </c>
      <c r="B634" t="s">
        <v>1484</v>
      </c>
      <c r="G634">
        <v>50</v>
      </c>
      <c r="H634" t="s">
        <v>1482</v>
      </c>
      <c r="K634" s="5">
        <v>50</v>
      </c>
      <c r="L634" s="6" t="s">
        <v>1482</v>
      </c>
    </row>
    <row r="635" spans="1:12">
      <c r="A635" t="s">
        <v>25</v>
      </c>
      <c r="B635" t="s">
        <v>1485</v>
      </c>
      <c r="C635" t="s">
        <v>1484</v>
      </c>
      <c r="G635">
        <v>150</v>
      </c>
      <c r="H635" t="s">
        <v>1482</v>
      </c>
      <c r="K635" s="5">
        <v>150</v>
      </c>
      <c r="L635" s="6" t="s">
        <v>1482</v>
      </c>
    </row>
    <row r="636" spans="1:12">
      <c r="A636" t="s">
        <v>27</v>
      </c>
      <c r="G636">
        <v>50</v>
      </c>
      <c r="H636" t="s">
        <v>1482</v>
      </c>
      <c r="K636" s="5">
        <v>50</v>
      </c>
      <c r="L636" s="6" t="s">
        <v>1482</v>
      </c>
    </row>
    <row r="637" spans="1:12">
      <c r="A637" t="s">
        <v>25</v>
      </c>
      <c r="B637" t="s">
        <v>1481</v>
      </c>
      <c r="C637" t="s">
        <v>1483</v>
      </c>
      <c r="G637">
        <v>100</v>
      </c>
      <c r="H637" t="s">
        <v>1482</v>
      </c>
      <c r="K637" s="5">
        <v>100</v>
      </c>
      <c r="L637" s="6" t="s">
        <v>1482</v>
      </c>
    </row>
    <row r="638" spans="1:12">
      <c r="A638" t="s">
        <v>25</v>
      </c>
      <c r="B638" t="s">
        <v>1483</v>
      </c>
      <c r="G638">
        <v>200</v>
      </c>
      <c r="H638" t="s">
        <v>1482</v>
      </c>
      <c r="K638" s="5">
        <v>200</v>
      </c>
      <c r="L638" s="6" t="s">
        <v>1482</v>
      </c>
    </row>
    <row r="639" spans="1:12">
      <c r="A639" t="s">
        <v>26</v>
      </c>
      <c r="G639">
        <v>50</v>
      </c>
      <c r="H639" t="s">
        <v>1482</v>
      </c>
      <c r="K639" s="5">
        <v>50</v>
      </c>
      <c r="L639" s="6" t="s">
        <v>1482</v>
      </c>
    </row>
    <row r="640" spans="1:12">
      <c r="A640" t="s">
        <v>27</v>
      </c>
      <c r="G640">
        <v>100</v>
      </c>
      <c r="H640" t="s">
        <v>1482</v>
      </c>
      <c r="K640" s="5">
        <v>100</v>
      </c>
      <c r="L640" s="6" t="s">
        <v>1482</v>
      </c>
    </row>
    <row r="641" spans="1:12">
      <c r="A641" t="s">
        <v>150</v>
      </c>
      <c r="G641">
        <v>150</v>
      </c>
      <c r="H641" t="s">
        <v>1482</v>
      </c>
      <c r="K641" s="5">
        <v>150</v>
      </c>
      <c r="L641" s="6" t="s">
        <v>1482</v>
      </c>
    </row>
    <row r="642" spans="1:12">
      <c r="A642" t="s">
        <v>28</v>
      </c>
      <c r="B642" t="s">
        <v>1485</v>
      </c>
      <c r="G642">
        <v>150</v>
      </c>
      <c r="H642" t="s">
        <v>1482</v>
      </c>
      <c r="K642" s="5">
        <v>150</v>
      </c>
      <c r="L642" s="6" t="s">
        <v>1482</v>
      </c>
    </row>
    <row r="643" spans="1:12">
      <c r="A643" t="s">
        <v>27</v>
      </c>
      <c r="B643" t="s">
        <v>1486</v>
      </c>
      <c r="C643" t="s">
        <v>1484</v>
      </c>
      <c r="G643">
        <v>200</v>
      </c>
      <c r="H643" t="s">
        <v>1482</v>
      </c>
      <c r="K643" s="5">
        <v>200</v>
      </c>
      <c r="L643" s="6" t="s">
        <v>1482</v>
      </c>
    </row>
    <row r="644" spans="1:12">
      <c r="A644" t="s">
        <v>150</v>
      </c>
      <c r="B644" t="s">
        <v>1483</v>
      </c>
      <c r="G644">
        <v>100</v>
      </c>
      <c r="H644" t="s">
        <v>1482</v>
      </c>
      <c r="K644" s="5">
        <v>100</v>
      </c>
      <c r="L644" s="6" t="s">
        <v>1482</v>
      </c>
    </row>
    <row r="645" spans="1:12">
      <c r="A645" t="s">
        <v>27</v>
      </c>
      <c r="G645">
        <v>150</v>
      </c>
      <c r="H645" t="s">
        <v>1482</v>
      </c>
      <c r="K645" s="5">
        <v>150</v>
      </c>
      <c r="L645" s="6" t="s">
        <v>1482</v>
      </c>
    </row>
    <row r="646" spans="1:12">
      <c r="A646" t="s">
        <v>150</v>
      </c>
      <c r="B646" t="s">
        <v>1483</v>
      </c>
      <c r="C646" t="s">
        <v>1485</v>
      </c>
      <c r="G646">
        <v>200</v>
      </c>
      <c r="H646" t="s">
        <v>1482</v>
      </c>
      <c r="K646" s="5">
        <v>200</v>
      </c>
      <c r="L646" s="6" t="s">
        <v>1482</v>
      </c>
    </row>
    <row r="647" spans="1:12">
      <c r="A647" t="s">
        <v>28</v>
      </c>
      <c r="B647" t="s">
        <v>1485</v>
      </c>
      <c r="C647" t="s">
        <v>1483</v>
      </c>
      <c r="G647">
        <v>200</v>
      </c>
      <c r="H647" t="s">
        <v>1482</v>
      </c>
      <c r="K647" s="5">
        <v>200</v>
      </c>
      <c r="L647" s="6" t="s">
        <v>1482</v>
      </c>
    </row>
    <row r="648" spans="1:12">
      <c r="A648" t="s">
        <v>25</v>
      </c>
      <c r="G648">
        <v>100</v>
      </c>
      <c r="H648" t="s">
        <v>1482</v>
      </c>
      <c r="K648" s="5">
        <v>100</v>
      </c>
      <c r="L648" s="6" t="s">
        <v>1482</v>
      </c>
    </row>
    <row r="649" spans="1:12">
      <c r="A649" t="s">
        <v>26</v>
      </c>
      <c r="G649">
        <v>150</v>
      </c>
      <c r="H649" t="s">
        <v>1482</v>
      </c>
      <c r="K649" s="5">
        <v>150</v>
      </c>
      <c r="L649" s="6" t="s">
        <v>1482</v>
      </c>
    </row>
    <row r="650" spans="1:12">
      <c r="A650" t="s">
        <v>28</v>
      </c>
      <c r="G650">
        <v>150</v>
      </c>
      <c r="H650" t="s">
        <v>1482</v>
      </c>
      <c r="K650" s="5">
        <v>150</v>
      </c>
      <c r="L650" s="6" t="s">
        <v>1482</v>
      </c>
    </row>
    <row r="651" spans="1:12">
      <c r="A651" t="s">
        <v>25</v>
      </c>
      <c r="G651">
        <v>200</v>
      </c>
      <c r="H651" t="s">
        <v>1482</v>
      </c>
      <c r="K651" s="5">
        <v>200</v>
      </c>
      <c r="L651" s="6" t="s">
        <v>1482</v>
      </c>
    </row>
    <row r="652" spans="1:12">
      <c r="A652" t="s">
        <v>27</v>
      </c>
      <c r="G652">
        <v>200</v>
      </c>
      <c r="H652" t="s">
        <v>1482</v>
      </c>
      <c r="K652" s="5">
        <v>200</v>
      </c>
      <c r="L652" s="6" t="s">
        <v>1482</v>
      </c>
    </row>
    <row r="653" spans="1:12">
      <c r="A653" t="s">
        <v>150</v>
      </c>
      <c r="B653" t="s">
        <v>1486</v>
      </c>
      <c r="C653" t="s">
        <v>1483</v>
      </c>
      <c r="G653">
        <v>200</v>
      </c>
      <c r="H653" t="s">
        <v>1482</v>
      </c>
      <c r="K653" s="5">
        <v>200</v>
      </c>
      <c r="L653" s="6" t="s">
        <v>1482</v>
      </c>
    </row>
    <row r="654" spans="1:12">
      <c r="A654" t="s">
        <v>27</v>
      </c>
      <c r="G654">
        <v>100</v>
      </c>
      <c r="H654" t="s">
        <v>1482</v>
      </c>
      <c r="K654" s="5">
        <v>100</v>
      </c>
      <c r="L654" s="6" t="s">
        <v>1482</v>
      </c>
    </row>
    <row r="655" spans="1:12">
      <c r="A655" t="s">
        <v>150</v>
      </c>
      <c r="B655" t="s">
        <v>1483</v>
      </c>
      <c r="G655">
        <v>100</v>
      </c>
      <c r="H655" t="s">
        <v>1482</v>
      </c>
      <c r="K655" s="5">
        <v>100</v>
      </c>
      <c r="L655" s="6" t="s">
        <v>1482</v>
      </c>
    </row>
    <row r="656" spans="1:12">
      <c r="A656" t="s">
        <v>150</v>
      </c>
      <c r="G656">
        <v>50</v>
      </c>
      <c r="H656" t="s">
        <v>1482</v>
      </c>
      <c r="K656" s="5">
        <v>50</v>
      </c>
      <c r="L656" s="6" t="s">
        <v>1482</v>
      </c>
    </row>
    <row r="657" spans="1:12">
      <c r="A657" t="s">
        <v>26</v>
      </c>
      <c r="B657" t="s">
        <v>1486</v>
      </c>
      <c r="G657">
        <v>50</v>
      </c>
      <c r="H657" t="s">
        <v>1482</v>
      </c>
      <c r="K657" s="5">
        <v>50</v>
      </c>
      <c r="L657" s="6" t="s">
        <v>1482</v>
      </c>
    </row>
    <row r="658" spans="1:12">
      <c r="A658" t="s">
        <v>25</v>
      </c>
      <c r="B658" t="s">
        <v>1485</v>
      </c>
      <c r="G658">
        <v>150</v>
      </c>
      <c r="H658" t="s">
        <v>1482</v>
      </c>
      <c r="K658" s="5">
        <v>150</v>
      </c>
      <c r="L658" s="6" t="s">
        <v>1482</v>
      </c>
    </row>
    <row r="659" spans="1:12">
      <c r="A659" t="s">
        <v>26</v>
      </c>
      <c r="G659">
        <v>100</v>
      </c>
      <c r="H659" t="s">
        <v>1482</v>
      </c>
      <c r="K659" s="5">
        <v>100</v>
      </c>
      <c r="L659" s="6" t="s">
        <v>1482</v>
      </c>
    </row>
    <row r="660" spans="1:12">
      <c r="A660" t="s">
        <v>26</v>
      </c>
      <c r="B660" t="s">
        <v>1484</v>
      </c>
      <c r="C660" t="s">
        <v>1486</v>
      </c>
      <c r="G660">
        <v>200</v>
      </c>
      <c r="H660" t="s">
        <v>1482</v>
      </c>
      <c r="K660" s="5">
        <v>200</v>
      </c>
      <c r="L660" s="6" t="s">
        <v>1482</v>
      </c>
    </row>
    <row r="661" spans="1:12">
      <c r="A661" t="s">
        <v>150</v>
      </c>
      <c r="B661" t="s">
        <v>1481</v>
      </c>
      <c r="G661">
        <v>50</v>
      </c>
      <c r="H661" t="s">
        <v>1482</v>
      </c>
      <c r="K661" s="5">
        <v>50</v>
      </c>
      <c r="L661" s="6" t="s">
        <v>1482</v>
      </c>
    </row>
    <row r="662" spans="1:12">
      <c r="A662" t="s">
        <v>26</v>
      </c>
      <c r="G662">
        <v>50</v>
      </c>
      <c r="H662" t="s">
        <v>1482</v>
      </c>
      <c r="K662" s="5">
        <v>50</v>
      </c>
      <c r="L662" s="6" t="s">
        <v>1482</v>
      </c>
    </row>
    <row r="663" spans="1:12">
      <c r="A663" t="s">
        <v>25</v>
      </c>
      <c r="B663" t="s">
        <v>1481</v>
      </c>
      <c r="C663" t="s">
        <v>1483</v>
      </c>
      <c r="G663">
        <v>50</v>
      </c>
      <c r="H663" t="s">
        <v>1482</v>
      </c>
      <c r="K663" s="5">
        <v>50</v>
      </c>
      <c r="L663" s="6" t="s">
        <v>1482</v>
      </c>
    </row>
    <row r="664" spans="1:12">
      <c r="A664" t="s">
        <v>26</v>
      </c>
      <c r="B664" t="s">
        <v>1481</v>
      </c>
      <c r="G664">
        <v>150</v>
      </c>
      <c r="H664" t="s">
        <v>1482</v>
      </c>
      <c r="K664" s="5">
        <v>150</v>
      </c>
      <c r="L664" s="6" t="s">
        <v>1482</v>
      </c>
    </row>
    <row r="665" spans="1:12">
      <c r="A665" t="s">
        <v>27</v>
      </c>
      <c r="B665" t="s">
        <v>1481</v>
      </c>
      <c r="C665" t="s">
        <v>1486</v>
      </c>
      <c r="G665">
        <v>150</v>
      </c>
      <c r="H665" t="s">
        <v>1482</v>
      </c>
      <c r="K665" s="5">
        <v>150</v>
      </c>
      <c r="L665" s="6" t="s">
        <v>1482</v>
      </c>
    </row>
    <row r="666" spans="1:12">
      <c r="A666" t="s">
        <v>26</v>
      </c>
      <c r="B666" t="s">
        <v>1486</v>
      </c>
      <c r="C666" t="s">
        <v>1481</v>
      </c>
      <c r="G666">
        <v>150</v>
      </c>
      <c r="H666" t="s">
        <v>1482</v>
      </c>
      <c r="K666" s="5">
        <v>150</v>
      </c>
      <c r="L666" s="6" t="s">
        <v>1482</v>
      </c>
    </row>
    <row r="667" spans="1:12">
      <c r="A667" t="s">
        <v>27</v>
      </c>
      <c r="G667">
        <v>100</v>
      </c>
      <c r="H667" t="s">
        <v>1482</v>
      </c>
      <c r="K667" s="5">
        <v>100</v>
      </c>
      <c r="L667" s="6" t="s">
        <v>1482</v>
      </c>
    </row>
    <row r="668" spans="1:12">
      <c r="A668" t="s">
        <v>27</v>
      </c>
      <c r="G668">
        <v>200</v>
      </c>
      <c r="H668" t="s">
        <v>1482</v>
      </c>
      <c r="K668" s="5">
        <v>200</v>
      </c>
      <c r="L668" s="6" t="s">
        <v>1482</v>
      </c>
    </row>
    <row r="669" spans="1:12">
      <c r="A669" t="s">
        <v>26</v>
      </c>
      <c r="B669" t="s">
        <v>1484</v>
      </c>
      <c r="G669">
        <v>100</v>
      </c>
      <c r="H669" t="s">
        <v>1482</v>
      </c>
      <c r="K669" s="5">
        <v>100</v>
      </c>
      <c r="L669" s="6" t="s">
        <v>1482</v>
      </c>
    </row>
    <row r="670" spans="1:12">
      <c r="A670" t="s">
        <v>150</v>
      </c>
      <c r="B670" t="s">
        <v>1481</v>
      </c>
      <c r="G670">
        <v>150</v>
      </c>
      <c r="H670" t="s">
        <v>1482</v>
      </c>
      <c r="K670" s="5">
        <v>150</v>
      </c>
      <c r="L670" s="6" t="s">
        <v>1482</v>
      </c>
    </row>
    <row r="671" spans="1:12">
      <c r="A671" t="s">
        <v>25</v>
      </c>
      <c r="B671" t="s">
        <v>1481</v>
      </c>
      <c r="C671" t="s">
        <v>1484</v>
      </c>
      <c r="G671">
        <v>150</v>
      </c>
      <c r="H671" t="s">
        <v>1482</v>
      </c>
      <c r="K671" s="5">
        <v>150</v>
      </c>
      <c r="L671" s="6" t="s">
        <v>1482</v>
      </c>
    </row>
    <row r="672" spans="1:12">
      <c r="A672" t="s">
        <v>150</v>
      </c>
      <c r="B672" t="s">
        <v>1486</v>
      </c>
      <c r="G672">
        <v>200</v>
      </c>
      <c r="H672" t="s">
        <v>1482</v>
      </c>
      <c r="K672" s="5">
        <v>200</v>
      </c>
      <c r="L672" s="6" t="s">
        <v>1482</v>
      </c>
    </row>
    <row r="673" spans="1:12">
      <c r="A673" t="s">
        <v>26</v>
      </c>
      <c r="G673">
        <v>200</v>
      </c>
      <c r="H673" t="s">
        <v>1482</v>
      </c>
      <c r="K673" s="5">
        <v>200</v>
      </c>
      <c r="L673" s="6" t="s">
        <v>1482</v>
      </c>
    </row>
    <row r="674" spans="1:12">
      <c r="A674" t="s">
        <v>26</v>
      </c>
      <c r="B674" t="s">
        <v>1484</v>
      </c>
      <c r="G674">
        <v>100</v>
      </c>
      <c r="H674" t="s">
        <v>1482</v>
      </c>
      <c r="K674" s="5">
        <v>100</v>
      </c>
      <c r="L674" s="6" t="s">
        <v>1482</v>
      </c>
    </row>
    <row r="675" spans="1:12">
      <c r="A675" t="s">
        <v>150</v>
      </c>
      <c r="B675" t="s">
        <v>1483</v>
      </c>
      <c r="G675">
        <v>50</v>
      </c>
      <c r="H675" t="s">
        <v>1482</v>
      </c>
      <c r="K675" s="5">
        <v>50</v>
      </c>
      <c r="L675" s="6" t="s">
        <v>1482</v>
      </c>
    </row>
    <row r="676" spans="1:12">
      <c r="A676" t="s">
        <v>26</v>
      </c>
      <c r="G676">
        <v>100</v>
      </c>
      <c r="H676" t="s">
        <v>1482</v>
      </c>
      <c r="K676" s="5">
        <v>100</v>
      </c>
      <c r="L676" s="6" t="s">
        <v>1482</v>
      </c>
    </row>
    <row r="677" spans="1:12">
      <c r="A677" t="s">
        <v>28</v>
      </c>
      <c r="B677" t="s">
        <v>1485</v>
      </c>
      <c r="C677" t="s">
        <v>1483</v>
      </c>
      <c r="G677">
        <v>200</v>
      </c>
      <c r="H677" t="s">
        <v>1482</v>
      </c>
      <c r="K677" s="5">
        <v>200</v>
      </c>
      <c r="L677" s="6" t="s">
        <v>1482</v>
      </c>
    </row>
    <row r="678" spans="1:12">
      <c r="A678" t="s">
        <v>27</v>
      </c>
      <c r="G678">
        <v>50</v>
      </c>
      <c r="H678" t="s">
        <v>1482</v>
      </c>
      <c r="K678" s="5">
        <v>50</v>
      </c>
      <c r="L678" s="6" t="s">
        <v>1482</v>
      </c>
    </row>
    <row r="679" spans="1:12">
      <c r="A679" t="s">
        <v>26</v>
      </c>
      <c r="G679">
        <v>150</v>
      </c>
      <c r="H679" t="s">
        <v>1482</v>
      </c>
      <c r="K679" s="5">
        <v>150</v>
      </c>
      <c r="L679" s="6" t="s">
        <v>1482</v>
      </c>
    </row>
    <row r="680" spans="1:12">
      <c r="A680" t="s">
        <v>150</v>
      </c>
      <c r="B680" t="s">
        <v>1486</v>
      </c>
      <c r="C680" t="s">
        <v>1483</v>
      </c>
      <c r="G680">
        <v>100</v>
      </c>
      <c r="H680" t="s">
        <v>1482</v>
      </c>
      <c r="K680" s="5">
        <v>100</v>
      </c>
      <c r="L680" s="6" t="s">
        <v>1482</v>
      </c>
    </row>
    <row r="681" spans="1:12">
      <c r="A681" t="s">
        <v>28</v>
      </c>
      <c r="G681">
        <v>150</v>
      </c>
      <c r="H681" t="s">
        <v>1482</v>
      </c>
      <c r="K681" s="5">
        <v>150</v>
      </c>
      <c r="L681" s="6" t="s">
        <v>1482</v>
      </c>
    </row>
    <row r="682" spans="1:12">
      <c r="A682" t="s">
        <v>28</v>
      </c>
      <c r="B682" t="s">
        <v>1486</v>
      </c>
      <c r="C682" t="s">
        <v>1485</v>
      </c>
      <c r="G682">
        <v>150</v>
      </c>
      <c r="H682" t="s">
        <v>1482</v>
      </c>
      <c r="K682" s="5">
        <v>150</v>
      </c>
      <c r="L682" s="6" t="s">
        <v>1482</v>
      </c>
    </row>
    <row r="683" spans="1:12">
      <c r="A683" t="s">
        <v>28</v>
      </c>
      <c r="B683" t="s">
        <v>1483</v>
      </c>
      <c r="C683" t="s">
        <v>1484</v>
      </c>
      <c r="G683">
        <v>200</v>
      </c>
      <c r="H683" t="s">
        <v>1482</v>
      </c>
      <c r="K683" s="5">
        <v>200</v>
      </c>
      <c r="L683" s="6" t="s">
        <v>1482</v>
      </c>
    </row>
    <row r="684" spans="1:12">
      <c r="A684" t="s">
        <v>27</v>
      </c>
      <c r="B684" t="s">
        <v>1481</v>
      </c>
      <c r="G684">
        <v>50</v>
      </c>
      <c r="H684" t="s">
        <v>1482</v>
      </c>
      <c r="K684" s="5">
        <v>50</v>
      </c>
      <c r="L684" s="6" t="s">
        <v>1482</v>
      </c>
    </row>
    <row r="685" spans="1:12">
      <c r="A685" t="s">
        <v>28</v>
      </c>
      <c r="B685" t="s">
        <v>1486</v>
      </c>
      <c r="G685">
        <v>200</v>
      </c>
      <c r="H685" t="s">
        <v>1482</v>
      </c>
      <c r="K685" s="5">
        <v>200</v>
      </c>
      <c r="L685" s="6" t="s">
        <v>1482</v>
      </c>
    </row>
    <row r="686" spans="1:12">
      <c r="A686" t="s">
        <v>150</v>
      </c>
      <c r="G686">
        <v>50</v>
      </c>
      <c r="H686" t="s">
        <v>1482</v>
      </c>
      <c r="K686" s="5">
        <v>50</v>
      </c>
      <c r="L686" s="6" t="s">
        <v>1482</v>
      </c>
    </row>
    <row r="687" spans="1:12">
      <c r="A687" t="s">
        <v>28</v>
      </c>
      <c r="G687">
        <v>50</v>
      </c>
      <c r="H687" t="s">
        <v>1482</v>
      </c>
      <c r="K687" s="5">
        <v>50</v>
      </c>
      <c r="L687" s="6" t="s">
        <v>1482</v>
      </c>
    </row>
    <row r="688" spans="1:12">
      <c r="A688" t="s">
        <v>27</v>
      </c>
      <c r="G688">
        <v>50</v>
      </c>
      <c r="H688" t="s">
        <v>1482</v>
      </c>
      <c r="K688" s="5">
        <v>50</v>
      </c>
      <c r="L688" s="6" t="s">
        <v>1482</v>
      </c>
    </row>
    <row r="689" spans="1:12">
      <c r="A689" t="s">
        <v>28</v>
      </c>
      <c r="B689" t="s">
        <v>1485</v>
      </c>
      <c r="C689" t="s">
        <v>1486</v>
      </c>
      <c r="G689">
        <v>50</v>
      </c>
      <c r="H689" t="s">
        <v>1482</v>
      </c>
      <c r="K689" s="5">
        <v>50</v>
      </c>
      <c r="L689" s="6" t="s">
        <v>1482</v>
      </c>
    </row>
    <row r="690" spans="1:12">
      <c r="A690" t="s">
        <v>25</v>
      </c>
      <c r="G690">
        <v>200</v>
      </c>
      <c r="H690" t="s">
        <v>1482</v>
      </c>
      <c r="K690" s="5">
        <v>200</v>
      </c>
      <c r="L690" s="6" t="s">
        <v>1482</v>
      </c>
    </row>
    <row r="691" spans="1:12">
      <c r="A691" t="s">
        <v>26</v>
      </c>
      <c r="B691" t="s">
        <v>1484</v>
      </c>
      <c r="C691" t="s">
        <v>1485</v>
      </c>
      <c r="G691">
        <v>200</v>
      </c>
      <c r="H691" t="s">
        <v>1482</v>
      </c>
      <c r="K691" s="5">
        <v>200</v>
      </c>
      <c r="L691" s="6" t="s">
        <v>1482</v>
      </c>
    </row>
    <row r="692" spans="1:12">
      <c r="A692" t="s">
        <v>26</v>
      </c>
      <c r="B692" t="s">
        <v>1481</v>
      </c>
      <c r="C692" t="s">
        <v>1484</v>
      </c>
      <c r="G692">
        <v>50</v>
      </c>
      <c r="H692" t="s">
        <v>1482</v>
      </c>
      <c r="K692" s="5">
        <v>50</v>
      </c>
      <c r="L692" s="6" t="s">
        <v>1482</v>
      </c>
    </row>
    <row r="693" spans="1:12">
      <c r="A693" t="s">
        <v>26</v>
      </c>
      <c r="B693" t="s">
        <v>1486</v>
      </c>
      <c r="G693">
        <v>200</v>
      </c>
      <c r="H693" t="s">
        <v>1482</v>
      </c>
      <c r="K693" s="5">
        <v>200</v>
      </c>
      <c r="L693" s="6" t="s">
        <v>1482</v>
      </c>
    </row>
    <row r="694" spans="1:12">
      <c r="A694" t="s">
        <v>26</v>
      </c>
      <c r="B694" t="s">
        <v>1485</v>
      </c>
      <c r="G694">
        <v>150</v>
      </c>
      <c r="H694" t="s">
        <v>1482</v>
      </c>
      <c r="K694" s="5">
        <v>150</v>
      </c>
      <c r="L694" s="6" t="s">
        <v>1482</v>
      </c>
    </row>
    <row r="695" spans="1:12">
      <c r="A695" t="s">
        <v>26</v>
      </c>
      <c r="G695">
        <v>100</v>
      </c>
      <c r="H695" t="s">
        <v>1482</v>
      </c>
      <c r="K695" s="5">
        <v>100</v>
      </c>
      <c r="L695" s="6" t="s">
        <v>1482</v>
      </c>
    </row>
    <row r="696" spans="1:12">
      <c r="A696" t="s">
        <v>150</v>
      </c>
      <c r="B696" t="s">
        <v>1483</v>
      </c>
      <c r="G696">
        <v>100</v>
      </c>
      <c r="H696" t="s">
        <v>1482</v>
      </c>
      <c r="K696" s="5">
        <v>100</v>
      </c>
      <c r="L696" s="6" t="s">
        <v>1482</v>
      </c>
    </row>
    <row r="697" spans="1:12">
      <c r="A697" t="s">
        <v>150</v>
      </c>
      <c r="B697" t="s">
        <v>1485</v>
      </c>
      <c r="C697" t="s">
        <v>1483</v>
      </c>
      <c r="G697">
        <v>50</v>
      </c>
      <c r="H697" t="s">
        <v>1482</v>
      </c>
      <c r="K697" s="5">
        <v>50</v>
      </c>
      <c r="L697" s="6" t="s">
        <v>1482</v>
      </c>
    </row>
    <row r="698" spans="1:12">
      <c r="A698" t="s">
        <v>26</v>
      </c>
      <c r="B698" t="s">
        <v>1485</v>
      </c>
      <c r="G698">
        <v>150</v>
      </c>
      <c r="H698" t="s">
        <v>1482</v>
      </c>
      <c r="K698" s="5">
        <v>150</v>
      </c>
      <c r="L698" s="6" t="s">
        <v>1482</v>
      </c>
    </row>
    <row r="699" spans="1:12">
      <c r="A699" t="s">
        <v>28</v>
      </c>
      <c r="B699" t="s">
        <v>1486</v>
      </c>
      <c r="G699">
        <v>100</v>
      </c>
      <c r="H699" t="s">
        <v>1482</v>
      </c>
      <c r="K699" s="5">
        <v>100</v>
      </c>
      <c r="L699" s="6" t="s">
        <v>1482</v>
      </c>
    </row>
    <row r="700" spans="1:12">
      <c r="A700" t="s">
        <v>27</v>
      </c>
      <c r="G700">
        <v>100</v>
      </c>
      <c r="H700" t="s">
        <v>1482</v>
      </c>
      <c r="K700" s="5">
        <v>100</v>
      </c>
      <c r="L700" s="6" t="s">
        <v>1482</v>
      </c>
    </row>
    <row r="701" spans="1:12">
      <c r="A701" t="s">
        <v>26</v>
      </c>
      <c r="B701" t="s">
        <v>1481</v>
      </c>
      <c r="C701" t="s">
        <v>1484</v>
      </c>
      <c r="G701">
        <v>200</v>
      </c>
      <c r="H701" t="s">
        <v>1482</v>
      </c>
      <c r="K701" s="5">
        <v>200</v>
      </c>
      <c r="L701" s="6" t="s">
        <v>1482</v>
      </c>
    </row>
    <row r="702" spans="1:12">
      <c r="A702" t="s">
        <v>25</v>
      </c>
      <c r="G702">
        <v>200</v>
      </c>
      <c r="H702" t="s">
        <v>1482</v>
      </c>
      <c r="K702" s="5">
        <v>200</v>
      </c>
      <c r="L702" s="6" t="s">
        <v>1482</v>
      </c>
    </row>
    <row r="703" spans="1:12">
      <c r="A703" t="s">
        <v>26</v>
      </c>
      <c r="G703">
        <v>50</v>
      </c>
      <c r="H703" t="s">
        <v>1482</v>
      </c>
      <c r="K703" s="5">
        <v>50</v>
      </c>
      <c r="L703" s="6" t="s">
        <v>1482</v>
      </c>
    </row>
    <row r="704" spans="1:12">
      <c r="A704" t="s">
        <v>27</v>
      </c>
      <c r="B704" t="s">
        <v>1483</v>
      </c>
      <c r="G704">
        <v>100</v>
      </c>
      <c r="H704" t="s">
        <v>1482</v>
      </c>
      <c r="K704" s="5">
        <v>100</v>
      </c>
      <c r="L704" s="6" t="s">
        <v>1482</v>
      </c>
    </row>
    <row r="705" spans="1:12">
      <c r="A705" t="s">
        <v>27</v>
      </c>
      <c r="B705" t="s">
        <v>1486</v>
      </c>
      <c r="C705" t="s">
        <v>1484</v>
      </c>
      <c r="G705">
        <v>50</v>
      </c>
      <c r="H705" t="s">
        <v>1482</v>
      </c>
      <c r="K705" s="5">
        <v>50</v>
      </c>
      <c r="L705" s="6" t="s">
        <v>1482</v>
      </c>
    </row>
    <row r="706" spans="1:12">
      <c r="A706" t="s">
        <v>150</v>
      </c>
      <c r="B706" t="s">
        <v>1486</v>
      </c>
      <c r="G706">
        <v>50</v>
      </c>
      <c r="H706" t="s">
        <v>1482</v>
      </c>
      <c r="K706" s="5">
        <v>50</v>
      </c>
      <c r="L706" s="6" t="s">
        <v>1482</v>
      </c>
    </row>
    <row r="707" spans="1:12">
      <c r="A707" t="s">
        <v>150</v>
      </c>
      <c r="B707" t="s">
        <v>1485</v>
      </c>
      <c r="C707" t="s">
        <v>1481</v>
      </c>
      <c r="G707">
        <v>50</v>
      </c>
      <c r="H707" t="s">
        <v>1482</v>
      </c>
      <c r="K707" s="5">
        <v>50</v>
      </c>
      <c r="L707" s="6" t="s">
        <v>1482</v>
      </c>
    </row>
    <row r="708" spans="1:12">
      <c r="A708" t="s">
        <v>150</v>
      </c>
      <c r="B708" t="s">
        <v>1481</v>
      </c>
      <c r="C708" t="s">
        <v>1486</v>
      </c>
      <c r="G708">
        <v>200</v>
      </c>
      <c r="H708" t="s">
        <v>1482</v>
      </c>
      <c r="K708" s="5">
        <v>200</v>
      </c>
      <c r="L708" s="6" t="s">
        <v>1482</v>
      </c>
    </row>
    <row r="709" spans="1:12">
      <c r="A709" t="s">
        <v>27</v>
      </c>
      <c r="B709" t="s">
        <v>1481</v>
      </c>
      <c r="G709">
        <v>200</v>
      </c>
      <c r="H709" t="s">
        <v>1482</v>
      </c>
      <c r="K709" s="5">
        <v>200</v>
      </c>
      <c r="L709" s="6" t="s">
        <v>1482</v>
      </c>
    </row>
    <row r="710" spans="1:12">
      <c r="A710" t="s">
        <v>27</v>
      </c>
      <c r="G710">
        <v>150</v>
      </c>
      <c r="H710" t="s">
        <v>1482</v>
      </c>
      <c r="K710" s="5">
        <v>150</v>
      </c>
      <c r="L710" s="6" t="s">
        <v>1482</v>
      </c>
    </row>
    <row r="711" spans="1:12">
      <c r="A711" t="s">
        <v>28</v>
      </c>
      <c r="B711" t="s">
        <v>1484</v>
      </c>
      <c r="C711" t="s">
        <v>1483</v>
      </c>
      <c r="G711">
        <v>150</v>
      </c>
      <c r="H711" t="s">
        <v>1482</v>
      </c>
      <c r="K711" s="5">
        <v>150</v>
      </c>
      <c r="L711" s="6" t="s">
        <v>1482</v>
      </c>
    </row>
    <row r="712" spans="1:12">
      <c r="A712" t="s">
        <v>28</v>
      </c>
      <c r="G712">
        <v>100</v>
      </c>
      <c r="H712" t="s">
        <v>1482</v>
      </c>
      <c r="K712" s="5">
        <v>100</v>
      </c>
      <c r="L712" s="6" t="s">
        <v>1482</v>
      </c>
    </row>
    <row r="713" spans="1:12">
      <c r="A713" t="s">
        <v>26</v>
      </c>
      <c r="B713" t="s">
        <v>1481</v>
      </c>
      <c r="G713">
        <v>100</v>
      </c>
      <c r="H713" t="s">
        <v>1482</v>
      </c>
      <c r="K713" s="5">
        <v>100</v>
      </c>
      <c r="L713" s="6" t="s">
        <v>1482</v>
      </c>
    </row>
    <row r="714" spans="1:12">
      <c r="A714" t="s">
        <v>25</v>
      </c>
      <c r="B714" t="s">
        <v>1485</v>
      </c>
      <c r="G714">
        <v>100</v>
      </c>
      <c r="H714" t="s">
        <v>1482</v>
      </c>
      <c r="K714" s="5">
        <v>100</v>
      </c>
      <c r="L714" s="6" t="s">
        <v>1482</v>
      </c>
    </row>
    <row r="715" spans="1:12">
      <c r="A715" t="s">
        <v>25</v>
      </c>
      <c r="B715" t="s">
        <v>1483</v>
      </c>
      <c r="G715">
        <v>150</v>
      </c>
      <c r="H715" t="s">
        <v>1482</v>
      </c>
      <c r="K715" s="5">
        <v>150</v>
      </c>
      <c r="L715" s="6" t="s">
        <v>1482</v>
      </c>
    </row>
    <row r="716" spans="1:12">
      <c r="A716" t="s">
        <v>150</v>
      </c>
      <c r="B716" t="s">
        <v>1483</v>
      </c>
      <c r="G716">
        <v>100</v>
      </c>
      <c r="H716" t="s">
        <v>1482</v>
      </c>
      <c r="K716" s="5">
        <v>100</v>
      </c>
      <c r="L716" s="6" t="s">
        <v>1482</v>
      </c>
    </row>
    <row r="717" spans="1:12">
      <c r="A717" t="s">
        <v>26</v>
      </c>
      <c r="B717" t="s">
        <v>1486</v>
      </c>
      <c r="G717">
        <v>50</v>
      </c>
      <c r="H717" t="s">
        <v>1482</v>
      </c>
      <c r="K717" s="5">
        <v>50</v>
      </c>
      <c r="L717" s="6" t="s">
        <v>1482</v>
      </c>
    </row>
    <row r="718" spans="1:12">
      <c r="A718" t="s">
        <v>28</v>
      </c>
      <c r="G718">
        <v>150</v>
      </c>
      <c r="H718" t="s">
        <v>1482</v>
      </c>
      <c r="K718" s="5">
        <v>150</v>
      </c>
      <c r="L718" s="6" t="s">
        <v>1482</v>
      </c>
    </row>
    <row r="719" spans="1:12">
      <c r="A719" t="s">
        <v>28</v>
      </c>
      <c r="B719" t="s">
        <v>1484</v>
      </c>
      <c r="C719" t="s">
        <v>1483</v>
      </c>
      <c r="G719">
        <v>50</v>
      </c>
      <c r="H719" t="s">
        <v>1482</v>
      </c>
      <c r="K719" s="5">
        <v>50</v>
      </c>
      <c r="L719" s="6" t="s">
        <v>1482</v>
      </c>
    </row>
    <row r="720" spans="1:12">
      <c r="A720" t="s">
        <v>25</v>
      </c>
      <c r="B720" t="s">
        <v>1484</v>
      </c>
      <c r="G720">
        <v>200</v>
      </c>
      <c r="H720" t="s">
        <v>1482</v>
      </c>
      <c r="K720" s="5">
        <v>200</v>
      </c>
      <c r="L720" s="6" t="s">
        <v>1482</v>
      </c>
    </row>
    <row r="721" spans="1:12">
      <c r="A721" t="s">
        <v>26</v>
      </c>
      <c r="B721" t="s">
        <v>1486</v>
      </c>
      <c r="G721">
        <v>100</v>
      </c>
      <c r="H721" t="s">
        <v>1482</v>
      </c>
      <c r="K721" s="5">
        <v>100</v>
      </c>
      <c r="L721" s="6" t="s">
        <v>1482</v>
      </c>
    </row>
    <row r="722" spans="1:12">
      <c r="A722" t="s">
        <v>28</v>
      </c>
      <c r="B722" t="s">
        <v>1484</v>
      </c>
      <c r="C722" t="s">
        <v>1485</v>
      </c>
      <c r="G722">
        <v>200</v>
      </c>
      <c r="H722" t="s">
        <v>1482</v>
      </c>
      <c r="K722" s="5">
        <v>200</v>
      </c>
      <c r="L722" s="6" t="s">
        <v>1482</v>
      </c>
    </row>
    <row r="723" spans="1:12">
      <c r="A723" t="s">
        <v>27</v>
      </c>
      <c r="B723" t="s">
        <v>1486</v>
      </c>
      <c r="G723">
        <v>100</v>
      </c>
      <c r="H723" t="s">
        <v>1482</v>
      </c>
      <c r="K723" s="5">
        <v>100</v>
      </c>
      <c r="L723" s="6" t="s">
        <v>1482</v>
      </c>
    </row>
    <row r="724" spans="1:12">
      <c r="A724" t="s">
        <v>25</v>
      </c>
      <c r="B724" t="s">
        <v>1481</v>
      </c>
      <c r="G724">
        <v>100</v>
      </c>
      <c r="H724" t="s">
        <v>1482</v>
      </c>
      <c r="K724" s="5">
        <v>100</v>
      </c>
      <c r="L724" s="6" t="s">
        <v>1482</v>
      </c>
    </row>
    <row r="725" spans="1:12">
      <c r="A725" t="s">
        <v>150</v>
      </c>
      <c r="G725">
        <v>200</v>
      </c>
      <c r="H725" t="s">
        <v>1482</v>
      </c>
      <c r="K725" s="5">
        <v>200</v>
      </c>
      <c r="L725" s="6" t="s">
        <v>1482</v>
      </c>
    </row>
    <row r="726" spans="1:12">
      <c r="A726" t="s">
        <v>28</v>
      </c>
      <c r="B726" t="s">
        <v>1484</v>
      </c>
      <c r="C726" t="s">
        <v>1485</v>
      </c>
      <c r="G726">
        <v>50</v>
      </c>
      <c r="H726" t="s">
        <v>1482</v>
      </c>
      <c r="K726" s="5">
        <v>50</v>
      </c>
      <c r="L726" s="6" t="s">
        <v>1482</v>
      </c>
    </row>
    <row r="727" spans="1:12">
      <c r="A727" t="s">
        <v>25</v>
      </c>
      <c r="B727" t="s">
        <v>1485</v>
      </c>
      <c r="C727" t="s">
        <v>1481</v>
      </c>
      <c r="G727">
        <v>150</v>
      </c>
      <c r="H727" t="s">
        <v>1482</v>
      </c>
      <c r="K727" s="5">
        <v>150</v>
      </c>
      <c r="L727" s="6" t="s">
        <v>1482</v>
      </c>
    </row>
    <row r="728" spans="1:12">
      <c r="A728" t="s">
        <v>26</v>
      </c>
      <c r="B728" t="s">
        <v>1485</v>
      </c>
      <c r="G728">
        <v>100</v>
      </c>
      <c r="H728" t="s">
        <v>1482</v>
      </c>
      <c r="K728" s="5">
        <v>100</v>
      </c>
      <c r="L728" s="6" t="s">
        <v>1482</v>
      </c>
    </row>
    <row r="729" spans="1:12">
      <c r="A729" t="s">
        <v>25</v>
      </c>
      <c r="B729" t="s">
        <v>1483</v>
      </c>
      <c r="C729" t="s">
        <v>1485</v>
      </c>
      <c r="G729">
        <v>100</v>
      </c>
      <c r="H729" t="s">
        <v>1482</v>
      </c>
      <c r="K729" s="5">
        <v>100</v>
      </c>
      <c r="L729" s="6" t="s">
        <v>1482</v>
      </c>
    </row>
    <row r="730" spans="1:12">
      <c r="A730" t="s">
        <v>25</v>
      </c>
      <c r="B730" t="s">
        <v>1484</v>
      </c>
      <c r="G730">
        <v>100</v>
      </c>
      <c r="H730" t="s">
        <v>1482</v>
      </c>
      <c r="K730" s="5">
        <v>100</v>
      </c>
      <c r="L730" s="6" t="s">
        <v>1482</v>
      </c>
    </row>
    <row r="731" spans="1:12">
      <c r="A731" t="s">
        <v>25</v>
      </c>
      <c r="G731">
        <v>100</v>
      </c>
      <c r="H731" t="s">
        <v>1482</v>
      </c>
      <c r="K731" s="5">
        <v>100</v>
      </c>
      <c r="L731" s="6" t="s">
        <v>1482</v>
      </c>
    </row>
    <row r="732" spans="1:12">
      <c r="A732" t="s">
        <v>28</v>
      </c>
      <c r="G732">
        <v>100</v>
      </c>
      <c r="H732" t="s">
        <v>1482</v>
      </c>
      <c r="K732" s="5">
        <v>100</v>
      </c>
      <c r="L732" s="6" t="s">
        <v>1482</v>
      </c>
    </row>
    <row r="733" spans="1:12">
      <c r="A733" t="s">
        <v>150</v>
      </c>
      <c r="B733" t="s">
        <v>1481</v>
      </c>
      <c r="C733" t="s">
        <v>1483</v>
      </c>
      <c r="G733">
        <v>50</v>
      </c>
      <c r="H733" t="s">
        <v>1482</v>
      </c>
      <c r="K733" s="5">
        <v>50</v>
      </c>
      <c r="L733" s="6" t="s">
        <v>1482</v>
      </c>
    </row>
    <row r="734" spans="1:12">
      <c r="A734" t="s">
        <v>28</v>
      </c>
      <c r="B734" t="s">
        <v>1485</v>
      </c>
      <c r="G734">
        <v>150</v>
      </c>
      <c r="H734" t="s">
        <v>1482</v>
      </c>
      <c r="K734" s="5">
        <v>150</v>
      </c>
      <c r="L734" s="6" t="s">
        <v>1482</v>
      </c>
    </row>
    <row r="735" spans="1:12">
      <c r="A735" t="s">
        <v>27</v>
      </c>
      <c r="B735" t="s">
        <v>1486</v>
      </c>
      <c r="C735" t="s">
        <v>1483</v>
      </c>
      <c r="G735">
        <v>50</v>
      </c>
      <c r="H735" t="s">
        <v>1482</v>
      </c>
      <c r="K735" s="5">
        <v>50</v>
      </c>
      <c r="L735" s="6" t="s">
        <v>1482</v>
      </c>
    </row>
    <row r="736" spans="1:12">
      <c r="A736" t="s">
        <v>26</v>
      </c>
      <c r="B736" t="s">
        <v>1486</v>
      </c>
      <c r="C736" t="s">
        <v>1485</v>
      </c>
      <c r="G736">
        <v>150</v>
      </c>
      <c r="H736" t="s">
        <v>1482</v>
      </c>
      <c r="K736" s="5">
        <v>150</v>
      </c>
      <c r="L736" s="6" t="s">
        <v>1482</v>
      </c>
    </row>
    <row r="737" spans="1:12">
      <c r="A737" t="s">
        <v>27</v>
      </c>
      <c r="G737">
        <v>150</v>
      </c>
      <c r="H737" t="s">
        <v>1482</v>
      </c>
      <c r="K737" s="5">
        <v>150</v>
      </c>
      <c r="L737" s="6" t="s">
        <v>1482</v>
      </c>
    </row>
    <row r="738" spans="1:12">
      <c r="A738" t="s">
        <v>150</v>
      </c>
      <c r="B738" t="s">
        <v>1481</v>
      </c>
      <c r="C738" t="s">
        <v>1485</v>
      </c>
      <c r="G738">
        <v>100</v>
      </c>
      <c r="H738" t="s">
        <v>1482</v>
      </c>
      <c r="K738" s="5">
        <v>100</v>
      </c>
      <c r="L738" s="6" t="s">
        <v>1482</v>
      </c>
    </row>
    <row r="739" spans="1:12">
      <c r="A739" t="s">
        <v>25</v>
      </c>
      <c r="B739" t="s">
        <v>1483</v>
      </c>
      <c r="C739" t="s">
        <v>1481</v>
      </c>
      <c r="G739">
        <v>200</v>
      </c>
      <c r="H739" t="s">
        <v>1482</v>
      </c>
      <c r="K739" s="5">
        <v>200</v>
      </c>
      <c r="L739" s="6" t="s">
        <v>1482</v>
      </c>
    </row>
    <row r="740" spans="1:12">
      <c r="A740" t="s">
        <v>27</v>
      </c>
      <c r="G740">
        <v>200</v>
      </c>
      <c r="H740" t="s">
        <v>1482</v>
      </c>
      <c r="K740" s="5">
        <v>200</v>
      </c>
      <c r="L740" s="6" t="s">
        <v>1482</v>
      </c>
    </row>
    <row r="741" spans="1:12">
      <c r="A741" t="s">
        <v>28</v>
      </c>
      <c r="B741" t="s">
        <v>1485</v>
      </c>
      <c r="C741" t="s">
        <v>1483</v>
      </c>
      <c r="G741">
        <v>200</v>
      </c>
      <c r="H741" t="s">
        <v>1482</v>
      </c>
      <c r="K741" s="5">
        <v>200</v>
      </c>
      <c r="L741" s="6" t="s">
        <v>1482</v>
      </c>
    </row>
    <row r="742" spans="1:12">
      <c r="A742" t="s">
        <v>150</v>
      </c>
      <c r="B742" t="s">
        <v>1481</v>
      </c>
      <c r="C742" t="s">
        <v>1483</v>
      </c>
      <c r="G742">
        <v>200</v>
      </c>
      <c r="H742" t="s">
        <v>1482</v>
      </c>
      <c r="K742" s="5">
        <v>200</v>
      </c>
      <c r="L742" s="6" t="s">
        <v>1482</v>
      </c>
    </row>
    <row r="743" spans="1:12">
      <c r="A743" t="s">
        <v>27</v>
      </c>
      <c r="G743">
        <v>150</v>
      </c>
      <c r="H743" t="s">
        <v>1482</v>
      </c>
      <c r="K743" s="5">
        <v>150</v>
      </c>
      <c r="L743" s="6" t="s">
        <v>1482</v>
      </c>
    </row>
    <row r="744" spans="1:12">
      <c r="A744" t="s">
        <v>26</v>
      </c>
      <c r="B744" t="s">
        <v>1484</v>
      </c>
      <c r="C744" t="s">
        <v>1485</v>
      </c>
      <c r="G744">
        <v>150</v>
      </c>
      <c r="H744" t="s">
        <v>1482</v>
      </c>
      <c r="K744" s="5">
        <v>150</v>
      </c>
      <c r="L744" s="6" t="s">
        <v>1482</v>
      </c>
    </row>
    <row r="745" spans="1:12">
      <c r="A745" t="s">
        <v>27</v>
      </c>
      <c r="B745" t="s">
        <v>1486</v>
      </c>
      <c r="C745" t="s">
        <v>1483</v>
      </c>
      <c r="G745">
        <v>100</v>
      </c>
      <c r="H745" t="s">
        <v>1482</v>
      </c>
      <c r="K745" s="5">
        <v>100</v>
      </c>
      <c r="L745" s="6" t="s">
        <v>1482</v>
      </c>
    </row>
    <row r="746" spans="1:12">
      <c r="A746" t="s">
        <v>27</v>
      </c>
      <c r="B746" t="s">
        <v>1483</v>
      </c>
      <c r="C746" t="s">
        <v>1481</v>
      </c>
      <c r="G746">
        <v>200</v>
      </c>
      <c r="H746" t="s">
        <v>1482</v>
      </c>
      <c r="K746" s="5">
        <v>200</v>
      </c>
      <c r="L746" s="6" t="s">
        <v>1482</v>
      </c>
    </row>
    <row r="747" spans="1:12">
      <c r="A747" t="s">
        <v>25</v>
      </c>
      <c r="B747" t="s">
        <v>1484</v>
      </c>
      <c r="G747">
        <v>200</v>
      </c>
      <c r="H747" t="s">
        <v>1482</v>
      </c>
      <c r="K747" s="5">
        <v>200</v>
      </c>
      <c r="L747" s="6" t="s">
        <v>1482</v>
      </c>
    </row>
    <row r="748" spans="1:12">
      <c r="A748" t="s">
        <v>27</v>
      </c>
      <c r="B748" t="s">
        <v>1483</v>
      </c>
      <c r="C748" t="s">
        <v>1481</v>
      </c>
      <c r="G748">
        <v>200</v>
      </c>
      <c r="H748" t="s">
        <v>1482</v>
      </c>
      <c r="K748" s="5">
        <v>200</v>
      </c>
      <c r="L748" s="6" t="s">
        <v>1482</v>
      </c>
    </row>
    <row r="749" spans="1:12">
      <c r="A749" t="s">
        <v>25</v>
      </c>
      <c r="G749">
        <v>150</v>
      </c>
      <c r="H749" t="s">
        <v>1482</v>
      </c>
      <c r="K749" s="5">
        <v>150</v>
      </c>
      <c r="L749" s="6" t="s">
        <v>1482</v>
      </c>
    </row>
    <row r="750" spans="1:12">
      <c r="A750" t="s">
        <v>26</v>
      </c>
      <c r="G750">
        <v>150</v>
      </c>
      <c r="H750" t="s">
        <v>1482</v>
      </c>
      <c r="K750" s="5">
        <v>150</v>
      </c>
      <c r="L750" s="6" t="s">
        <v>1482</v>
      </c>
    </row>
    <row r="751" spans="1:12">
      <c r="A751" t="s">
        <v>26</v>
      </c>
      <c r="B751" t="s">
        <v>1481</v>
      </c>
      <c r="G751">
        <v>150</v>
      </c>
      <c r="H751" t="s">
        <v>1482</v>
      </c>
      <c r="K751" s="5">
        <v>150</v>
      </c>
      <c r="L751" s="6" t="s">
        <v>1482</v>
      </c>
    </row>
    <row r="752" spans="1:12">
      <c r="A752" t="s">
        <v>150</v>
      </c>
      <c r="B752" t="s">
        <v>1481</v>
      </c>
      <c r="G752">
        <v>100</v>
      </c>
      <c r="H752" t="s">
        <v>1482</v>
      </c>
      <c r="K752" s="5">
        <v>100</v>
      </c>
      <c r="L752" s="6" t="s">
        <v>1482</v>
      </c>
    </row>
    <row r="753" spans="1:12">
      <c r="A753" t="s">
        <v>25</v>
      </c>
      <c r="G753">
        <v>50</v>
      </c>
      <c r="H753" t="s">
        <v>1482</v>
      </c>
      <c r="K753" s="5">
        <v>50</v>
      </c>
      <c r="L753" s="6" t="s">
        <v>1482</v>
      </c>
    </row>
    <row r="754" spans="1:12">
      <c r="A754" t="s">
        <v>150</v>
      </c>
      <c r="G754">
        <v>200</v>
      </c>
      <c r="H754" t="s">
        <v>1482</v>
      </c>
      <c r="K754" s="5">
        <v>200</v>
      </c>
      <c r="L754" s="6" t="s">
        <v>1482</v>
      </c>
    </row>
    <row r="755" spans="1:12">
      <c r="A755" t="s">
        <v>27</v>
      </c>
      <c r="B755" t="s">
        <v>1484</v>
      </c>
      <c r="C755" t="s">
        <v>1483</v>
      </c>
      <c r="G755">
        <v>200</v>
      </c>
      <c r="H755" t="s">
        <v>1482</v>
      </c>
      <c r="K755" s="5">
        <v>200</v>
      </c>
      <c r="L755" s="6" t="s">
        <v>1482</v>
      </c>
    </row>
    <row r="756" spans="1:12">
      <c r="A756" t="s">
        <v>27</v>
      </c>
      <c r="G756">
        <v>50</v>
      </c>
      <c r="H756" t="s">
        <v>1482</v>
      </c>
      <c r="K756" s="5">
        <v>50</v>
      </c>
      <c r="L756" s="6" t="s">
        <v>1482</v>
      </c>
    </row>
    <row r="757" spans="1:12">
      <c r="A757" t="s">
        <v>28</v>
      </c>
      <c r="B757" t="s">
        <v>1483</v>
      </c>
      <c r="G757">
        <v>150</v>
      </c>
      <c r="H757" t="s">
        <v>1482</v>
      </c>
      <c r="K757" s="5">
        <v>150</v>
      </c>
      <c r="L757" s="6" t="s">
        <v>1482</v>
      </c>
    </row>
    <row r="758" spans="1:12">
      <c r="A758" t="s">
        <v>26</v>
      </c>
      <c r="B758" t="s">
        <v>1485</v>
      </c>
      <c r="G758">
        <v>100</v>
      </c>
      <c r="H758" t="s">
        <v>1482</v>
      </c>
      <c r="K758" s="5">
        <v>100</v>
      </c>
      <c r="L758" s="6" t="s">
        <v>1482</v>
      </c>
    </row>
    <row r="759" spans="1:12">
      <c r="A759" t="s">
        <v>25</v>
      </c>
      <c r="B759" t="s">
        <v>1481</v>
      </c>
      <c r="C759" t="s">
        <v>1484</v>
      </c>
      <c r="G759">
        <v>100</v>
      </c>
      <c r="H759" t="s">
        <v>1482</v>
      </c>
      <c r="K759" s="5">
        <v>100</v>
      </c>
      <c r="L759" s="6" t="s">
        <v>1482</v>
      </c>
    </row>
    <row r="760" spans="1:12">
      <c r="A760" t="s">
        <v>25</v>
      </c>
      <c r="B760" t="s">
        <v>1485</v>
      </c>
      <c r="C760" t="s">
        <v>1483</v>
      </c>
      <c r="G760">
        <v>100</v>
      </c>
      <c r="H760" t="s">
        <v>1482</v>
      </c>
      <c r="K760" s="5">
        <v>100</v>
      </c>
      <c r="L760" s="6" t="s">
        <v>1482</v>
      </c>
    </row>
    <row r="761" spans="1:12">
      <c r="A761" t="s">
        <v>26</v>
      </c>
      <c r="B761" t="s">
        <v>1481</v>
      </c>
      <c r="G761">
        <v>50</v>
      </c>
      <c r="H761" t="s">
        <v>1482</v>
      </c>
      <c r="K761" s="5">
        <v>50</v>
      </c>
      <c r="L761" s="6" t="s">
        <v>1482</v>
      </c>
    </row>
    <row r="762" spans="1:12">
      <c r="A762" t="s">
        <v>27</v>
      </c>
      <c r="G762">
        <v>100</v>
      </c>
      <c r="H762" t="s">
        <v>1482</v>
      </c>
      <c r="K762" s="5">
        <v>100</v>
      </c>
      <c r="L762" s="6" t="s">
        <v>1482</v>
      </c>
    </row>
    <row r="763" spans="1:12">
      <c r="A763" t="s">
        <v>25</v>
      </c>
      <c r="B763" t="s">
        <v>1481</v>
      </c>
      <c r="C763" t="s">
        <v>1484</v>
      </c>
      <c r="G763">
        <v>150</v>
      </c>
      <c r="H763" t="s">
        <v>1482</v>
      </c>
      <c r="K763" s="5">
        <v>150</v>
      </c>
      <c r="L763" s="6" t="s">
        <v>1482</v>
      </c>
    </row>
    <row r="764" spans="1:12">
      <c r="A764" t="s">
        <v>27</v>
      </c>
      <c r="B764" t="s">
        <v>1486</v>
      </c>
      <c r="G764">
        <v>50</v>
      </c>
      <c r="H764" t="s">
        <v>1482</v>
      </c>
      <c r="K764" s="5">
        <v>50</v>
      </c>
      <c r="L764" s="6" t="s">
        <v>1482</v>
      </c>
    </row>
    <row r="765" spans="1:12">
      <c r="A765" t="s">
        <v>26</v>
      </c>
      <c r="G765">
        <v>200</v>
      </c>
      <c r="H765" t="s">
        <v>1482</v>
      </c>
      <c r="K765" s="5">
        <v>200</v>
      </c>
      <c r="L765" s="6" t="s">
        <v>1482</v>
      </c>
    </row>
    <row r="766" spans="1:12">
      <c r="A766" t="s">
        <v>25</v>
      </c>
      <c r="B766" t="s">
        <v>1483</v>
      </c>
      <c r="C766" t="s">
        <v>1481</v>
      </c>
      <c r="G766">
        <v>100</v>
      </c>
      <c r="H766" t="s">
        <v>1482</v>
      </c>
      <c r="K766" s="5">
        <v>100</v>
      </c>
      <c r="L766" s="6" t="s">
        <v>1482</v>
      </c>
    </row>
    <row r="767" spans="1:12">
      <c r="A767" t="s">
        <v>26</v>
      </c>
      <c r="B767" t="s">
        <v>1484</v>
      </c>
      <c r="G767">
        <v>200</v>
      </c>
      <c r="H767" t="s">
        <v>1482</v>
      </c>
      <c r="K767" s="5">
        <v>200</v>
      </c>
      <c r="L767" s="6" t="s">
        <v>1482</v>
      </c>
    </row>
    <row r="768" spans="1:12">
      <c r="A768" t="s">
        <v>150</v>
      </c>
      <c r="G768">
        <v>200</v>
      </c>
      <c r="H768" t="s">
        <v>1482</v>
      </c>
      <c r="K768" s="5">
        <v>200</v>
      </c>
      <c r="L768" s="6" t="s">
        <v>1482</v>
      </c>
    </row>
    <row r="769" spans="1:12">
      <c r="A769" t="s">
        <v>25</v>
      </c>
      <c r="G769">
        <v>100</v>
      </c>
      <c r="H769" t="s">
        <v>1482</v>
      </c>
      <c r="K769" s="5">
        <v>100</v>
      </c>
      <c r="L769" s="6" t="s">
        <v>1482</v>
      </c>
    </row>
    <row r="770" spans="1:12">
      <c r="A770" t="s">
        <v>28</v>
      </c>
      <c r="G770">
        <v>100</v>
      </c>
      <c r="H770" t="s">
        <v>1482</v>
      </c>
      <c r="K770" s="5">
        <v>100</v>
      </c>
      <c r="L770" s="6" t="s">
        <v>1482</v>
      </c>
    </row>
    <row r="771" spans="1:12">
      <c r="A771" t="s">
        <v>26</v>
      </c>
      <c r="B771" t="s">
        <v>1484</v>
      </c>
      <c r="G771">
        <v>50</v>
      </c>
      <c r="H771" t="s">
        <v>1482</v>
      </c>
      <c r="K771" s="5">
        <v>50</v>
      </c>
      <c r="L771" s="6" t="s">
        <v>1482</v>
      </c>
    </row>
    <row r="772" spans="1:12">
      <c r="A772" t="s">
        <v>28</v>
      </c>
      <c r="B772" t="s">
        <v>1483</v>
      </c>
      <c r="C772" t="s">
        <v>1485</v>
      </c>
      <c r="G772">
        <v>150</v>
      </c>
      <c r="H772" t="s">
        <v>1482</v>
      </c>
      <c r="K772" s="5">
        <v>150</v>
      </c>
      <c r="L772" s="6" t="s">
        <v>1482</v>
      </c>
    </row>
    <row r="773" spans="1:12">
      <c r="A773" t="s">
        <v>26</v>
      </c>
      <c r="B773" t="s">
        <v>1484</v>
      </c>
      <c r="C773" t="s">
        <v>1486</v>
      </c>
      <c r="G773">
        <v>50</v>
      </c>
      <c r="H773" t="s">
        <v>1482</v>
      </c>
      <c r="K773" s="5">
        <v>50</v>
      </c>
      <c r="L773" s="6" t="s">
        <v>1482</v>
      </c>
    </row>
    <row r="774" spans="1:12">
      <c r="A774" t="s">
        <v>25</v>
      </c>
      <c r="B774" t="s">
        <v>1484</v>
      </c>
      <c r="G774">
        <v>200</v>
      </c>
      <c r="H774" t="s">
        <v>1482</v>
      </c>
      <c r="K774" s="5">
        <v>200</v>
      </c>
      <c r="L774" s="6" t="s">
        <v>1482</v>
      </c>
    </row>
    <row r="775" spans="1:12">
      <c r="A775" t="s">
        <v>27</v>
      </c>
      <c r="B775" t="s">
        <v>1484</v>
      </c>
      <c r="C775" t="s">
        <v>1481</v>
      </c>
      <c r="G775">
        <v>100</v>
      </c>
      <c r="H775" t="s">
        <v>1482</v>
      </c>
      <c r="K775" s="5">
        <v>100</v>
      </c>
      <c r="L775" s="6" t="s">
        <v>1482</v>
      </c>
    </row>
    <row r="776" spans="1:12">
      <c r="A776" t="s">
        <v>150</v>
      </c>
      <c r="G776">
        <v>50</v>
      </c>
      <c r="H776" t="s">
        <v>1482</v>
      </c>
      <c r="K776" s="5">
        <v>50</v>
      </c>
      <c r="L776" s="6" t="s">
        <v>1482</v>
      </c>
    </row>
    <row r="777" spans="1:12">
      <c r="A777" t="s">
        <v>150</v>
      </c>
      <c r="B777" t="s">
        <v>1485</v>
      </c>
      <c r="G777">
        <v>150</v>
      </c>
      <c r="H777" t="s">
        <v>1482</v>
      </c>
      <c r="K777" s="5">
        <v>150</v>
      </c>
      <c r="L777" s="6" t="s">
        <v>1482</v>
      </c>
    </row>
    <row r="778" spans="1:12">
      <c r="A778" t="s">
        <v>26</v>
      </c>
      <c r="B778" t="s">
        <v>1481</v>
      </c>
      <c r="C778" t="s">
        <v>1486</v>
      </c>
      <c r="G778">
        <v>200</v>
      </c>
      <c r="H778" t="s">
        <v>1482</v>
      </c>
      <c r="K778" s="5">
        <v>200</v>
      </c>
      <c r="L778" s="6" t="s">
        <v>1482</v>
      </c>
    </row>
    <row r="779" spans="1:12">
      <c r="A779" t="s">
        <v>28</v>
      </c>
      <c r="B779" t="s">
        <v>1485</v>
      </c>
      <c r="G779">
        <v>50</v>
      </c>
      <c r="H779" t="s">
        <v>1482</v>
      </c>
      <c r="K779" s="5">
        <v>50</v>
      </c>
      <c r="L779" s="6" t="s">
        <v>1482</v>
      </c>
    </row>
    <row r="780" spans="1:12">
      <c r="A780" t="s">
        <v>26</v>
      </c>
      <c r="B780" t="s">
        <v>1485</v>
      </c>
      <c r="G780">
        <v>200</v>
      </c>
      <c r="H780" t="s">
        <v>1482</v>
      </c>
      <c r="K780" s="5">
        <v>200</v>
      </c>
      <c r="L780" s="6" t="s">
        <v>1482</v>
      </c>
    </row>
    <row r="781" spans="1:12">
      <c r="A781" t="s">
        <v>25</v>
      </c>
      <c r="G781">
        <v>100</v>
      </c>
      <c r="H781" t="s">
        <v>1482</v>
      </c>
      <c r="K781" s="5">
        <v>100</v>
      </c>
      <c r="L781" s="6" t="s">
        <v>1482</v>
      </c>
    </row>
    <row r="782" spans="1:12">
      <c r="A782" t="s">
        <v>27</v>
      </c>
      <c r="G782">
        <v>100</v>
      </c>
      <c r="H782" t="s">
        <v>1482</v>
      </c>
      <c r="K782" s="5">
        <v>100</v>
      </c>
      <c r="L782" s="6" t="s">
        <v>1482</v>
      </c>
    </row>
    <row r="783" spans="1:12">
      <c r="A783" t="s">
        <v>150</v>
      </c>
      <c r="G783">
        <v>200</v>
      </c>
      <c r="H783" t="s">
        <v>1482</v>
      </c>
      <c r="K783" s="5">
        <v>200</v>
      </c>
      <c r="L783" s="6" t="s">
        <v>1482</v>
      </c>
    </row>
    <row r="784" spans="1:12">
      <c r="A784" t="s">
        <v>150</v>
      </c>
      <c r="B784" t="s">
        <v>1485</v>
      </c>
      <c r="C784" t="s">
        <v>1483</v>
      </c>
      <c r="G784">
        <v>50</v>
      </c>
      <c r="H784" t="s">
        <v>1482</v>
      </c>
      <c r="K784" s="5">
        <v>50</v>
      </c>
      <c r="L784" s="6" t="s">
        <v>1482</v>
      </c>
    </row>
    <row r="785" spans="1:12">
      <c r="A785" t="s">
        <v>150</v>
      </c>
      <c r="B785" t="s">
        <v>1481</v>
      </c>
      <c r="G785">
        <v>100</v>
      </c>
      <c r="H785" t="s">
        <v>1482</v>
      </c>
      <c r="K785" s="5">
        <v>100</v>
      </c>
      <c r="L785" s="6" t="s">
        <v>1482</v>
      </c>
    </row>
    <row r="786" spans="1:12">
      <c r="A786" t="s">
        <v>150</v>
      </c>
      <c r="B786" t="s">
        <v>1483</v>
      </c>
      <c r="C786" t="s">
        <v>1485</v>
      </c>
      <c r="G786">
        <v>50</v>
      </c>
      <c r="H786" t="s">
        <v>1482</v>
      </c>
      <c r="K786" s="5">
        <v>50</v>
      </c>
      <c r="L786" s="6" t="s">
        <v>1482</v>
      </c>
    </row>
    <row r="787" spans="1:12">
      <c r="A787" t="s">
        <v>150</v>
      </c>
      <c r="G787">
        <v>50</v>
      </c>
      <c r="H787" t="s">
        <v>1482</v>
      </c>
      <c r="K787" s="5">
        <v>50</v>
      </c>
      <c r="L787" s="6" t="s">
        <v>1482</v>
      </c>
    </row>
    <row r="788" spans="1:12">
      <c r="A788" t="s">
        <v>26</v>
      </c>
      <c r="B788" t="s">
        <v>1486</v>
      </c>
      <c r="C788" t="s">
        <v>1481</v>
      </c>
      <c r="G788">
        <v>150</v>
      </c>
      <c r="H788" t="s">
        <v>1482</v>
      </c>
      <c r="K788" s="5">
        <v>150</v>
      </c>
      <c r="L788" s="6" t="s">
        <v>1482</v>
      </c>
    </row>
    <row r="789" spans="1:12">
      <c r="A789" t="s">
        <v>28</v>
      </c>
      <c r="B789" t="s">
        <v>1483</v>
      </c>
      <c r="G789">
        <v>150</v>
      </c>
      <c r="H789" t="s">
        <v>1482</v>
      </c>
      <c r="K789" s="5">
        <v>150</v>
      </c>
      <c r="L789" s="6" t="s">
        <v>1482</v>
      </c>
    </row>
    <row r="790" spans="1:12">
      <c r="A790" t="s">
        <v>27</v>
      </c>
      <c r="B790" t="s">
        <v>1486</v>
      </c>
      <c r="G790">
        <v>100</v>
      </c>
      <c r="H790" t="s">
        <v>1482</v>
      </c>
      <c r="K790" s="5">
        <v>100</v>
      </c>
      <c r="L790" s="6" t="s">
        <v>1482</v>
      </c>
    </row>
    <row r="791" spans="1:12">
      <c r="A791" t="s">
        <v>27</v>
      </c>
      <c r="G791">
        <v>100</v>
      </c>
      <c r="H791" t="s">
        <v>1482</v>
      </c>
      <c r="K791" s="5">
        <v>100</v>
      </c>
      <c r="L791" s="6" t="s">
        <v>1482</v>
      </c>
    </row>
    <row r="792" spans="1:12">
      <c r="A792" t="s">
        <v>27</v>
      </c>
      <c r="B792" t="s">
        <v>1486</v>
      </c>
      <c r="C792" t="s">
        <v>1484</v>
      </c>
      <c r="G792">
        <v>150</v>
      </c>
      <c r="H792" t="s">
        <v>1482</v>
      </c>
      <c r="K792" s="5">
        <v>150</v>
      </c>
      <c r="L792" s="6" t="s">
        <v>1482</v>
      </c>
    </row>
    <row r="793" spans="1:12">
      <c r="A793" t="s">
        <v>27</v>
      </c>
      <c r="B793" t="s">
        <v>1484</v>
      </c>
      <c r="C793" t="s">
        <v>1486</v>
      </c>
      <c r="G793">
        <v>100</v>
      </c>
      <c r="H793" t="s">
        <v>1482</v>
      </c>
      <c r="K793" s="5">
        <v>100</v>
      </c>
      <c r="L793" s="6" t="s">
        <v>1482</v>
      </c>
    </row>
    <row r="794" spans="1:12">
      <c r="A794" t="s">
        <v>27</v>
      </c>
      <c r="B794" t="s">
        <v>1481</v>
      </c>
      <c r="C794" t="s">
        <v>1483</v>
      </c>
      <c r="G794">
        <v>100</v>
      </c>
      <c r="H794" t="s">
        <v>1482</v>
      </c>
      <c r="K794" s="5">
        <v>100</v>
      </c>
      <c r="L794" s="6" t="s">
        <v>1482</v>
      </c>
    </row>
    <row r="795" spans="1:12">
      <c r="A795" t="s">
        <v>150</v>
      </c>
      <c r="G795">
        <v>200</v>
      </c>
      <c r="H795" t="s">
        <v>1482</v>
      </c>
      <c r="K795" s="5">
        <v>200</v>
      </c>
      <c r="L795" s="6" t="s">
        <v>1482</v>
      </c>
    </row>
    <row r="796" spans="1:12">
      <c r="A796" t="s">
        <v>28</v>
      </c>
      <c r="B796" t="s">
        <v>1483</v>
      </c>
      <c r="G796">
        <v>200</v>
      </c>
      <c r="H796" t="s">
        <v>1482</v>
      </c>
      <c r="K796" s="5">
        <v>200</v>
      </c>
      <c r="L796" s="6" t="s">
        <v>1482</v>
      </c>
    </row>
    <row r="797" spans="1:12">
      <c r="A797" t="s">
        <v>25</v>
      </c>
      <c r="B797" t="s">
        <v>1481</v>
      </c>
      <c r="C797" t="s">
        <v>1483</v>
      </c>
      <c r="G797">
        <v>50</v>
      </c>
      <c r="H797" t="s">
        <v>1482</v>
      </c>
      <c r="K797" s="5">
        <v>50</v>
      </c>
      <c r="L797" s="6" t="s">
        <v>1482</v>
      </c>
    </row>
    <row r="798" spans="1:12">
      <c r="A798" t="s">
        <v>25</v>
      </c>
      <c r="B798" t="s">
        <v>1485</v>
      </c>
      <c r="G798">
        <v>200</v>
      </c>
      <c r="H798" t="s">
        <v>1482</v>
      </c>
      <c r="K798" s="5">
        <v>200</v>
      </c>
      <c r="L798" s="6" t="s">
        <v>1482</v>
      </c>
    </row>
    <row r="799" spans="1:12">
      <c r="A799" t="s">
        <v>28</v>
      </c>
      <c r="G799">
        <v>50</v>
      </c>
      <c r="H799" t="s">
        <v>1482</v>
      </c>
      <c r="K799" s="5">
        <v>50</v>
      </c>
      <c r="L799" s="6" t="s">
        <v>1482</v>
      </c>
    </row>
    <row r="800" spans="1:12">
      <c r="A800" t="s">
        <v>27</v>
      </c>
      <c r="G800">
        <v>200</v>
      </c>
      <c r="H800" t="s">
        <v>1482</v>
      </c>
      <c r="K800" s="5">
        <v>200</v>
      </c>
      <c r="L800" s="6" t="s">
        <v>1482</v>
      </c>
    </row>
    <row r="801" spans="1:12">
      <c r="A801" t="s">
        <v>28</v>
      </c>
      <c r="G801">
        <v>150</v>
      </c>
      <c r="H801" t="s">
        <v>1482</v>
      </c>
      <c r="K801" s="5">
        <v>150</v>
      </c>
      <c r="L801" s="6" t="s">
        <v>1482</v>
      </c>
    </row>
    <row r="802" spans="1:12">
      <c r="A802" t="s">
        <v>150</v>
      </c>
      <c r="B802" t="s">
        <v>1481</v>
      </c>
      <c r="G802">
        <v>200</v>
      </c>
      <c r="H802" t="s">
        <v>1482</v>
      </c>
      <c r="K802" s="5">
        <v>200</v>
      </c>
      <c r="L802" s="6" t="s">
        <v>1482</v>
      </c>
    </row>
    <row r="803" spans="1:12">
      <c r="A803" t="s">
        <v>150</v>
      </c>
      <c r="B803" t="s">
        <v>1481</v>
      </c>
      <c r="G803">
        <v>200</v>
      </c>
      <c r="H803" t="s">
        <v>1482</v>
      </c>
      <c r="K803" s="5">
        <v>200</v>
      </c>
      <c r="L803" s="6" t="s">
        <v>1482</v>
      </c>
    </row>
    <row r="804" spans="1:12">
      <c r="A804" t="s">
        <v>27</v>
      </c>
      <c r="B804" t="s">
        <v>1486</v>
      </c>
      <c r="G804">
        <v>200</v>
      </c>
      <c r="H804" t="s">
        <v>1482</v>
      </c>
      <c r="K804" s="5">
        <v>200</v>
      </c>
      <c r="L804" s="6" t="s">
        <v>1482</v>
      </c>
    </row>
    <row r="805" spans="1:12">
      <c r="A805" t="s">
        <v>25</v>
      </c>
      <c r="G805">
        <v>50</v>
      </c>
      <c r="H805" t="s">
        <v>1482</v>
      </c>
      <c r="K805" s="5">
        <v>50</v>
      </c>
      <c r="L805" s="6" t="s">
        <v>1482</v>
      </c>
    </row>
    <row r="806" spans="1:12">
      <c r="A806" t="s">
        <v>26</v>
      </c>
      <c r="B806" t="s">
        <v>1485</v>
      </c>
      <c r="G806">
        <v>200</v>
      </c>
      <c r="H806" t="s">
        <v>1482</v>
      </c>
      <c r="K806" s="5">
        <v>200</v>
      </c>
      <c r="L806" s="6" t="s">
        <v>1482</v>
      </c>
    </row>
    <row r="807" spans="1:12">
      <c r="A807" t="s">
        <v>150</v>
      </c>
      <c r="B807" t="s">
        <v>1483</v>
      </c>
      <c r="G807">
        <v>100</v>
      </c>
      <c r="H807" t="s">
        <v>1482</v>
      </c>
      <c r="K807" s="5">
        <v>100</v>
      </c>
      <c r="L807" s="6" t="s">
        <v>1482</v>
      </c>
    </row>
    <row r="808" spans="1:12">
      <c r="A808" t="s">
        <v>28</v>
      </c>
      <c r="G808">
        <v>100</v>
      </c>
      <c r="H808" t="s">
        <v>1482</v>
      </c>
      <c r="K808" s="5">
        <v>100</v>
      </c>
      <c r="L808" s="6" t="s">
        <v>1482</v>
      </c>
    </row>
    <row r="809" spans="1:12">
      <c r="A809" t="s">
        <v>25</v>
      </c>
      <c r="B809" t="s">
        <v>1485</v>
      </c>
      <c r="C809" t="s">
        <v>1484</v>
      </c>
      <c r="G809">
        <v>100</v>
      </c>
      <c r="H809" t="s">
        <v>1482</v>
      </c>
      <c r="K809" s="5">
        <v>100</v>
      </c>
      <c r="L809" s="6" t="s">
        <v>1482</v>
      </c>
    </row>
    <row r="810" spans="1:12">
      <c r="A810" t="s">
        <v>25</v>
      </c>
      <c r="B810" t="s">
        <v>1483</v>
      </c>
      <c r="G810">
        <v>100</v>
      </c>
      <c r="H810" t="s">
        <v>1482</v>
      </c>
      <c r="K810" s="5">
        <v>100</v>
      </c>
      <c r="L810" s="6" t="s">
        <v>1482</v>
      </c>
    </row>
    <row r="811" spans="1:12">
      <c r="A811" t="s">
        <v>150</v>
      </c>
      <c r="G811">
        <v>150</v>
      </c>
      <c r="H811" t="s">
        <v>1482</v>
      </c>
      <c r="K811" s="5">
        <v>150</v>
      </c>
      <c r="L811" s="6" t="s">
        <v>1482</v>
      </c>
    </row>
    <row r="812" spans="1:12">
      <c r="A812" t="s">
        <v>150</v>
      </c>
      <c r="G812">
        <v>50</v>
      </c>
      <c r="H812" t="s">
        <v>1482</v>
      </c>
      <c r="K812" s="5">
        <v>50</v>
      </c>
      <c r="L812" s="6" t="s">
        <v>1482</v>
      </c>
    </row>
    <row r="813" spans="1:12">
      <c r="A813" t="s">
        <v>26</v>
      </c>
      <c r="B813" t="s">
        <v>1485</v>
      </c>
      <c r="C813" t="s">
        <v>1481</v>
      </c>
      <c r="G813">
        <v>200</v>
      </c>
      <c r="H813" t="s">
        <v>1482</v>
      </c>
      <c r="K813" s="5">
        <v>200</v>
      </c>
      <c r="L813" s="6" t="s">
        <v>1482</v>
      </c>
    </row>
    <row r="814" spans="1:12">
      <c r="A814" t="s">
        <v>27</v>
      </c>
      <c r="B814" t="s">
        <v>1483</v>
      </c>
      <c r="C814" t="s">
        <v>1484</v>
      </c>
      <c r="G814">
        <v>100</v>
      </c>
      <c r="H814" t="s">
        <v>1482</v>
      </c>
      <c r="K814" s="5">
        <v>100</v>
      </c>
      <c r="L814" s="6" t="s">
        <v>1482</v>
      </c>
    </row>
    <row r="815" spans="1:12">
      <c r="A815" t="s">
        <v>26</v>
      </c>
      <c r="G815">
        <v>100</v>
      </c>
      <c r="H815" t="s">
        <v>1482</v>
      </c>
      <c r="K815" s="5">
        <v>100</v>
      </c>
      <c r="L815" s="6" t="s">
        <v>1482</v>
      </c>
    </row>
    <row r="816" spans="1:12">
      <c r="A816" t="s">
        <v>27</v>
      </c>
      <c r="B816" t="s">
        <v>1481</v>
      </c>
      <c r="C816" t="s">
        <v>1486</v>
      </c>
      <c r="G816">
        <v>200</v>
      </c>
      <c r="H816" t="s">
        <v>1482</v>
      </c>
      <c r="K816" s="5">
        <v>200</v>
      </c>
      <c r="L816" s="6" t="s">
        <v>1482</v>
      </c>
    </row>
    <row r="817" spans="1:12">
      <c r="A817" t="s">
        <v>150</v>
      </c>
      <c r="B817" t="s">
        <v>1485</v>
      </c>
      <c r="G817">
        <v>50</v>
      </c>
      <c r="H817" t="s">
        <v>1482</v>
      </c>
      <c r="K817" s="5">
        <v>50</v>
      </c>
      <c r="L817" s="6" t="s">
        <v>1482</v>
      </c>
    </row>
    <row r="818" spans="1:12">
      <c r="A818" t="s">
        <v>25</v>
      </c>
      <c r="B818" t="s">
        <v>1485</v>
      </c>
      <c r="C818" t="s">
        <v>1483</v>
      </c>
      <c r="G818">
        <v>150</v>
      </c>
      <c r="H818" t="s">
        <v>1482</v>
      </c>
      <c r="K818" s="5">
        <v>150</v>
      </c>
      <c r="L818" s="6" t="s">
        <v>1482</v>
      </c>
    </row>
    <row r="819" spans="1:12">
      <c r="A819" t="s">
        <v>27</v>
      </c>
      <c r="G819">
        <v>150</v>
      </c>
      <c r="H819" t="s">
        <v>1482</v>
      </c>
      <c r="K819" s="5">
        <v>150</v>
      </c>
      <c r="L819" s="6" t="s">
        <v>1482</v>
      </c>
    </row>
    <row r="820" spans="1:12">
      <c r="A820" t="s">
        <v>25</v>
      </c>
      <c r="B820" t="s">
        <v>1485</v>
      </c>
      <c r="G820">
        <v>100</v>
      </c>
      <c r="H820" t="s">
        <v>1482</v>
      </c>
      <c r="K820" s="5">
        <v>100</v>
      </c>
      <c r="L820" s="6" t="s">
        <v>1482</v>
      </c>
    </row>
    <row r="821" spans="1:12">
      <c r="A821" t="s">
        <v>28</v>
      </c>
      <c r="B821" t="s">
        <v>1484</v>
      </c>
      <c r="C821" t="s">
        <v>1486</v>
      </c>
      <c r="G821">
        <v>200</v>
      </c>
      <c r="H821" t="s">
        <v>1482</v>
      </c>
      <c r="K821" s="5">
        <v>200</v>
      </c>
      <c r="L821" s="6" t="s">
        <v>1482</v>
      </c>
    </row>
    <row r="822" spans="1:12">
      <c r="A822" t="s">
        <v>25</v>
      </c>
      <c r="B822" t="s">
        <v>1483</v>
      </c>
      <c r="G822">
        <v>150</v>
      </c>
      <c r="H822" t="s">
        <v>1482</v>
      </c>
      <c r="K822" s="5">
        <v>150</v>
      </c>
      <c r="L822" s="6" t="s">
        <v>1482</v>
      </c>
    </row>
    <row r="823" spans="1:12">
      <c r="A823" t="s">
        <v>26</v>
      </c>
      <c r="B823" t="s">
        <v>1485</v>
      </c>
      <c r="C823" t="s">
        <v>1486</v>
      </c>
      <c r="G823">
        <v>50</v>
      </c>
      <c r="H823" t="s">
        <v>1482</v>
      </c>
      <c r="K823" s="5">
        <v>50</v>
      </c>
      <c r="L823" s="6" t="s">
        <v>1482</v>
      </c>
    </row>
    <row r="824" spans="1:12">
      <c r="A824" t="s">
        <v>25</v>
      </c>
      <c r="B824" t="s">
        <v>1481</v>
      </c>
      <c r="C824" t="s">
        <v>1483</v>
      </c>
      <c r="G824">
        <v>150</v>
      </c>
      <c r="H824" t="s">
        <v>1482</v>
      </c>
      <c r="K824" s="5">
        <v>150</v>
      </c>
      <c r="L824" s="6" t="s">
        <v>1482</v>
      </c>
    </row>
    <row r="825" spans="1:12">
      <c r="A825" t="s">
        <v>28</v>
      </c>
      <c r="B825" t="s">
        <v>1486</v>
      </c>
      <c r="G825">
        <v>150</v>
      </c>
      <c r="H825" t="s">
        <v>1482</v>
      </c>
      <c r="K825" s="5">
        <v>150</v>
      </c>
      <c r="L825" s="6" t="s">
        <v>1482</v>
      </c>
    </row>
    <row r="826" spans="1:12">
      <c r="A826" t="s">
        <v>150</v>
      </c>
      <c r="B826" t="s">
        <v>1481</v>
      </c>
      <c r="C826" t="s">
        <v>1485</v>
      </c>
      <c r="G826">
        <v>150</v>
      </c>
      <c r="H826" t="s">
        <v>1482</v>
      </c>
      <c r="K826" s="5">
        <v>150</v>
      </c>
      <c r="L826" s="6" t="s">
        <v>1482</v>
      </c>
    </row>
    <row r="827" spans="1:12">
      <c r="A827" t="s">
        <v>28</v>
      </c>
      <c r="B827" t="s">
        <v>1486</v>
      </c>
      <c r="C827" t="s">
        <v>1485</v>
      </c>
      <c r="G827">
        <v>150</v>
      </c>
      <c r="H827" t="s">
        <v>1482</v>
      </c>
      <c r="K827" s="5">
        <v>150</v>
      </c>
      <c r="L827" s="6" t="s">
        <v>1482</v>
      </c>
    </row>
    <row r="828" spans="1:12">
      <c r="A828" t="s">
        <v>27</v>
      </c>
      <c r="G828">
        <v>50</v>
      </c>
      <c r="H828" t="s">
        <v>1482</v>
      </c>
      <c r="K828" s="5">
        <v>50</v>
      </c>
      <c r="L828" s="6" t="s">
        <v>1482</v>
      </c>
    </row>
    <row r="829" spans="1:12">
      <c r="A829" t="s">
        <v>25</v>
      </c>
      <c r="B829" t="s">
        <v>1483</v>
      </c>
      <c r="G829">
        <v>200</v>
      </c>
      <c r="H829" t="s">
        <v>1482</v>
      </c>
      <c r="K829" s="5">
        <v>200</v>
      </c>
      <c r="L829" s="6" t="s">
        <v>1482</v>
      </c>
    </row>
    <row r="830" spans="1:12">
      <c r="A830" t="s">
        <v>28</v>
      </c>
      <c r="G830">
        <v>50</v>
      </c>
      <c r="H830" t="s">
        <v>1482</v>
      </c>
      <c r="K830" s="5">
        <v>50</v>
      </c>
      <c r="L830" s="6" t="s">
        <v>1482</v>
      </c>
    </row>
    <row r="831" spans="1:12">
      <c r="A831" t="s">
        <v>27</v>
      </c>
      <c r="G831">
        <v>150</v>
      </c>
      <c r="H831" t="s">
        <v>1482</v>
      </c>
      <c r="K831" s="5">
        <v>150</v>
      </c>
      <c r="L831" s="6" t="s">
        <v>1482</v>
      </c>
    </row>
    <row r="832" spans="1:12">
      <c r="A832" t="s">
        <v>150</v>
      </c>
      <c r="G832">
        <v>150</v>
      </c>
      <c r="H832" t="s">
        <v>1482</v>
      </c>
      <c r="K832" s="5">
        <v>150</v>
      </c>
      <c r="L832" s="6" t="s">
        <v>1482</v>
      </c>
    </row>
    <row r="833" spans="1:12">
      <c r="A833" t="s">
        <v>150</v>
      </c>
      <c r="G833">
        <v>150</v>
      </c>
      <c r="H833" t="s">
        <v>1482</v>
      </c>
      <c r="K833" s="5">
        <v>150</v>
      </c>
      <c r="L833" s="6" t="s">
        <v>1482</v>
      </c>
    </row>
    <row r="834" spans="1:12">
      <c r="A834" t="s">
        <v>27</v>
      </c>
      <c r="B834" t="s">
        <v>1481</v>
      </c>
      <c r="C834" t="s">
        <v>1484</v>
      </c>
      <c r="G834">
        <v>200</v>
      </c>
      <c r="H834" t="s">
        <v>1482</v>
      </c>
      <c r="K834" s="5">
        <v>200</v>
      </c>
      <c r="L834" s="6" t="s">
        <v>1482</v>
      </c>
    </row>
    <row r="835" spans="1:12">
      <c r="A835" t="s">
        <v>28</v>
      </c>
      <c r="G835">
        <v>100</v>
      </c>
      <c r="H835" t="s">
        <v>1482</v>
      </c>
      <c r="K835" s="5">
        <v>100</v>
      </c>
      <c r="L835" s="6" t="s">
        <v>1482</v>
      </c>
    </row>
    <row r="836" spans="1:12">
      <c r="A836" t="s">
        <v>25</v>
      </c>
      <c r="B836" t="s">
        <v>1484</v>
      </c>
      <c r="G836">
        <v>100</v>
      </c>
      <c r="H836" t="s">
        <v>1482</v>
      </c>
      <c r="K836" s="5">
        <v>100</v>
      </c>
      <c r="L836" s="6" t="s">
        <v>1482</v>
      </c>
    </row>
    <row r="837" spans="1:12">
      <c r="A837" t="s">
        <v>28</v>
      </c>
      <c r="B837" t="s">
        <v>1483</v>
      </c>
      <c r="C837" t="s">
        <v>1484</v>
      </c>
      <c r="G837">
        <v>150</v>
      </c>
      <c r="H837" t="s">
        <v>1482</v>
      </c>
      <c r="K837" s="5">
        <v>150</v>
      </c>
      <c r="L837" s="6" t="s">
        <v>1482</v>
      </c>
    </row>
    <row r="838" spans="1:12">
      <c r="A838" t="s">
        <v>28</v>
      </c>
      <c r="B838" t="s">
        <v>1484</v>
      </c>
      <c r="G838">
        <v>100</v>
      </c>
      <c r="H838" t="s">
        <v>1482</v>
      </c>
      <c r="K838" s="5">
        <v>100</v>
      </c>
      <c r="L838" s="6" t="s">
        <v>1482</v>
      </c>
    </row>
    <row r="839" spans="1:12">
      <c r="A839" t="s">
        <v>28</v>
      </c>
      <c r="G839">
        <v>150</v>
      </c>
      <c r="H839" t="s">
        <v>1482</v>
      </c>
      <c r="K839" s="5">
        <v>150</v>
      </c>
      <c r="L839" s="6" t="s">
        <v>1482</v>
      </c>
    </row>
    <row r="840" spans="1:12">
      <c r="A840" t="s">
        <v>150</v>
      </c>
      <c r="B840" t="s">
        <v>1481</v>
      </c>
      <c r="G840">
        <v>200</v>
      </c>
      <c r="H840" t="s">
        <v>1482</v>
      </c>
      <c r="K840" s="5">
        <v>200</v>
      </c>
      <c r="L840" s="6" t="s">
        <v>1482</v>
      </c>
    </row>
    <row r="841" spans="1:12">
      <c r="A841" t="s">
        <v>27</v>
      </c>
      <c r="B841" t="s">
        <v>1483</v>
      </c>
      <c r="G841">
        <v>200</v>
      </c>
      <c r="H841" t="s">
        <v>1482</v>
      </c>
      <c r="K841" s="5">
        <v>200</v>
      </c>
      <c r="L841" s="6" t="s">
        <v>1482</v>
      </c>
    </row>
    <row r="842" spans="1:12">
      <c r="A842" t="s">
        <v>150</v>
      </c>
      <c r="B842" t="s">
        <v>1483</v>
      </c>
      <c r="C842" t="s">
        <v>1486</v>
      </c>
      <c r="G842">
        <v>200</v>
      </c>
      <c r="H842" t="s">
        <v>1482</v>
      </c>
      <c r="K842" s="5">
        <v>200</v>
      </c>
      <c r="L842" s="6" t="s">
        <v>1482</v>
      </c>
    </row>
    <row r="843" spans="1:12">
      <c r="A843" t="s">
        <v>150</v>
      </c>
      <c r="B843" t="s">
        <v>1483</v>
      </c>
      <c r="C843" t="s">
        <v>1481</v>
      </c>
      <c r="G843">
        <v>200</v>
      </c>
      <c r="H843" t="s">
        <v>1482</v>
      </c>
      <c r="K843" s="5">
        <v>200</v>
      </c>
      <c r="L843" s="6" t="s">
        <v>1482</v>
      </c>
    </row>
    <row r="844" spans="1:12">
      <c r="A844" t="s">
        <v>25</v>
      </c>
      <c r="G844">
        <v>50</v>
      </c>
      <c r="H844" t="s">
        <v>1482</v>
      </c>
      <c r="K844" s="5">
        <v>50</v>
      </c>
      <c r="L844" s="6" t="s">
        <v>1482</v>
      </c>
    </row>
    <row r="845" spans="1:12">
      <c r="A845" t="s">
        <v>150</v>
      </c>
      <c r="G845">
        <v>100</v>
      </c>
      <c r="H845" t="s">
        <v>1482</v>
      </c>
      <c r="K845" s="5">
        <v>100</v>
      </c>
      <c r="L845" s="6" t="s">
        <v>1482</v>
      </c>
    </row>
    <row r="846" spans="1:12">
      <c r="A846" t="s">
        <v>150</v>
      </c>
      <c r="G846">
        <v>100</v>
      </c>
      <c r="H846" t="s">
        <v>1482</v>
      </c>
      <c r="K846" s="5">
        <v>100</v>
      </c>
      <c r="L846" s="6" t="s">
        <v>1482</v>
      </c>
    </row>
    <row r="847" spans="1:12">
      <c r="A847" t="s">
        <v>25</v>
      </c>
      <c r="B847" t="s">
        <v>1484</v>
      </c>
      <c r="C847" t="s">
        <v>1485</v>
      </c>
      <c r="G847">
        <v>50</v>
      </c>
      <c r="H847" t="s">
        <v>1482</v>
      </c>
      <c r="K847" s="5">
        <v>50</v>
      </c>
      <c r="L847" s="6" t="s">
        <v>1482</v>
      </c>
    </row>
    <row r="848" spans="1:12">
      <c r="A848" t="s">
        <v>25</v>
      </c>
      <c r="G848">
        <v>200</v>
      </c>
      <c r="H848" t="s">
        <v>1482</v>
      </c>
      <c r="K848" s="5">
        <v>200</v>
      </c>
      <c r="L848" s="6" t="s">
        <v>1482</v>
      </c>
    </row>
    <row r="849" spans="1:12">
      <c r="A849" t="s">
        <v>26</v>
      </c>
      <c r="B849" t="s">
        <v>1481</v>
      </c>
      <c r="C849" t="s">
        <v>1486</v>
      </c>
      <c r="G849">
        <v>100</v>
      </c>
      <c r="H849" t="s">
        <v>1482</v>
      </c>
      <c r="K849" s="5">
        <v>100</v>
      </c>
      <c r="L849" s="6" t="s">
        <v>1482</v>
      </c>
    </row>
    <row r="850" spans="1:12">
      <c r="A850" t="s">
        <v>28</v>
      </c>
      <c r="G850">
        <v>50</v>
      </c>
      <c r="H850" t="s">
        <v>1482</v>
      </c>
      <c r="K850" s="5">
        <v>50</v>
      </c>
      <c r="L850" s="6" t="s">
        <v>1482</v>
      </c>
    </row>
    <row r="851" spans="1:12">
      <c r="A851" t="s">
        <v>28</v>
      </c>
      <c r="B851" t="s">
        <v>1485</v>
      </c>
      <c r="C851" t="s">
        <v>1483</v>
      </c>
      <c r="G851">
        <v>100</v>
      </c>
      <c r="H851" t="s">
        <v>1482</v>
      </c>
      <c r="K851" s="5">
        <v>100</v>
      </c>
      <c r="L851" s="6" t="s">
        <v>1482</v>
      </c>
    </row>
    <row r="852" spans="1:12">
      <c r="A852" t="s">
        <v>28</v>
      </c>
      <c r="G852">
        <v>100</v>
      </c>
      <c r="H852" t="s">
        <v>1482</v>
      </c>
      <c r="K852" s="5">
        <v>100</v>
      </c>
      <c r="L852" s="6" t="s">
        <v>1482</v>
      </c>
    </row>
    <row r="853" spans="1:12">
      <c r="A853" t="s">
        <v>25</v>
      </c>
      <c r="G853">
        <v>150</v>
      </c>
      <c r="H853" t="s">
        <v>1482</v>
      </c>
      <c r="K853" s="5">
        <v>150</v>
      </c>
      <c r="L853" s="6" t="s">
        <v>1482</v>
      </c>
    </row>
    <row r="854" spans="1:12">
      <c r="A854" t="s">
        <v>26</v>
      </c>
      <c r="B854" t="s">
        <v>1485</v>
      </c>
      <c r="G854">
        <v>50</v>
      </c>
      <c r="H854" t="s">
        <v>1482</v>
      </c>
      <c r="K854" s="5">
        <v>50</v>
      </c>
      <c r="L854" s="6" t="s">
        <v>1482</v>
      </c>
    </row>
    <row r="855" spans="1:12">
      <c r="A855" t="s">
        <v>26</v>
      </c>
      <c r="B855" t="s">
        <v>1486</v>
      </c>
      <c r="C855" t="s">
        <v>1484</v>
      </c>
      <c r="G855">
        <v>150</v>
      </c>
      <c r="H855" t="s">
        <v>1482</v>
      </c>
      <c r="K855" s="5">
        <v>150</v>
      </c>
      <c r="L855" s="6" t="s">
        <v>1482</v>
      </c>
    </row>
    <row r="856" spans="1:12">
      <c r="A856" t="s">
        <v>27</v>
      </c>
      <c r="G856">
        <v>150</v>
      </c>
      <c r="H856" t="s">
        <v>1482</v>
      </c>
      <c r="K856" s="5">
        <v>150</v>
      </c>
      <c r="L856" s="6" t="s">
        <v>1482</v>
      </c>
    </row>
    <row r="857" spans="1:12">
      <c r="A857" t="s">
        <v>150</v>
      </c>
      <c r="B857" t="s">
        <v>1481</v>
      </c>
      <c r="C857" t="s">
        <v>1486</v>
      </c>
      <c r="G857">
        <v>100</v>
      </c>
      <c r="H857" t="s">
        <v>1482</v>
      </c>
      <c r="K857" s="5">
        <v>100</v>
      </c>
      <c r="L857" s="6" t="s">
        <v>1482</v>
      </c>
    </row>
    <row r="858" spans="1:12">
      <c r="A858" t="s">
        <v>26</v>
      </c>
      <c r="B858" t="s">
        <v>1481</v>
      </c>
      <c r="G858">
        <v>100</v>
      </c>
      <c r="H858" t="s">
        <v>1482</v>
      </c>
      <c r="K858" s="5">
        <v>100</v>
      </c>
      <c r="L858" s="6" t="s">
        <v>1482</v>
      </c>
    </row>
    <row r="859" spans="1:12">
      <c r="A859" t="s">
        <v>150</v>
      </c>
      <c r="B859" t="s">
        <v>1483</v>
      </c>
      <c r="C859" t="s">
        <v>1485</v>
      </c>
      <c r="G859">
        <v>150</v>
      </c>
      <c r="H859" t="s">
        <v>1482</v>
      </c>
      <c r="K859" s="5">
        <v>150</v>
      </c>
      <c r="L859" s="6" t="s">
        <v>1482</v>
      </c>
    </row>
    <row r="860" spans="1:12">
      <c r="A860" t="s">
        <v>28</v>
      </c>
      <c r="B860" t="s">
        <v>1486</v>
      </c>
      <c r="G860">
        <v>150</v>
      </c>
      <c r="H860" t="s">
        <v>1482</v>
      </c>
      <c r="K860" s="5">
        <v>150</v>
      </c>
      <c r="L860" s="6" t="s">
        <v>1482</v>
      </c>
    </row>
    <row r="861" spans="1:12">
      <c r="A861" t="s">
        <v>27</v>
      </c>
      <c r="G861">
        <v>100</v>
      </c>
      <c r="H861" t="s">
        <v>1482</v>
      </c>
      <c r="K861" s="5">
        <v>100</v>
      </c>
      <c r="L861" s="6" t="s">
        <v>1482</v>
      </c>
    </row>
    <row r="862" spans="1:12">
      <c r="A862" t="s">
        <v>28</v>
      </c>
      <c r="B862" t="s">
        <v>1484</v>
      </c>
      <c r="G862">
        <v>100</v>
      </c>
      <c r="H862" t="s">
        <v>1482</v>
      </c>
      <c r="K862" s="5">
        <v>100</v>
      </c>
      <c r="L862" s="6" t="s">
        <v>1482</v>
      </c>
    </row>
    <row r="863" spans="1:12">
      <c r="A863" t="s">
        <v>150</v>
      </c>
      <c r="G863">
        <v>50</v>
      </c>
      <c r="H863" t="s">
        <v>1482</v>
      </c>
      <c r="K863" s="5">
        <v>50</v>
      </c>
      <c r="L863" s="6" t="s">
        <v>1482</v>
      </c>
    </row>
    <row r="864" spans="1:12">
      <c r="A864" t="s">
        <v>28</v>
      </c>
      <c r="G864">
        <v>200</v>
      </c>
      <c r="H864" t="s">
        <v>1482</v>
      </c>
      <c r="K864" s="5">
        <v>200</v>
      </c>
      <c r="L864" s="6" t="s">
        <v>1482</v>
      </c>
    </row>
    <row r="865" spans="1:12">
      <c r="A865" t="s">
        <v>26</v>
      </c>
      <c r="B865" t="s">
        <v>1486</v>
      </c>
      <c r="G865">
        <v>150</v>
      </c>
      <c r="H865" t="s">
        <v>1482</v>
      </c>
      <c r="K865" s="5">
        <v>150</v>
      </c>
      <c r="L865" s="6" t="s">
        <v>1482</v>
      </c>
    </row>
    <row r="866" spans="1:12">
      <c r="A866" t="s">
        <v>26</v>
      </c>
      <c r="B866" t="s">
        <v>1481</v>
      </c>
      <c r="C866" t="s">
        <v>1486</v>
      </c>
      <c r="G866">
        <v>100</v>
      </c>
      <c r="H866" t="s">
        <v>1482</v>
      </c>
      <c r="K866" s="5">
        <v>100</v>
      </c>
      <c r="L866" s="6" t="s">
        <v>1482</v>
      </c>
    </row>
    <row r="867" spans="1:12">
      <c r="A867" t="s">
        <v>28</v>
      </c>
      <c r="G867">
        <v>200</v>
      </c>
      <c r="H867" t="s">
        <v>1482</v>
      </c>
      <c r="K867" s="5">
        <v>200</v>
      </c>
      <c r="L867" s="6" t="s">
        <v>1482</v>
      </c>
    </row>
    <row r="868" spans="1:12">
      <c r="A868" t="s">
        <v>26</v>
      </c>
      <c r="B868" t="s">
        <v>1484</v>
      </c>
      <c r="G868">
        <v>100</v>
      </c>
      <c r="H868" t="s">
        <v>1482</v>
      </c>
      <c r="K868" s="5">
        <v>100</v>
      </c>
      <c r="L868" s="6" t="s">
        <v>1482</v>
      </c>
    </row>
    <row r="869" spans="1:12">
      <c r="A869" t="s">
        <v>26</v>
      </c>
      <c r="B869" t="s">
        <v>1486</v>
      </c>
      <c r="G869">
        <v>100</v>
      </c>
      <c r="H869" t="s">
        <v>1482</v>
      </c>
      <c r="K869" s="5">
        <v>100</v>
      </c>
      <c r="L869" s="6" t="s">
        <v>1482</v>
      </c>
    </row>
    <row r="870" spans="1:12">
      <c r="A870" t="s">
        <v>25</v>
      </c>
      <c r="G870">
        <v>200</v>
      </c>
      <c r="H870" t="s">
        <v>1482</v>
      </c>
      <c r="K870" s="5">
        <v>200</v>
      </c>
      <c r="L870" s="6" t="s">
        <v>1482</v>
      </c>
    </row>
    <row r="871" spans="1:12">
      <c r="A871" t="s">
        <v>150</v>
      </c>
      <c r="B871" t="s">
        <v>1486</v>
      </c>
      <c r="C871" t="s">
        <v>1483</v>
      </c>
      <c r="G871">
        <v>200</v>
      </c>
      <c r="H871" t="s">
        <v>1482</v>
      </c>
      <c r="K871" s="5">
        <v>200</v>
      </c>
      <c r="L871" s="6" t="s">
        <v>1482</v>
      </c>
    </row>
    <row r="872" spans="1:12">
      <c r="A872" t="s">
        <v>25</v>
      </c>
      <c r="B872" t="s">
        <v>1483</v>
      </c>
      <c r="C872" t="s">
        <v>1484</v>
      </c>
      <c r="G872">
        <v>150</v>
      </c>
      <c r="H872" t="s">
        <v>1482</v>
      </c>
      <c r="K872" s="5">
        <v>150</v>
      </c>
      <c r="L872" s="6" t="s">
        <v>1482</v>
      </c>
    </row>
    <row r="873" spans="1:12">
      <c r="A873" t="s">
        <v>28</v>
      </c>
      <c r="G873">
        <v>200</v>
      </c>
      <c r="H873" t="s">
        <v>1482</v>
      </c>
      <c r="K873" s="5">
        <v>200</v>
      </c>
      <c r="L873" s="6" t="s">
        <v>1482</v>
      </c>
    </row>
    <row r="874" spans="1:12">
      <c r="A874" t="s">
        <v>27</v>
      </c>
      <c r="G874">
        <v>50</v>
      </c>
      <c r="H874" t="s">
        <v>1482</v>
      </c>
      <c r="K874" s="5">
        <v>50</v>
      </c>
      <c r="L874" s="6" t="s">
        <v>1482</v>
      </c>
    </row>
    <row r="875" spans="1:12">
      <c r="A875" t="s">
        <v>28</v>
      </c>
      <c r="G875">
        <v>50</v>
      </c>
      <c r="H875" t="s">
        <v>1482</v>
      </c>
      <c r="K875" s="5">
        <v>50</v>
      </c>
      <c r="L875" s="6" t="s">
        <v>1482</v>
      </c>
    </row>
    <row r="876" spans="1:12">
      <c r="A876" t="s">
        <v>26</v>
      </c>
      <c r="B876" t="s">
        <v>1481</v>
      </c>
      <c r="G876">
        <v>200</v>
      </c>
      <c r="H876" t="s">
        <v>1482</v>
      </c>
      <c r="K876" s="5">
        <v>200</v>
      </c>
      <c r="L876" s="6" t="s">
        <v>1482</v>
      </c>
    </row>
    <row r="877" spans="1:12">
      <c r="A877" t="s">
        <v>26</v>
      </c>
      <c r="B877" t="s">
        <v>1485</v>
      </c>
      <c r="C877" t="s">
        <v>1484</v>
      </c>
      <c r="G877">
        <v>100</v>
      </c>
      <c r="H877" t="s">
        <v>1482</v>
      </c>
      <c r="K877" s="5">
        <v>100</v>
      </c>
      <c r="L877" s="6" t="s">
        <v>1482</v>
      </c>
    </row>
    <row r="878" spans="1:12">
      <c r="A878" t="s">
        <v>27</v>
      </c>
      <c r="G878">
        <v>100</v>
      </c>
      <c r="H878" t="s">
        <v>1482</v>
      </c>
      <c r="K878" s="5">
        <v>100</v>
      </c>
      <c r="L878" s="6" t="s">
        <v>1482</v>
      </c>
    </row>
    <row r="879" spans="1:12">
      <c r="A879" t="s">
        <v>150</v>
      </c>
      <c r="B879" t="s">
        <v>1483</v>
      </c>
      <c r="G879">
        <v>200</v>
      </c>
      <c r="H879" t="s">
        <v>1482</v>
      </c>
      <c r="K879" s="5">
        <v>200</v>
      </c>
      <c r="L879" s="6" t="s">
        <v>1482</v>
      </c>
    </row>
    <row r="880" spans="1:12">
      <c r="A880" t="s">
        <v>27</v>
      </c>
      <c r="B880" t="s">
        <v>1481</v>
      </c>
      <c r="G880">
        <v>200</v>
      </c>
      <c r="H880" t="s">
        <v>1482</v>
      </c>
      <c r="K880" s="5">
        <v>200</v>
      </c>
      <c r="L880" s="6" t="s">
        <v>1482</v>
      </c>
    </row>
    <row r="881" spans="1:12">
      <c r="A881" t="s">
        <v>28</v>
      </c>
      <c r="B881" t="s">
        <v>1485</v>
      </c>
      <c r="G881">
        <v>200</v>
      </c>
      <c r="H881" t="s">
        <v>1482</v>
      </c>
      <c r="K881" s="5">
        <v>200</v>
      </c>
      <c r="L881" s="6" t="s">
        <v>1482</v>
      </c>
    </row>
    <row r="882" spans="1:12">
      <c r="A882" t="s">
        <v>27</v>
      </c>
      <c r="B882" t="s">
        <v>1483</v>
      </c>
      <c r="C882" t="s">
        <v>1486</v>
      </c>
      <c r="G882">
        <v>150</v>
      </c>
      <c r="H882" t="s">
        <v>1482</v>
      </c>
      <c r="K882" s="5">
        <v>150</v>
      </c>
      <c r="L882" s="6" t="s">
        <v>1482</v>
      </c>
    </row>
    <row r="883" spans="1:12">
      <c r="A883" t="s">
        <v>26</v>
      </c>
      <c r="B883" t="s">
        <v>1485</v>
      </c>
      <c r="C883" t="s">
        <v>1486</v>
      </c>
      <c r="G883">
        <v>100</v>
      </c>
      <c r="H883" t="s">
        <v>1482</v>
      </c>
      <c r="K883" s="5">
        <v>100</v>
      </c>
      <c r="L883" s="6" t="s">
        <v>1482</v>
      </c>
    </row>
    <row r="884" spans="1:12">
      <c r="A884" t="s">
        <v>150</v>
      </c>
      <c r="G884">
        <v>200</v>
      </c>
      <c r="H884" t="s">
        <v>1482</v>
      </c>
      <c r="K884" s="5">
        <v>200</v>
      </c>
      <c r="L884" s="6" t="s">
        <v>1482</v>
      </c>
    </row>
    <row r="885" spans="1:12">
      <c r="A885" t="s">
        <v>25</v>
      </c>
      <c r="G885">
        <v>150</v>
      </c>
      <c r="H885" t="s">
        <v>1482</v>
      </c>
      <c r="K885" s="5">
        <v>150</v>
      </c>
      <c r="L885" s="6" t="s">
        <v>1482</v>
      </c>
    </row>
    <row r="886" spans="1:12">
      <c r="A886" t="s">
        <v>26</v>
      </c>
      <c r="G886">
        <v>150</v>
      </c>
      <c r="H886" t="s">
        <v>1482</v>
      </c>
      <c r="K886" s="5">
        <v>150</v>
      </c>
      <c r="L886" s="6" t="s">
        <v>1482</v>
      </c>
    </row>
    <row r="887" spans="1:12">
      <c r="A887" t="s">
        <v>27</v>
      </c>
      <c r="B887" t="s">
        <v>1484</v>
      </c>
      <c r="C887" t="s">
        <v>1483</v>
      </c>
      <c r="G887">
        <v>150</v>
      </c>
      <c r="H887" t="s">
        <v>1482</v>
      </c>
      <c r="K887" s="5">
        <v>150</v>
      </c>
      <c r="L887" s="6" t="s">
        <v>1482</v>
      </c>
    </row>
    <row r="888" spans="1:12">
      <c r="A888" t="s">
        <v>26</v>
      </c>
      <c r="G888">
        <v>50</v>
      </c>
      <c r="H888" t="s">
        <v>1482</v>
      </c>
      <c r="K888" s="5">
        <v>50</v>
      </c>
      <c r="L888" s="6" t="s">
        <v>1482</v>
      </c>
    </row>
    <row r="889" spans="1:12">
      <c r="A889" t="s">
        <v>25</v>
      </c>
      <c r="G889">
        <v>200</v>
      </c>
      <c r="H889" t="s">
        <v>1482</v>
      </c>
      <c r="K889" s="5">
        <v>200</v>
      </c>
      <c r="L889" s="6" t="s">
        <v>1482</v>
      </c>
    </row>
    <row r="890" spans="1:12">
      <c r="A890" t="s">
        <v>26</v>
      </c>
      <c r="G890">
        <v>150</v>
      </c>
      <c r="H890" t="s">
        <v>1482</v>
      </c>
      <c r="K890" s="5">
        <v>150</v>
      </c>
      <c r="L890" s="6" t="s">
        <v>1482</v>
      </c>
    </row>
    <row r="891" spans="1:12">
      <c r="A891" t="s">
        <v>25</v>
      </c>
      <c r="B891" t="s">
        <v>1485</v>
      </c>
      <c r="C891" t="s">
        <v>1484</v>
      </c>
      <c r="G891">
        <v>200</v>
      </c>
      <c r="H891" t="s">
        <v>1482</v>
      </c>
      <c r="K891" s="5">
        <v>200</v>
      </c>
      <c r="L891" s="6" t="s">
        <v>1482</v>
      </c>
    </row>
    <row r="892" spans="1:12">
      <c r="A892" t="s">
        <v>28</v>
      </c>
      <c r="B892" t="s">
        <v>1485</v>
      </c>
      <c r="G892">
        <v>200</v>
      </c>
      <c r="H892" t="s">
        <v>1482</v>
      </c>
      <c r="K892" s="5">
        <v>200</v>
      </c>
      <c r="L892" s="6" t="s">
        <v>1482</v>
      </c>
    </row>
    <row r="893" spans="1:12">
      <c r="A893" t="s">
        <v>150</v>
      </c>
      <c r="B893" t="s">
        <v>1483</v>
      </c>
      <c r="G893">
        <v>200</v>
      </c>
      <c r="H893" t="s">
        <v>1482</v>
      </c>
      <c r="K893" s="5">
        <v>200</v>
      </c>
      <c r="L893" s="6" t="s">
        <v>1482</v>
      </c>
    </row>
    <row r="894" spans="1:12">
      <c r="A894" t="s">
        <v>28</v>
      </c>
      <c r="G894">
        <v>50</v>
      </c>
      <c r="H894" t="s">
        <v>1482</v>
      </c>
      <c r="K894" s="5">
        <v>50</v>
      </c>
      <c r="L894" s="6" t="s">
        <v>1482</v>
      </c>
    </row>
    <row r="895" spans="1:12">
      <c r="A895" t="s">
        <v>26</v>
      </c>
      <c r="B895" t="s">
        <v>1481</v>
      </c>
      <c r="G895">
        <v>150</v>
      </c>
      <c r="H895" t="s">
        <v>1482</v>
      </c>
      <c r="K895" s="5">
        <v>150</v>
      </c>
      <c r="L895" s="6" t="s">
        <v>1482</v>
      </c>
    </row>
    <row r="896" spans="1:12">
      <c r="A896" t="s">
        <v>26</v>
      </c>
      <c r="G896">
        <v>100</v>
      </c>
      <c r="H896" t="s">
        <v>1482</v>
      </c>
      <c r="K896" s="5">
        <v>100</v>
      </c>
      <c r="L896" s="6" t="s">
        <v>1482</v>
      </c>
    </row>
    <row r="897" spans="1:12">
      <c r="A897" t="s">
        <v>25</v>
      </c>
      <c r="B897" t="s">
        <v>1485</v>
      </c>
      <c r="G897">
        <v>200</v>
      </c>
      <c r="H897" t="s">
        <v>1482</v>
      </c>
      <c r="K897" s="5">
        <v>200</v>
      </c>
      <c r="L897" s="6" t="s">
        <v>1482</v>
      </c>
    </row>
    <row r="898" spans="1:12">
      <c r="A898" t="s">
        <v>27</v>
      </c>
      <c r="B898" t="s">
        <v>1483</v>
      </c>
      <c r="C898" t="s">
        <v>1484</v>
      </c>
      <c r="G898">
        <v>100</v>
      </c>
      <c r="H898" t="s">
        <v>1482</v>
      </c>
      <c r="K898" s="5">
        <v>100</v>
      </c>
      <c r="L898" s="6" t="s">
        <v>1482</v>
      </c>
    </row>
    <row r="899" spans="1:12">
      <c r="A899" t="s">
        <v>27</v>
      </c>
      <c r="G899">
        <v>100</v>
      </c>
      <c r="H899" t="s">
        <v>1482</v>
      </c>
      <c r="K899" s="5">
        <v>100</v>
      </c>
      <c r="L899" s="6" t="s">
        <v>1482</v>
      </c>
    </row>
    <row r="900" spans="1:12">
      <c r="A900" t="s">
        <v>25</v>
      </c>
      <c r="B900" t="s">
        <v>1481</v>
      </c>
      <c r="C900" t="s">
        <v>1484</v>
      </c>
      <c r="G900">
        <v>200</v>
      </c>
      <c r="H900" t="s">
        <v>1482</v>
      </c>
      <c r="K900" s="5">
        <v>200</v>
      </c>
      <c r="L900" s="6" t="s">
        <v>1482</v>
      </c>
    </row>
    <row r="901" spans="1:12">
      <c r="A901" t="s">
        <v>28</v>
      </c>
      <c r="B901" t="s">
        <v>1483</v>
      </c>
      <c r="G901">
        <v>50</v>
      </c>
      <c r="H901" t="s">
        <v>1482</v>
      </c>
      <c r="K901" s="5">
        <v>50</v>
      </c>
      <c r="L901" s="6" t="s">
        <v>1482</v>
      </c>
    </row>
    <row r="902" spans="1:12">
      <c r="A902" t="s">
        <v>150</v>
      </c>
      <c r="B902" t="s">
        <v>1485</v>
      </c>
      <c r="C902" t="s">
        <v>1481</v>
      </c>
      <c r="G902">
        <v>150</v>
      </c>
      <c r="H902" t="s">
        <v>1482</v>
      </c>
      <c r="K902" s="5">
        <v>150</v>
      </c>
      <c r="L902" s="6" t="s">
        <v>1482</v>
      </c>
    </row>
    <row r="903" spans="1:12">
      <c r="A903" t="s">
        <v>27</v>
      </c>
      <c r="B903" t="s">
        <v>1481</v>
      </c>
      <c r="G903">
        <v>50</v>
      </c>
      <c r="H903" t="s">
        <v>1482</v>
      </c>
      <c r="K903" s="5">
        <v>50</v>
      </c>
      <c r="L903" s="6" t="s">
        <v>1482</v>
      </c>
    </row>
    <row r="904" spans="1:12">
      <c r="A904" t="s">
        <v>26</v>
      </c>
      <c r="B904" t="s">
        <v>1486</v>
      </c>
      <c r="C904" t="s">
        <v>1484</v>
      </c>
      <c r="G904">
        <v>200</v>
      </c>
      <c r="H904" t="s">
        <v>1482</v>
      </c>
      <c r="K904" s="5">
        <v>200</v>
      </c>
      <c r="L904" s="6" t="s">
        <v>1482</v>
      </c>
    </row>
    <row r="905" spans="1:12">
      <c r="A905" t="s">
        <v>28</v>
      </c>
      <c r="B905" t="s">
        <v>1483</v>
      </c>
      <c r="C905" t="s">
        <v>1484</v>
      </c>
      <c r="G905">
        <v>150</v>
      </c>
      <c r="H905" t="s">
        <v>1482</v>
      </c>
      <c r="K905" s="5">
        <v>150</v>
      </c>
      <c r="L905" s="6" t="s">
        <v>1482</v>
      </c>
    </row>
    <row r="906" spans="1:12">
      <c r="A906" t="s">
        <v>27</v>
      </c>
      <c r="G906">
        <v>200</v>
      </c>
      <c r="H906" t="s">
        <v>1482</v>
      </c>
      <c r="K906" s="5">
        <v>200</v>
      </c>
      <c r="L906" s="6" t="s">
        <v>1482</v>
      </c>
    </row>
    <row r="907" spans="1:12">
      <c r="A907" t="s">
        <v>25</v>
      </c>
      <c r="G907">
        <v>50</v>
      </c>
      <c r="H907" t="s">
        <v>1482</v>
      </c>
      <c r="K907" s="5">
        <v>50</v>
      </c>
      <c r="L907" s="6" t="s">
        <v>1482</v>
      </c>
    </row>
    <row r="908" spans="1:12">
      <c r="A908" t="s">
        <v>150</v>
      </c>
      <c r="B908" t="s">
        <v>1483</v>
      </c>
      <c r="C908" t="s">
        <v>1485</v>
      </c>
      <c r="G908">
        <v>50</v>
      </c>
      <c r="H908" t="s">
        <v>1482</v>
      </c>
      <c r="K908" s="5">
        <v>50</v>
      </c>
      <c r="L908" s="6" t="s">
        <v>1482</v>
      </c>
    </row>
    <row r="909" spans="1:12">
      <c r="A909" t="s">
        <v>27</v>
      </c>
      <c r="G909">
        <v>50</v>
      </c>
      <c r="H909" t="s">
        <v>1482</v>
      </c>
      <c r="K909" s="5">
        <v>50</v>
      </c>
      <c r="L909" s="6" t="s">
        <v>1482</v>
      </c>
    </row>
    <row r="910" spans="1:12">
      <c r="A910" t="s">
        <v>27</v>
      </c>
      <c r="B910" t="s">
        <v>1483</v>
      </c>
      <c r="C910" t="s">
        <v>1481</v>
      </c>
      <c r="G910">
        <v>50</v>
      </c>
      <c r="H910" t="s">
        <v>1482</v>
      </c>
      <c r="K910" s="5">
        <v>50</v>
      </c>
      <c r="L910" s="6" t="s">
        <v>1482</v>
      </c>
    </row>
    <row r="911" spans="1:12">
      <c r="A911" t="s">
        <v>150</v>
      </c>
      <c r="G911">
        <v>100</v>
      </c>
      <c r="H911" t="s">
        <v>1482</v>
      </c>
      <c r="K911" s="5">
        <v>100</v>
      </c>
      <c r="L911" s="6" t="s">
        <v>1482</v>
      </c>
    </row>
    <row r="912" spans="1:12">
      <c r="A912" t="s">
        <v>25</v>
      </c>
      <c r="B912" t="s">
        <v>1481</v>
      </c>
      <c r="C912" t="s">
        <v>1485</v>
      </c>
      <c r="G912">
        <v>50</v>
      </c>
      <c r="H912" t="s">
        <v>1482</v>
      </c>
      <c r="K912" s="5">
        <v>50</v>
      </c>
      <c r="L912" s="6" t="s">
        <v>1482</v>
      </c>
    </row>
    <row r="913" spans="1:12">
      <c r="A913" t="s">
        <v>28</v>
      </c>
      <c r="B913" t="s">
        <v>1484</v>
      </c>
      <c r="G913">
        <v>50</v>
      </c>
      <c r="H913" t="s">
        <v>1482</v>
      </c>
      <c r="K913" s="5">
        <v>50</v>
      </c>
      <c r="L913" s="6" t="s">
        <v>1482</v>
      </c>
    </row>
    <row r="914" spans="1:12">
      <c r="A914" t="s">
        <v>27</v>
      </c>
      <c r="G914">
        <v>200</v>
      </c>
      <c r="H914" t="s">
        <v>1482</v>
      </c>
      <c r="K914" s="5">
        <v>200</v>
      </c>
      <c r="L914" s="6" t="s">
        <v>1482</v>
      </c>
    </row>
    <row r="915" spans="1:12">
      <c r="A915" t="s">
        <v>27</v>
      </c>
      <c r="G915">
        <v>200</v>
      </c>
      <c r="H915" t="s">
        <v>1482</v>
      </c>
      <c r="K915" s="5">
        <v>200</v>
      </c>
      <c r="L915" s="6" t="s">
        <v>1482</v>
      </c>
    </row>
    <row r="916" spans="1:12">
      <c r="A916" t="s">
        <v>26</v>
      </c>
      <c r="B916" t="s">
        <v>1485</v>
      </c>
      <c r="G916">
        <v>100</v>
      </c>
      <c r="H916" t="s">
        <v>1482</v>
      </c>
      <c r="K916" s="5">
        <v>100</v>
      </c>
      <c r="L916" s="6" t="s">
        <v>1482</v>
      </c>
    </row>
    <row r="917" spans="1:12">
      <c r="A917" t="s">
        <v>150</v>
      </c>
      <c r="B917" t="s">
        <v>1483</v>
      </c>
      <c r="C917" t="s">
        <v>1481</v>
      </c>
      <c r="G917">
        <v>50</v>
      </c>
      <c r="H917" t="s">
        <v>1482</v>
      </c>
      <c r="K917" s="5">
        <v>50</v>
      </c>
      <c r="L917" s="6" t="s">
        <v>1482</v>
      </c>
    </row>
    <row r="918" spans="1:12">
      <c r="A918" t="s">
        <v>26</v>
      </c>
      <c r="B918" t="s">
        <v>1485</v>
      </c>
      <c r="C918" t="s">
        <v>1486</v>
      </c>
      <c r="G918">
        <v>50</v>
      </c>
      <c r="H918" t="s">
        <v>1482</v>
      </c>
      <c r="K918" s="5">
        <v>50</v>
      </c>
      <c r="L918" s="6" t="s">
        <v>1482</v>
      </c>
    </row>
    <row r="919" spans="1:12">
      <c r="A919" t="s">
        <v>28</v>
      </c>
      <c r="B919" t="s">
        <v>1485</v>
      </c>
      <c r="C919" t="s">
        <v>1484</v>
      </c>
      <c r="G919">
        <v>200</v>
      </c>
      <c r="H919" t="s">
        <v>1482</v>
      </c>
      <c r="K919" s="5">
        <v>200</v>
      </c>
      <c r="L919" s="6" t="s">
        <v>1482</v>
      </c>
    </row>
    <row r="920" spans="1:12">
      <c r="A920" t="s">
        <v>27</v>
      </c>
      <c r="B920" t="s">
        <v>1484</v>
      </c>
      <c r="G920">
        <v>200</v>
      </c>
      <c r="H920" t="s">
        <v>1482</v>
      </c>
      <c r="K920" s="5">
        <v>200</v>
      </c>
      <c r="L920" s="6" t="s">
        <v>1482</v>
      </c>
    </row>
    <row r="921" spans="1:12">
      <c r="A921" t="s">
        <v>150</v>
      </c>
      <c r="B921" t="s">
        <v>1483</v>
      </c>
      <c r="C921" t="s">
        <v>1485</v>
      </c>
      <c r="G921">
        <v>200</v>
      </c>
      <c r="H921" t="s">
        <v>1482</v>
      </c>
      <c r="K921" s="5">
        <v>200</v>
      </c>
      <c r="L921" s="6" t="s">
        <v>1482</v>
      </c>
    </row>
    <row r="922" spans="1:12">
      <c r="A922" t="s">
        <v>27</v>
      </c>
      <c r="G922">
        <v>50</v>
      </c>
      <c r="H922" t="s">
        <v>1482</v>
      </c>
      <c r="K922" s="5">
        <v>50</v>
      </c>
      <c r="L922" s="6" t="s">
        <v>1482</v>
      </c>
    </row>
    <row r="923" spans="1:12">
      <c r="A923" t="s">
        <v>28</v>
      </c>
      <c r="B923" t="s">
        <v>1484</v>
      </c>
      <c r="C923" t="s">
        <v>1483</v>
      </c>
      <c r="G923">
        <v>100</v>
      </c>
      <c r="H923" t="s">
        <v>1482</v>
      </c>
      <c r="K923" s="5">
        <v>100</v>
      </c>
      <c r="L923" s="6" t="s">
        <v>1482</v>
      </c>
    </row>
    <row r="924" spans="1:12">
      <c r="A924" t="s">
        <v>150</v>
      </c>
      <c r="G924">
        <v>100</v>
      </c>
      <c r="H924" t="s">
        <v>1482</v>
      </c>
      <c r="K924" s="5">
        <v>100</v>
      </c>
      <c r="L924" s="6" t="s">
        <v>1482</v>
      </c>
    </row>
    <row r="925" spans="1:12">
      <c r="A925" t="s">
        <v>25</v>
      </c>
      <c r="B925" t="s">
        <v>1481</v>
      </c>
      <c r="G925">
        <v>200</v>
      </c>
      <c r="H925" t="s">
        <v>1482</v>
      </c>
      <c r="K925" s="5">
        <v>200</v>
      </c>
      <c r="L925" s="6" t="s">
        <v>1482</v>
      </c>
    </row>
    <row r="926" spans="1:12">
      <c r="A926" t="s">
        <v>26</v>
      </c>
      <c r="B926" t="s">
        <v>1481</v>
      </c>
      <c r="G926">
        <v>150</v>
      </c>
      <c r="H926" t="s">
        <v>1482</v>
      </c>
      <c r="K926" s="5">
        <v>150</v>
      </c>
      <c r="L926" s="6" t="s">
        <v>1482</v>
      </c>
    </row>
    <row r="927" spans="1:12">
      <c r="A927" t="s">
        <v>27</v>
      </c>
      <c r="B927" t="s">
        <v>1483</v>
      </c>
      <c r="G927">
        <v>100</v>
      </c>
      <c r="H927" t="s">
        <v>1482</v>
      </c>
      <c r="K927" s="5">
        <v>100</v>
      </c>
      <c r="L927" s="6" t="s">
        <v>1482</v>
      </c>
    </row>
    <row r="928" spans="1:12">
      <c r="A928" t="s">
        <v>150</v>
      </c>
      <c r="B928" t="s">
        <v>1486</v>
      </c>
      <c r="C928" t="s">
        <v>1485</v>
      </c>
      <c r="G928">
        <v>150</v>
      </c>
      <c r="H928" t="s">
        <v>1482</v>
      </c>
      <c r="K928" s="5">
        <v>150</v>
      </c>
      <c r="L928" s="6" t="s">
        <v>1482</v>
      </c>
    </row>
    <row r="929" spans="1:12">
      <c r="A929" t="s">
        <v>26</v>
      </c>
      <c r="G929">
        <v>50</v>
      </c>
      <c r="H929" t="s">
        <v>1482</v>
      </c>
      <c r="K929" s="5">
        <v>50</v>
      </c>
      <c r="L929" s="6" t="s">
        <v>1482</v>
      </c>
    </row>
    <row r="930" spans="1:12">
      <c r="A930" t="s">
        <v>150</v>
      </c>
      <c r="B930" t="s">
        <v>1483</v>
      </c>
      <c r="C930" t="s">
        <v>1481</v>
      </c>
      <c r="G930">
        <v>150</v>
      </c>
      <c r="H930" t="s">
        <v>1482</v>
      </c>
      <c r="K930" s="5">
        <v>150</v>
      </c>
      <c r="L930" s="6" t="s">
        <v>1482</v>
      </c>
    </row>
    <row r="931" spans="1:12">
      <c r="A931" t="s">
        <v>28</v>
      </c>
      <c r="B931" t="s">
        <v>1486</v>
      </c>
      <c r="G931">
        <v>50</v>
      </c>
      <c r="H931" t="s">
        <v>1482</v>
      </c>
      <c r="K931" s="5">
        <v>50</v>
      </c>
      <c r="L931" s="6" t="s">
        <v>1482</v>
      </c>
    </row>
    <row r="932" spans="1:12">
      <c r="A932" t="s">
        <v>27</v>
      </c>
      <c r="G932">
        <v>150</v>
      </c>
      <c r="H932" t="s">
        <v>1482</v>
      </c>
      <c r="K932" s="5">
        <v>150</v>
      </c>
      <c r="L932" s="6" t="s">
        <v>1482</v>
      </c>
    </row>
    <row r="933" spans="1:12">
      <c r="A933" t="s">
        <v>28</v>
      </c>
      <c r="B933" t="s">
        <v>1486</v>
      </c>
      <c r="G933">
        <v>100</v>
      </c>
      <c r="H933" t="s">
        <v>1482</v>
      </c>
      <c r="K933" s="5">
        <v>100</v>
      </c>
      <c r="L933" s="6" t="s">
        <v>1482</v>
      </c>
    </row>
    <row r="934" spans="1:12">
      <c r="A934" t="s">
        <v>150</v>
      </c>
      <c r="G934">
        <v>100</v>
      </c>
      <c r="H934" t="s">
        <v>1482</v>
      </c>
      <c r="K934" s="5">
        <v>100</v>
      </c>
      <c r="L934" s="6" t="s">
        <v>1482</v>
      </c>
    </row>
    <row r="935" spans="1:12">
      <c r="A935" t="s">
        <v>27</v>
      </c>
      <c r="B935" t="s">
        <v>1486</v>
      </c>
      <c r="G935">
        <v>50</v>
      </c>
      <c r="H935" t="s">
        <v>1482</v>
      </c>
      <c r="K935" s="5">
        <v>50</v>
      </c>
      <c r="L935" s="6" t="s">
        <v>1482</v>
      </c>
    </row>
    <row r="936" spans="1:12">
      <c r="A936" t="s">
        <v>25</v>
      </c>
      <c r="B936" t="s">
        <v>1484</v>
      </c>
      <c r="C936" t="s">
        <v>1483</v>
      </c>
      <c r="G936">
        <v>100</v>
      </c>
      <c r="H936" t="s">
        <v>1482</v>
      </c>
      <c r="K936" s="5">
        <v>100</v>
      </c>
      <c r="L936" s="6" t="s">
        <v>1482</v>
      </c>
    </row>
    <row r="937" spans="1:12">
      <c r="A937" t="s">
        <v>28</v>
      </c>
      <c r="G937">
        <v>150</v>
      </c>
      <c r="H937" t="s">
        <v>1482</v>
      </c>
      <c r="K937" s="5">
        <v>150</v>
      </c>
      <c r="L937" s="6" t="s">
        <v>1482</v>
      </c>
    </row>
    <row r="938" spans="1:12">
      <c r="A938" t="s">
        <v>150</v>
      </c>
      <c r="B938" t="s">
        <v>1486</v>
      </c>
      <c r="G938">
        <v>150</v>
      </c>
      <c r="H938" t="s">
        <v>1482</v>
      </c>
      <c r="K938" s="5">
        <v>150</v>
      </c>
      <c r="L938" s="6" t="s">
        <v>1482</v>
      </c>
    </row>
    <row r="939" spans="1:12">
      <c r="A939" t="s">
        <v>27</v>
      </c>
      <c r="G939">
        <v>200</v>
      </c>
      <c r="H939" t="s">
        <v>1482</v>
      </c>
      <c r="K939" s="5">
        <v>200</v>
      </c>
      <c r="L939" s="6" t="s">
        <v>1482</v>
      </c>
    </row>
    <row r="940" spans="1:12">
      <c r="A940" t="s">
        <v>25</v>
      </c>
      <c r="G940">
        <v>50</v>
      </c>
      <c r="H940" t="s">
        <v>1482</v>
      </c>
      <c r="K940" s="5">
        <v>50</v>
      </c>
      <c r="L940" s="6" t="s">
        <v>1482</v>
      </c>
    </row>
    <row r="941" spans="1:12">
      <c r="A941" t="s">
        <v>27</v>
      </c>
      <c r="G941">
        <v>100</v>
      </c>
      <c r="H941" t="s">
        <v>1482</v>
      </c>
      <c r="K941" s="5">
        <v>100</v>
      </c>
      <c r="L941" s="6" t="s">
        <v>1482</v>
      </c>
    </row>
    <row r="942" spans="1:12">
      <c r="A942" t="s">
        <v>26</v>
      </c>
      <c r="G942">
        <v>150</v>
      </c>
      <c r="H942" t="s">
        <v>1482</v>
      </c>
      <c r="K942" s="5">
        <v>150</v>
      </c>
      <c r="L942" s="6" t="s">
        <v>1482</v>
      </c>
    </row>
    <row r="943" spans="1:12">
      <c r="A943" t="s">
        <v>25</v>
      </c>
      <c r="G943">
        <v>200</v>
      </c>
      <c r="H943" t="s">
        <v>1482</v>
      </c>
      <c r="K943" s="5">
        <v>200</v>
      </c>
      <c r="L943" s="6" t="s">
        <v>1482</v>
      </c>
    </row>
    <row r="944" spans="1:12">
      <c r="A944" t="s">
        <v>25</v>
      </c>
      <c r="B944" t="s">
        <v>1485</v>
      </c>
      <c r="C944" t="s">
        <v>1481</v>
      </c>
      <c r="G944">
        <v>150</v>
      </c>
      <c r="H944" t="s">
        <v>1482</v>
      </c>
      <c r="K944" s="5">
        <v>150</v>
      </c>
      <c r="L944" s="6" t="s">
        <v>1482</v>
      </c>
    </row>
    <row r="945" spans="1:12">
      <c r="A945" t="s">
        <v>150</v>
      </c>
      <c r="B945" t="s">
        <v>1485</v>
      </c>
      <c r="C945" t="s">
        <v>1481</v>
      </c>
      <c r="G945">
        <v>150</v>
      </c>
      <c r="H945" t="s">
        <v>1482</v>
      </c>
      <c r="K945" s="5">
        <v>150</v>
      </c>
      <c r="L945" s="6" t="s">
        <v>1482</v>
      </c>
    </row>
    <row r="946" spans="1:12">
      <c r="A946" t="s">
        <v>27</v>
      </c>
      <c r="G946">
        <v>150</v>
      </c>
      <c r="H946" t="s">
        <v>1482</v>
      </c>
      <c r="K946" s="5">
        <v>150</v>
      </c>
      <c r="L946" s="6" t="s">
        <v>1482</v>
      </c>
    </row>
    <row r="947" spans="1:12">
      <c r="A947" t="s">
        <v>25</v>
      </c>
      <c r="G947">
        <v>150</v>
      </c>
      <c r="H947" t="s">
        <v>1482</v>
      </c>
      <c r="K947" s="5">
        <v>150</v>
      </c>
      <c r="L947" s="6" t="s">
        <v>1482</v>
      </c>
    </row>
    <row r="948" spans="1:12">
      <c r="A948" t="s">
        <v>150</v>
      </c>
      <c r="B948" t="s">
        <v>1481</v>
      </c>
      <c r="G948">
        <v>150</v>
      </c>
      <c r="H948" t="s">
        <v>1482</v>
      </c>
      <c r="K948" s="5">
        <v>150</v>
      </c>
      <c r="L948" s="6" t="s">
        <v>1482</v>
      </c>
    </row>
    <row r="949" spans="1:12">
      <c r="A949" t="s">
        <v>150</v>
      </c>
      <c r="B949" t="s">
        <v>1486</v>
      </c>
      <c r="C949" t="s">
        <v>1483</v>
      </c>
      <c r="G949">
        <v>150</v>
      </c>
      <c r="H949" t="s">
        <v>1482</v>
      </c>
      <c r="K949" s="5">
        <v>150</v>
      </c>
      <c r="L949" s="6" t="s">
        <v>1482</v>
      </c>
    </row>
    <row r="950" spans="1:12">
      <c r="A950" t="s">
        <v>26</v>
      </c>
      <c r="B950" t="s">
        <v>1486</v>
      </c>
      <c r="C950" t="s">
        <v>1484</v>
      </c>
      <c r="G950">
        <v>50</v>
      </c>
      <c r="H950" t="s">
        <v>1482</v>
      </c>
      <c r="K950" s="5">
        <v>50</v>
      </c>
      <c r="L950" s="6" t="s">
        <v>1482</v>
      </c>
    </row>
    <row r="951" spans="1:12">
      <c r="A951" t="s">
        <v>27</v>
      </c>
      <c r="G951">
        <v>100</v>
      </c>
      <c r="H951" t="s">
        <v>1482</v>
      </c>
      <c r="K951" s="5">
        <v>100</v>
      </c>
      <c r="L951" s="6" t="s">
        <v>1482</v>
      </c>
    </row>
    <row r="952" spans="1:12">
      <c r="A952" t="s">
        <v>26</v>
      </c>
      <c r="B952" t="s">
        <v>1486</v>
      </c>
      <c r="C952" t="s">
        <v>1481</v>
      </c>
      <c r="G952">
        <v>150</v>
      </c>
      <c r="H952" t="s">
        <v>1482</v>
      </c>
      <c r="K952" s="5">
        <v>150</v>
      </c>
      <c r="L952" s="6" t="s">
        <v>1482</v>
      </c>
    </row>
    <row r="953" spans="1:12">
      <c r="A953" t="s">
        <v>150</v>
      </c>
      <c r="G953">
        <v>200</v>
      </c>
      <c r="H953" t="s">
        <v>1482</v>
      </c>
      <c r="K953" s="5">
        <v>200</v>
      </c>
      <c r="L953" s="6" t="s">
        <v>1482</v>
      </c>
    </row>
    <row r="954" spans="1:12">
      <c r="A954" t="s">
        <v>28</v>
      </c>
      <c r="G954">
        <v>150</v>
      </c>
      <c r="H954" t="s">
        <v>1482</v>
      </c>
      <c r="K954" s="5">
        <v>150</v>
      </c>
      <c r="L954" s="6" t="s">
        <v>1482</v>
      </c>
    </row>
    <row r="955" spans="1:12">
      <c r="A955" t="s">
        <v>150</v>
      </c>
      <c r="G955">
        <v>100</v>
      </c>
      <c r="H955" t="s">
        <v>1482</v>
      </c>
      <c r="K955" s="5">
        <v>100</v>
      </c>
      <c r="L955" s="6" t="s">
        <v>1482</v>
      </c>
    </row>
    <row r="956" spans="1:12">
      <c r="A956" t="s">
        <v>26</v>
      </c>
      <c r="B956" t="s">
        <v>1486</v>
      </c>
      <c r="G956">
        <v>200</v>
      </c>
      <c r="H956" t="s">
        <v>1482</v>
      </c>
      <c r="K956" s="5">
        <v>200</v>
      </c>
      <c r="L956" s="6" t="s">
        <v>1482</v>
      </c>
    </row>
    <row r="957" spans="1:12">
      <c r="A957" t="s">
        <v>28</v>
      </c>
      <c r="B957" t="s">
        <v>1483</v>
      </c>
      <c r="G957">
        <v>50</v>
      </c>
      <c r="H957" t="s">
        <v>1482</v>
      </c>
      <c r="K957" s="5">
        <v>50</v>
      </c>
      <c r="L957" s="6" t="s">
        <v>1482</v>
      </c>
    </row>
    <row r="958" spans="1:12">
      <c r="A958" t="s">
        <v>25</v>
      </c>
      <c r="B958" t="s">
        <v>1481</v>
      </c>
      <c r="G958">
        <v>100</v>
      </c>
      <c r="H958" t="s">
        <v>1482</v>
      </c>
      <c r="K958" s="5">
        <v>100</v>
      </c>
      <c r="L958" s="6" t="s">
        <v>1482</v>
      </c>
    </row>
    <row r="959" spans="1:12">
      <c r="A959" t="s">
        <v>28</v>
      </c>
      <c r="G959">
        <v>50</v>
      </c>
      <c r="H959" t="s">
        <v>1482</v>
      </c>
      <c r="K959" s="5">
        <v>50</v>
      </c>
      <c r="L959" s="6" t="s">
        <v>1482</v>
      </c>
    </row>
    <row r="960" spans="1:12">
      <c r="A960" t="s">
        <v>150</v>
      </c>
      <c r="B960" t="s">
        <v>1486</v>
      </c>
      <c r="G960">
        <v>50</v>
      </c>
      <c r="H960" t="s">
        <v>1482</v>
      </c>
      <c r="K960" s="5">
        <v>50</v>
      </c>
      <c r="L960" s="6" t="s">
        <v>1482</v>
      </c>
    </row>
    <row r="961" spans="1:12">
      <c r="A961" t="s">
        <v>150</v>
      </c>
      <c r="G961">
        <v>100</v>
      </c>
      <c r="H961" t="s">
        <v>1482</v>
      </c>
      <c r="K961" s="5">
        <v>100</v>
      </c>
      <c r="L961" s="6" t="s">
        <v>1482</v>
      </c>
    </row>
    <row r="962" spans="1:12">
      <c r="A962" t="s">
        <v>27</v>
      </c>
      <c r="G962">
        <v>200</v>
      </c>
      <c r="H962" t="s">
        <v>1482</v>
      </c>
      <c r="K962" s="5">
        <v>200</v>
      </c>
      <c r="L962" s="6" t="s">
        <v>1482</v>
      </c>
    </row>
    <row r="963" spans="1:12">
      <c r="A963" t="s">
        <v>25</v>
      </c>
      <c r="B963" t="s">
        <v>1484</v>
      </c>
      <c r="C963" t="s">
        <v>1481</v>
      </c>
      <c r="G963">
        <v>150</v>
      </c>
      <c r="H963" t="s">
        <v>1482</v>
      </c>
      <c r="K963" s="5">
        <v>150</v>
      </c>
      <c r="L963" s="6" t="s">
        <v>1482</v>
      </c>
    </row>
    <row r="964" spans="1:12">
      <c r="A964" t="s">
        <v>27</v>
      </c>
      <c r="B964" t="s">
        <v>1486</v>
      </c>
      <c r="C964" t="s">
        <v>1481</v>
      </c>
      <c r="G964">
        <v>200</v>
      </c>
      <c r="H964" t="s">
        <v>1482</v>
      </c>
      <c r="K964" s="5">
        <v>200</v>
      </c>
      <c r="L964" s="6" t="s">
        <v>1482</v>
      </c>
    </row>
    <row r="965" spans="1:12">
      <c r="A965" t="s">
        <v>25</v>
      </c>
      <c r="B965" t="s">
        <v>1483</v>
      </c>
      <c r="G965">
        <v>200</v>
      </c>
      <c r="H965" t="s">
        <v>1482</v>
      </c>
      <c r="K965" s="5">
        <v>200</v>
      </c>
      <c r="L965" s="6" t="s">
        <v>1482</v>
      </c>
    </row>
    <row r="966" spans="1:12">
      <c r="A966" t="s">
        <v>27</v>
      </c>
      <c r="B966" t="s">
        <v>1481</v>
      </c>
      <c r="G966">
        <v>200</v>
      </c>
      <c r="H966" t="s">
        <v>1482</v>
      </c>
      <c r="K966" s="5">
        <v>200</v>
      </c>
      <c r="L966" s="6" t="s">
        <v>1482</v>
      </c>
    </row>
    <row r="967" spans="1:12">
      <c r="A967" t="s">
        <v>150</v>
      </c>
      <c r="G967">
        <v>100</v>
      </c>
      <c r="H967" t="s">
        <v>1482</v>
      </c>
      <c r="K967" s="5">
        <v>100</v>
      </c>
      <c r="L967" s="6" t="s">
        <v>1482</v>
      </c>
    </row>
    <row r="968" spans="1:12">
      <c r="A968" t="s">
        <v>25</v>
      </c>
      <c r="B968" t="s">
        <v>1481</v>
      </c>
      <c r="C968" t="s">
        <v>1485</v>
      </c>
      <c r="G968">
        <v>50</v>
      </c>
      <c r="H968" t="s">
        <v>1482</v>
      </c>
      <c r="K968" s="5">
        <v>50</v>
      </c>
      <c r="L968" s="6" t="s">
        <v>1482</v>
      </c>
    </row>
    <row r="969" spans="1:12">
      <c r="A969" t="s">
        <v>25</v>
      </c>
      <c r="B969" t="s">
        <v>1481</v>
      </c>
      <c r="G969">
        <v>150</v>
      </c>
      <c r="H969" t="s">
        <v>1482</v>
      </c>
      <c r="K969" s="5">
        <v>150</v>
      </c>
      <c r="L969" s="6" t="s">
        <v>1482</v>
      </c>
    </row>
    <row r="970" spans="1:12">
      <c r="A970" t="s">
        <v>28</v>
      </c>
      <c r="B970" t="s">
        <v>1486</v>
      </c>
      <c r="G970">
        <v>100</v>
      </c>
      <c r="H970" t="s">
        <v>1482</v>
      </c>
      <c r="K970" s="5">
        <v>100</v>
      </c>
      <c r="L970" s="6" t="s">
        <v>1482</v>
      </c>
    </row>
    <row r="971" spans="1:12">
      <c r="A971" t="s">
        <v>150</v>
      </c>
      <c r="G971">
        <v>50</v>
      </c>
      <c r="H971" t="s">
        <v>1482</v>
      </c>
      <c r="K971" s="5">
        <v>50</v>
      </c>
      <c r="L971" s="6" t="s">
        <v>1482</v>
      </c>
    </row>
    <row r="972" spans="1:12">
      <c r="A972" t="s">
        <v>26</v>
      </c>
      <c r="B972" t="s">
        <v>1481</v>
      </c>
      <c r="G972">
        <v>200</v>
      </c>
      <c r="H972" t="s">
        <v>1482</v>
      </c>
      <c r="K972" s="5">
        <v>200</v>
      </c>
      <c r="L972" s="6" t="s">
        <v>1482</v>
      </c>
    </row>
    <row r="973" spans="1:12">
      <c r="A973" t="s">
        <v>26</v>
      </c>
      <c r="G973">
        <v>150</v>
      </c>
      <c r="H973" t="s">
        <v>1482</v>
      </c>
      <c r="K973" s="5">
        <v>150</v>
      </c>
      <c r="L973" s="6" t="s">
        <v>1482</v>
      </c>
    </row>
    <row r="974" spans="1:12">
      <c r="A974" t="s">
        <v>150</v>
      </c>
      <c r="G974">
        <v>50</v>
      </c>
      <c r="H974" t="s">
        <v>1482</v>
      </c>
      <c r="K974" s="5">
        <v>50</v>
      </c>
      <c r="L974" s="6" t="s">
        <v>1482</v>
      </c>
    </row>
    <row r="975" spans="1:12">
      <c r="A975" t="s">
        <v>28</v>
      </c>
      <c r="G975">
        <v>200</v>
      </c>
      <c r="H975" t="s">
        <v>1482</v>
      </c>
      <c r="K975" s="5">
        <v>200</v>
      </c>
      <c r="L975" s="6" t="s">
        <v>1482</v>
      </c>
    </row>
    <row r="976" spans="1:12">
      <c r="A976" t="s">
        <v>26</v>
      </c>
      <c r="G976">
        <v>100</v>
      </c>
      <c r="H976" t="s">
        <v>1482</v>
      </c>
      <c r="K976" s="5">
        <v>100</v>
      </c>
      <c r="L976" s="6" t="s">
        <v>1482</v>
      </c>
    </row>
    <row r="977" spans="1:12">
      <c r="A977" t="s">
        <v>27</v>
      </c>
      <c r="B977" t="s">
        <v>1481</v>
      </c>
      <c r="G977">
        <v>150</v>
      </c>
      <c r="H977" t="s">
        <v>1482</v>
      </c>
      <c r="K977" s="5">
        <v>150</v>
      </c>
      <c r="L977" s="6" t="s">
        <v>1482</v>
      </c>
    </row>
    <row r="978" spans="1:12">
      <c r="A978" t="s">
        <v>26</v>
      </c>
      <c r="B978" t="s">
        <v>1484</v>
      </c>
      <c r="C978" t="s">
        <v>1486</v>
      </c>
      <c r="G978">
        <v>200</v>
      </c>
      <c r="H978" t="s">
        <v>1482</v>
      </c>
      <c r="K978" s="5">
        <v>200</v>
      </c>
      <c r="L978" s="6" t="s">
        <v>1482</v>
      </c>
    </row>
    <row r="979" spans="1:12">
      <c r="A979" t="s">
        <v>27</v>
      </c>
      <c r="B979" t="s">
        <v>1484</v>
      </c>
      <c r="G979">
        <v>200</v>
      </c>
      <c r="H979" t="s">
        <v>1482</v>
      </c>
      <c r="K979" s="5">
        <v>200</v>
      </c>
      <c r="L979" s="6" t="s">
        <v>1482</v>
      </c>
    </row>
    <row r="980" spans="1:12">
      <c r="A980" t="s">
        <v>26</v>
      </c>
      <c r="B980" t="s">
        <v>1484</v>
      </c>
      <c r="C980" t="s">
        <v>1481</v>
      </c>
      <c r="G980">
        <v>50</v>
      </c>
      <c r="H980" t="s">
        <v>1482</v>
      </c>
      <c r="K980" s="5">
        <v>50</v>
      </c>
      <c r="L980" s="6" t="s">
        <v>1482</v>
      </c>
    </row>
    <row r="981" spans="1:12">
      <c r="A981" t="s">
        <v>26</v>
      </c>
      <c r="B981" t="s">
        <v>1481</v>
      </c>
      <c r="C981" t="s">
        <v>1485</v>
      </c>
      <c r="G981">
        <v>200</v>
      </c>
      <c r="H981" t="s">
        <v>1482</v>
      </c>
      <c r="K981" s="5">
        <v>200</v>
      </c>
      <c r="L981" s="6" t="s">
        <v>1482</v>
      </c>
    </row>
    <row r="982" spans="1:12">
      <c r="A982" t="s">
        <v>25</v>
      </c>
      <c r="G982">
        <v>50</v>
      </c>
      <c r="H982" t="s">
        <v>1482</v>
      </c>
      <c r="K982" s="5">
        <v>50</v>
      </c>
      <c r="L982" s="6" t="s">
        <v>1482</v>
      </c>
    </row>
    <row r="983" spans="1:12">
      <c r="A983" t="s">
        <v>28</v>
      </c>
      <c r="B983" t="s">
        <v>1485</v>
      </c>
      <c r="C983" t="s">
        <v>1483</v>
      </c>
      <c r="G983">
        <v>200</v>
      </c>
      <c r="H983" t="s">
        <v>1482</v>
      </c>
      <c r="K983" s="5">
        <v>200</v>
      </c>
      <c r="L983" s="6" t="s">
        <v>1482</v>
      </c>
    </row>
    <row r="984" spans="1:12">
      <c r="A984" t="s">
        <v>25</v>
      </c>
      <c r="B984" t="s">
        <v>1485</v>
      </c>
      <c r="G984">
        <v>50</v>
      </c>
      <c r="H984" t="s">
        <v>1482</v>
      </c>
      <c r="K984" s="5">
        <v>50</v>
      </c>
      <c r="L984" s="6" t="s">
        <v>1482</v>
      </c>
    </row>
    <row r="985" spans="1:12">
      <c r="A985" t="s">
        <v>26</v>
      </c>
      <c r="G985">
        <v>50</v>
      </c>
      <c r="H985" t="s">
        <v>1482</v>
      </c>
      <c r="K985" s="5">
        <v>50</v>
      </c>
      <c r="L985" s="6" t="s">
        <v>1482</v>
      </c>
    </row>
    <row r="986" spans="1:12">
      <c r="A986" t="s">
        <v>25</v>
      </c>
      <c r="G986">
        <v>150</v>
      </c>
      <c r="H986" t="s">
        <v>1482</v>
      </c>
      <c r="K986" s="5">
        <v>150</v>
      </c>
      <c r="L986" s="6" t="s">
        <v>1482</v>
      </c>
    </row>
    <row r="987" spans="1:12">
      <c r="A987" t="s">
        <v>26</v>
      </c>
      <c r="B987" t="s">
        <v>1485</v>
      </c>
      <c r="G987">
        <v>50</v>
      </c>
      <c r="H987" t="s">
        <v>1482</v>
      </c>
      <c r="K987" s="5">
        <v>50</v>
      </c>
      <c r="L987" s="6" t="s">
        <v>1482</v>
      </c>
    </row>
    <row r="988" spans="1:12">
      <c r="A988" t="s">
        <v>26</v>
      </c>
      <c r="G988">
        <v>200</v>
      </c>
      <c r="H988" t="s">
        <v>1482</v>
      </c>
      <c r="K988" s="5">
        <v>200</v>
      </c>
      <c r="L988" s="6" t="s">
        <v>1482</v>
      </c>
    </row>
    <row r="989" spans="1:12">
      <c r="A989" t="s">
        <v>150</v>
      </c>
      <c r="G989">
        <v>50</v>
      </c>
      <c r="H989" t="s">
        <v>1482</v>
      </c>
      <c r="K989" s="5">
        <v>50</v>
      </c>
      <c r="L989" s="6" t="s">
        <v>1482</v>
      </c>
    </row>
    <row r="990" spans="1:12">
      <c r="A990" t="s">
        <v>25</v>
      </c>
      <c r="B990" t="s">
        <v>1481</v>
      </c>
      <c r="G990">
        <v>50</v>
      </c>
      <c r="H990" t="s">
        <v>1482</v>
      </c>
      <c r="K990" s="5">
        <v>50</v>
      </c>
      <c r="L990" s="6" t="s">
        <v>1482</v>
      </c>
    </row>
    <row r="991" spans="1:12">
      <c r="A991" t="s">
        <v>26</v>
      </c>
      <c r="B991" t="s">
        <v>1481</v>
      </c>
      <c r="C991" t="s">
        <v>1486</v>
      </c>
      <c r="G991">
        <v>150</v>
      </c>
      <c r="H991" t="s">
        <v>1482</v>
      </c>
      <c r="K991" s="5">
        <v>150</v>
      </c>
      <c r="L991" s="6" t="s">
        <v>1482</v>
      </c>
    </row>
    <row r="992" spans="1:12">
      <c r="A992" t="s">
        <v>150</v>
      </c>
      <c r="G992">
        <v>150</v>
      </c>
      <c r="H992" t="s">
        <v>1482</v>
      </c>
      <c r="K992" s="5">
        <v>150</v>
      </c>
      <c r="L992" s="6" t="s">
        <v>1482</v>
      </c>
    </row>
    <row r="993" spans="1:12">
      <c r="A993" t="s">
        <v>150</v>
      </c>
      <c r="G993">
        <v>50</v>
      </c>
      <c r="H993" t="s">
        <v>1482</v>
      </c>
      <c r="K993" s="5">
        <v>50</v>
      </c>
      <c r="L993" s="6" t="s">
        <v>1482</v>
      </c>
    </row>
    <row r="994" spans="1:12">
      <c r="A994" t="s">
        <v>150</v>
      </c>
      <c r="G994">
        <v>150</v>
      </c>
      <c r="H994" t="s">
        <v>1482</v>
      </c>
      <c r="K994" s="5">
        <v>150</v>
      </c>
      <c r="L994" s="6" t="s">
        <v>1482</v>
      </c>
    </row>
    <row r="995" spans="1:12">
      <c r="A995" t="s">
        <v>28</v>
      </c>
      <c r="B995" t="s">
        <v>1483</v>
      </c>
      <c r="G995">
        <v>150</v>
      </c>
      <c r="H995" t="s">
        <v>1482</v>
      </c>
      <c r="K995" s="5">
        <v>150</v>
      </c>
      <c r="L995" s="6" t="s">
        <v>1482</v>
      </c>
    </row>
    <row r="996" spans="1:12">
      <c r="A996" t="s">
        <v>25</v>
      </c>
      <c r="B996" t="s">
        <v>1485</v>
      </c>
      <c r="C996" t="s">
        <v>1481</v>
      </c>
      <c r="G996">
        <v>50</v>
      </c>
      <c r="H996" t="s">
        <v>1482</v>
      </c>
      <c r="K996" s="5">
        <v>50</v>
      </c>
      <c r="L996" s="6" t="s">
        <v>1482</v>
      </c>
    </row>
    <row r="997" spans="1:12">
      <c r="A997" t="s">
        <v>26</v>
      </c>
      <c r="B997" t="s">
        <v>1481</v>
      </c>
      <c r="G997">
        <v>50</v>
      </c>
      <c r="H997" t="s">
        <v>1482</v>
      </c>
      <c r="K997" s="5">
        <v>50</v>
      </c>
      <c r="L997" s="6" t="s">
        <v>1482</v>
      </c>
    </row>
    <row r="998" spans="1:12">
      <c r="A998" t="s">
        <v>27</v>
      </c>
      <c r="G998">
        <v>50</v>
      </c>
      <c r="H998" t="s">
        <v>1482</v>
      </c>
      <c r="K998" s="5">
        <v>50</v>
      </c>
      <c r="L998" s="6" t="s">
        <v>1482</v>
      </c>
    </row>
    <row r="999" spans="1:12">
      <c r="A999" t="s">
        <v>25</v>
      </c>
      <c r="B999" t="s">
        <v>1484</v>
      </c>
      <c r="C999" t="s">
        <v>1481</v>
      </c>
      <c r="G999">
        <v>100</v>
      </c>
      <c r="H999" t="s">
        <v>1482</v>
      </c>
      <c r="K999" s="5">
        <v>100</v>
      </c>
      <c r="L999" s="6" t="s">
        <v>1482</v>
      </c>
    </row>
    <row r="1000" spans="1:12">
      <c r="A1000" t="s">
        <v>25</v>
      </c>
      <c r="B1000" t="s">
        <v>1483</v>
      </c>
      <c r="G1000">
        <v>100</v>
      </c>
      <c r="H1000" t="s">
        <v>1482</v>
      </c>
      <c r="K1000" s="5">
        <v>100</v>
      </c>
      <c r="L1000" s="6" t="s">
        <v>1482</v>
      </c>
    </row>
    <row r="1001" spans="1:12">
      <c r="A1001" t="s">
        <v>150</v>
      </c>
      <c r="G1001">
        <v>150</v>
      </c>
      <c r="H1001" t="s">
        <v>1482</v>
      </c>
      <c r="K1001" s="5">
        <v>150</v>
      </c>
      <c r="L1001" s="6" t="s">
        <v>1482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workbookViewId="0">
      <selection activeCell="A30" sqref="A30"/>
    </sheetView>
  </sheetViews>
  <sheetFormatPr defaultColWidth="8.88888888888889" defaultRowHeight="14.4"/>
  <cols>
    <col min="1" max="1" width="22.1111111111111" customWidth="1"/>
    <col min="4" max="4" width="9"/>
  </cols>
  <sheetData>
    <row r="1" spans="1:4">
      <c r="A1" s="2" t="s">
        <v>183</v>
      </c>
      <c r="B1" s="2" t="s">
        <v>23</v>
      </c>
      <c r="C1" s="2"/>
      <c r="D1" s="4" t="s">
        <v>1487</v>
      </c>
    </row>
    <row r="2" spans="1:4">
      <c r="A2">
        <v>95</v>
      </c>
      <c r="B2" t="s">
        <v>27</v>
      </c>
      <c r="D2" t="str" cm="1">
        <f t="array" ref="D2">IFERROR("unavailable",CORREL(A2:A1001,B2:B1001))</f>
        <v>unavailable</v>
      </c>
    </row>
    <row r="3" spans="1:4">
      <c r="A3">
        <v>96</v>
      </c>
      <c r="B3" t="s">
        <v>27</v>
      </c>
      <c r="D3" t="s">
        <v>1488</v>
      </c>
    </row>
    <row r="4" spans="1:2">
      <c r="A4">
        <v>97</v>
      </c>
      <c r="B4" t="s">
        <v>26</v>
      </c>
    </row>
    <row r="5" spans="1:4">
      <c r="A5">
        <v>98</v>
      </c>
      <c r="B5" t="s">
        <v>25</v>
      </c>
      <c r="D5" t="s">
        <v>1489</v>
      </c>
    </row>
    <row r="6" spans="1:2">
      <c r="A6">
        <v>99</v>
      </c>
      <c r="B6" t="s">
        <v>25</v>
      </c>
    </row>
    <row r="7" spans="1:2">
      <c r="A7">
        <v>100</v>
      </c>
      <c r="B7" t="s">
        <v>27</v>
      </c>
    </row>
    <row r="8" spans="1:2">
      <c r="A8">
        <v>101</v>
      </c>
      <c r="B8" t="s">
        <v>25</v>
      </c>
    </row>
    <row r="9" spans="1:2">
      <c r="A9">
        <v>102</v>
      </c>
      <c r="B9" t="s">
        <v>25</v>
      </c>
    </row>
    <row r="10" spans="1:2">
      <c r="A10">
        <v>103</v>
      </c>
      <c r="B10" t="s">
        <v>25</v>
      </c>
    </row>
    <row r="11" spans="1:2">
      <c r="A11">
        <v>104</v>
      </c>
      <c r="B11" t="s">
        <v>27</v>
      </c>
    </row>
    <row r="12" spans="1:2">
      <c r="A12">
        <v>105</v>
      </c>
      <c r="B12" t="s">
        <v>27</v>
      </c>
    </row>
    <row r="13" spans="1:2">
      <c r="A13">
        <v>106</v>
      </c>
      <c r="B13" t="s">
        <v>28</v>
      </c>
    </row>
    <row r="14" spans="1:2">
      <c r="A14">
        <v>107</v>
      </c>
      <c r="B14" t="s">
        <v>26</v>
      </c>
    </row>
    <row r="15" spans="1:2">
      <c r="A15">
        <v>108</v>
      </c>
      <c r="B15" t="s">
        <v>150</v>
      </c>
    </row>
    <row r="16" spans="1:2">
      <c r="A16">
        <v>109</v>
      </c>
      <c r="B16" t="s">
        <v>26</v>
      </c>
    </row>
    <row r="17" spans="1:2">
      <c r="A17">
        <v>110</v>
      </c>
      <c r="B17" t="s">
        <v>25</v>
      </c>
    </row>
    <row r="18" spans="1:2">
      <c r="A18">
        <v>111</v>
      </c>
      <c r="B18" t="s">
        <v>150</v>
      </c>
    </row>
    <row r="19" spans="1:2">
      <c r="A19">
        <v>112</v>
      </c>
      <c r="B19" t="s">
        <v>27</v>
      </c>
    </row>
    <row r="20" spans="1:2">
      <c r="A20">
        <v>113</v>
      </c>
      <c r="B20" t="s">
        <v>26</v>
      </c>
    </row>
    <row r="21" spans="1:2">
      <c r="A21">
        <v>114</v>
      </c>
      <c r="B21" t="s">
        <v>27</v>
      </c>
    </row>
    <row r="22" spans="1:2">
      <c r="A22">
        <v>115</v>
      </c>
      <c r="B22" t="s">
        <v>28</v>
      </c>
    </row>
    <row r="23" spans="1:2">
      <c r="A23">
        <v>116</v>
      </c>
      <c r="B23" t="s">
        <v>27</v>
      </c>
    </row>
    <row r="24" spans="1:2">
      <c r="A24">
        <v>117</v>
      </c>
      <c r="B24" t="s">
        <v>26</v>
      </c>
    </row>
    <row r="25" spans="1:2">
      <c r="A25">
        <v>118</v>
      </c>
      <c r="B25" t="s">
        <v>26</v>
      </c>
    </row>
    <row r="26" spans="1:2">
      <c r="A26">
        <v>119</v>
      </c>
      <c r="B26" t="s">
        <v>28</v>
      </c>
    </row>
    <row r="27" spans="1:2">
      <c r="A27">
        <v>120</v>
      </c>
      <c r="B27" t="s">
        <v>28</v>
      </c>
    </row>
    <row r="28" spans="1:2">
      <c r="A28">
        <v>121</v>
      </c>
      <c r="B28" t="s">
        <v>27</v>
      </c>
    </row>
    <row r="29" spans="1:2">
      <c r="A29">
        <v>122</v>
      </c>
      <c r="B29" t="s">
        <v>27</v>
      </c>
    </row>
    <row r="30" spans="1:2">
      <c r="A30">
        <v>123</v>
      </c>
      <c r="B30" t="s">
        <v>26</v>
      </c>
    </row>
    <row r="31" spans="1:2">
      <c r="A31">
        <v>124</v>
      </c>
      <c r="B31" t="s">
        <v>27</v>
      </c>
    </row>
    <row r="32" spans="1:2">
      <c r="A32">
        <v>125</v>
      </c>
      <c r="B32" t="s">
        <v>28</v>
      </c>
    </row>
    <row r="33" spans="1:2">
      <c r="A33">
        <v>126</v>
      </c>
      <c r="B33" t="s">
        <v>150</v>
      </c>
    </row>
    <row r="34" spans="1:2">
      <c r="A34">
        <v>127</v>
      </c>
      <c r="B34" t="s">
        <v>26</v>
      </c>
    </row>
    <row r="35" spans="1:2">
      <c r="A35">
        <v>128</v>
      </c>
      <c r="B35" t="s">
        <v>28</v>
      </c>
    </row>
    <row r="36" spans="1:2">
      <c r="A36">
        <v>129</v>
      </c>
      <c r="B36" t="s">
        <v>150</v>
      </c>
    </row>
    <row r="37" spans="1:2">
      <c r="A37">
        <v>130</v>
      </c>
      <c r="B37" t="s">
        <v>26</v>
      </c>
    </row>
    <row r="38" spans="1:2">
      <c r="A38">
        <v>131</v>
      </c>
      <c r="B38" t="s">
        <v>150</v>
      </c>
    </row>
    <row r="39" spans="1:2">
      <c r="A39">
        <v>132</v>
      </c>
      <c r="B39" t="s">
        <v>26</v>
      </c>
    </row>
    <row r="40" spans="1:2">
      <c r="A40">
        <v>133</v>
      </c>
      <c r="B40" t="s">
        <v>26</v>
      </c>
    </row>
    <row r="41" spans="1:2">
      <c r="A41">
        <v>134</v>
      </c>
      <c r="B41" t="s">
        <v>28</v>
      </c>
    </row>
    <row r="42" spans="1:2">
      <c r="A42">
        <v>135</v>
      </c>
      <c r="B42" t="s">
        <v>26</v>
      </c>
    </row>
    <row r="43" spans="1:2">
      <c r="A43">
        <v>136</v>
      </c>
      <c r="B43" t="s">
        <v>25</v>
      </c>
    </row>
    <row r="44" spans="1:2">
      <c r="A44">
        <v>137</v>
      </c>
      <c r="B44" t="s">
        <v>150</v>
      </c>
    </row>
    <row r="45" spans="1:2">
      <c r="A45">
        <v>138</v>
      </c>
      <c r="B45" t="s">
        <v>25</v>
      </c>
    </row>
    <row r="46" spans="1:2">
      <c r="A46">
        <v>139</v>
      </c>
      <c r="B46" t="s">
        <v>28</v>
      </c>
    </row>
    <row r="47" spans="1:2">
      <c r="A47">
        <v>140</v>
      </c>
      <c r="B47" t="s">
        <v>25</v>
      </c>
    </row>
    <row r="48" spans="1:2">
      <c r="A48">
        <v>141</v>
      </c>
      <c r="B48" t="s">
        <v>25</v>
      </c>
    </row>
    <row r="49" spans="1:2">
      <c r="A49">
        <v>142</v>
      </c>
      <c r="B49" t="s">
        <v>27</v>
      </c>
    </row>
    <row r="50" spans="1:2">
      <c r="A50">
        <v>143</v>
      </c>
      <c r="B50" t="s">
        <v>150</v>
      </c>
    </row>
    <row r="51" spans="1:2">
      <c r="A51">
        <v>144</v>
      </c>
      <c r="B51" t="s">
        <v>28</v>
      </c>
    </row>
    <row r="52" spans="1:2">
      <c r="A52">
        <v>145</v>
      </c>
      <c r="B52" t="s">
        <v>26</v>
      </c>
    </row>
    <row r="53" spans="1:2">
      <c r="A53">
        <v>146</v>
      </c>
      <c r="B53" t="s">
        <v>150</v>
      </c>
    </row>
    <row r="54" spans="1:2">
      <c r="A54">
        <v>147</v>
      </c>
      <c r="B54" t="s">
        <v>27</v>
      </c>
    </row>
    <row r="55" spans="1:2">
      <c r="A55">
        <v>148</v>
      </c>
      <c r="B55" t="s">
        <v>150</v>
      </c>
    </row>
    <row r="56" spans="1:2">
      <c r="A56">
        <v>149</v>
      </c>
      <c r="B56" t="s">
        <v>28</v>
      </c>
    </row>
    <row r="57" spans="1:2">
      <c r="A57">
        <v>150</v>
      </c>
      <c r="B57" t="s">
        <v>150</v>
      </c>
    </row>
    <row r="58" spans="1:2">
      <c r="A58">
        <v>151</v>
      </c>
      <c r="B58" t="s">
        <v>28</v>
      </c>
    </row>
    <row r="59" spans="1:2">
      <c r="A59">
        <v>152</v>
      </c>
      <c r="B59" t="s">
        <v>25</v>
      </c>
    </row>
    <row r="60" spans="1:2">
      <c r="A60">
        <v>153</v>
      </c>
      <c r="B60" t="s">
        <v>25</v>
      </c>
    </row>
    <row r="61" spans="1:2">
      <c r="A61">
        <v>154</v>
      </c>
      <c r="B61" t="s">
        <v>150</v>
      </c>
    </row>
    <row r="62" spans="1:2">
      <c r="A62">
        <v>155</v>
      </c>
      <c r="B62" t="s">
        <v>25</v>
      </c>
    </row>
    <row r="63" spans="1:2">
      <c r="A63">
        <v>156</v>
      </c>
      <c r="B63" t="s">
        <v>28</v>
      </c>
    </row>
    <row r="64" spans="1:2">
      <c r="A64">
        <v>157</v>
      </c>
      <c r="B64" t="s">
        <v>27</v>
      </c>
    </row>
    <row r="65" spans="1:2">
      <c r="A65">
        <v>158</v>
      </c>
      <c r="B65" t="s">
        <v>28</v>
      </c>
    </row>
    <row r="66" spans="1:2">
      <c r="A66">
        <v>159</v>
      </c>
      <c r="B66" t="s">
        <v>26</v>
      </c>
    </row>
    <row r="67" spans="1:2">
      <c r="A67">
        <v>160</v>
      </c>
      <c r="B67" t="s">
        <v>28</v>
      </c>
    </row>
    <row r="68" spans="1:2">
      <c r="A68">
        <v>161</v>
      </c>
      <c r="B68" t="s">
        <v>28</v>
      </c>
    </row>
    <row r="69" spans="1:2">
      <c r="A69">
        <v>162</v>
      </c>
      <c r="B69" t="s">
        <v>150</v>
      </c>
    </row>
    <row r="70" spans="1:2">
      <c r="A70">
        <v>163</v>
      </c>
      <c r="B70" t="s">
        <v>27</v>
      </c>
    </row>
    <row r="71" spans="1:2">
      <c r="A71">
        <v>164</v>
      </c>
      <c r="B71" t="s">
        <v>25</v>
      </c>
    </row>
    <row r="72" spans="1:2">
      <c r="A72">
        <v>165</v>
      </c>
      <c r="B72" t="s">
        <v>26</v>
      </c>
    </row>
    <row r="73" spans="1:2">
      <c r="A73">
        <v>166</v>
      </c>
      <c r="B73" t="s">
        <v>27</v>
      </c>
    </row>
    <row r="74" spans="1:2">
      <c r="A74">
        <v>167</v>
      </c>
      <c r="B74" t="s">
        <v>25</v>
      </c>
    </row>
    <row r="75" spans="1:2">
      <c r="A75">
        <v>168</v>
      </c>
      <c r="B75" t="s">
        <v>27</v>
      </c>
    </row>
    <row r="76" spans="1:2">
      <c r="A76">
        <v>169</v>
      </c>
      <c r="B76" t="s">
        <v>28</v>
      </c>
    </row>
    <row r="77" spans="1:2">
      <c r="A77">
        <v>170</v>
      </c>
      <c r="B77" t="s">
        <v>28</v>
      </c>
    </row>
    <row r="78" spans="1:2">
      <c r="A78">
        <v>171</v>
      </c>
      <c r="B78" t="s">
        <v>150</v>
      </c>
    </row>
    <row r="79" spans="1:2">
      <c r="A79">
        <v>172</v>
      </c>
      <c r="B79" t="s">
        <v>26</v>
      </c>
    </row>
    <row r="80" spans="1:2">
      <c r="A80">
        <v>173</v>
      </c>
      <c r="B80" t="s">
        <v>150</v>
      </c>
    </row>
    <row r="81" spans="1:2">
      <c r="A81">
        <v>174</v>
      </c>
      <c r="B81" t="s">
        <v>26</v>
      </c>
    </row>
    <row r="82" spans="1:2">
      <c r="A82">
        <v>175</v>
      </c>
      <c r="B82" t="s">
        <v>27</v>
      </c>
    </row>
    <row r="83" spans="1:2">
      <c r="A83">
        <v>176</v>
      </c>
      <c r="B83" t="s">
        <v>26</v>
      </c>
    </row>
    <row r="84" spans="1:2">
      <c r="A84">
        <v>177</v>
      </c>
      <c r="B84" t="s">
        <v>26</v>
      </c>
    </row>
    <row r="85" spans="1:2">
      <c r="A85">
        <v>178</v>
      </c>
      <c r="B85" t="s">
        <v>27</v>
      </c>
    </row>
    <row r="86" spans="1:2">
      <c r="A86">
        <v>179</v>
      </c>
      <c r="B86" t="s">
        <v>28</v>
      </c>
    </row>
    <row r="87" spans="1:2">
      <c r="A87">
        <v>180</v>
      </c>
      <c r="B87" t="s">
        <v>28</v>
      </c>
    </row>
    <row r="88" spans="1:2">
      <c r="A88">
        <v>181</v>
      </c>
      <c r="B88" t="s">
        <v>150</v>
      </c>
    </row>
    <row r="89" spans="1:2">
      <c r="A89">
        <v>182</v>
      </c>
      <c r="B89" t="s">
        <v>27</v>
      </c>
    </row>
    <row r="90" spans="1:2">
      <c r="A90">
        <v>183</v>
      </c>
      <c r="B90" t="s">
        <v>25</v>
      </c>
    </row>
    <row r="91" spans="1:2">
      <c r="A91">
        <v>184</v>
      </c>
      <c r="B91" t="s">
        <v>27</v>
      </c>
    </row>
    <row r="92" spans="1:2">
      <c r="A92">
        <v>185</v>
      </c>
      <c r="B92" t="s">
        <v>27</v>
      </c>
    </row>
    <row r="93" spans="1:2">
      <c r="A93">
        <v>186</v>
      </c>
      <c r="B93" t="s">
        <v>28</v>
      </c>
    </row>
    <row r="94" spans="1:2">
      <c r="A94">
        <v>187</v>
      </c>
      <c r="B94" t="s">
        <v>26</v>
      </c>
    </row>
    <row r="95" spans="1:2">
      <c r="A95">
        <v>188</v>
      </c>
      <c r="B95" t="s">
        <v>26</v>
      </c>
    </row>
    <row r="96" spans="1:2">
      <c r="A96">
        <v>189</v>
      </c>
      <c r="B96" t="s">
        <v>25</v>
      </c>
    </row>
    <row r="97" spans="1:2">
      <c r="A97">
        <v>190</v>
      </c>
      <c r="B97" t="s">
        <v>26</v>
      </c>
    </row>
    <row r="98" spans="1:2">
      <c r="A98">
        <v>191</v>
      </c>
      <c r="B98" t="s">
        <v>25</v>
      </c>
    </row>
    <row r="99" spans="1:2">
      <c r="A99">
        <v>192</v>
      </c>
      <c r="B99" t="s">
        <v>26</v>
      </c>
    </row>
    <row r="100" spans="1:2">
      <c r="A100">
        <v>193</v>
      </c>
      <c r="B100" t="s">
        <v>25</v>
      </c>
    </row>
    <row r="101" spans="1:2">
      <c r="A101">
        <v>194</v>
      </c>
      <c r="B101" t="s">
        <v>28</v>
      </c>
    </row>
    <row r="102" spans="1:2">
      <c r="A102">
        <v>195</v>
      </c>
      <c r="B102" t="s">
        <v>150</v>
      </c>
    </row>
    <row r="103" spans="1:2">
      <c r="A103">
        <v>196</v>
      </c>
      <c r="B103" t="s">
        <v>25</v>
      </c>
    </row>
    <row r="104" spans="1:2">
      <c r="A104">
        <v>197</v>
      </c>
      <c r="B104" t="s">
        <v>150</v>
      </c>
    </row>
    <row r="105" spans="1:2">
      <c r="A105">
        <v>198</v>
      </c>
      <c r="B105" t="s">
        <v>27</v>
      </c>
    </row>
    <row r="106" spans="1:2">
      <c r="A106">
        <v>199</v>
      </c>
      <c r="B106" t="s">
        <v>27</v>
      </c>
    </row>
    <row r="107" spans="1:2">
      <c r="A107">
        <v>200</v>
      </c>
      <c r="B107" t="s">
        <v>28</v>
      </c>
    </row>
    <row r="108" spans="1:2">
      <c r="A108">
        <v>201</v>
      </c>
      <c r="B108" t="s">
        <v>25</v>
      </c>
    </row>
    <row r="109" spans="1:2">
      <c r="A109">
        <v>202</v>
      </c>
      <c r="B109" t="s">
        <v>28</v>
      </c>
    </row>
    <row r="110" spans="1:2">
      <c r="A110">
        <v>203</v>
      </c>
      <c r="B110" t="s">
        <v>27</v>
      </c>
    </row>
    <row r="111" spans="1:2">
      <c r="A111">
        <v>204</v>
      </c>
      <c r="B111" t="s">
        <v>150</v>
      </c>
    </row>
    <row r="112" spans="1:2">
      <c r="A112">
        <v>205</v>
      </c>
      <c r="B112" t="s">
        <v>25</v>
      </c>
    </row>
    <row r="113" spans="1:2">
      <c r="A113">
        <v>206</v>
      </c>
      <c r="B113" t="s">
        <v>28</v>
      </c>
    </row>
    <row r="114" spans="1:2">
      <c r="A114">
        <v>207</v>
      </c>
      <c r="B114" t="s">
        <v>26</v>
      </c>
    </row>
    <row r="115" spans="1:2">
      <c r="A115">
        <v>208</v>
      </c>
      <c r="B115" t="s">
        <v>25</v>
      </c>
    </row>
    <row r="116" spans="1:2">
      <c r="A116">
        <v>209</v>
      </c>
      <c r="B116" t="s">
        <v>150</v>
      </c>
    </row>
    <row r="117" spans="1:2">
      <c r="A117">
        <v>210</v>
      </c>
      <c r="B117" t="s">
        <v>28</v>
      </c>
    </row>
    <row r="118" spans="1:2">
      <c r="A118">
        <v>211</v>
      </c>
      <c r="B118" t="s">
        <v>26</v>
      </c>
    </row>
    <row r="119" spans="1:2">
      <c r="A119">
        <v>212</v>
      </c>
      <c r="B119" t="s">
        <v>26</v>
      </c>
    </row>
    <row r="120" spans="1:2">
      <c r="A120">
        <v>213</v>
      </c>
      <c r="B120" t="s">
        <v>150</v>
      </c>
    </row>
    <row r="121" spans="1:2">
      <c r="A121">
        <v>214</v>
      </c>
      <c r="B121" t="s">
        <v>26</v>
      </c>
    </row>
    <row r="122" spans="1:2">
      <c r="A122">
        <v>215</v>
      </c>
      <c r="B122" t="s">
        <v>27</v>
      </c>
    </row>
    <row r="123" spans="1:2">
      <c r="A123">
        <v>216</v>
      </c>
      <c r="B123" t="s">
        <v>28</v>
      </c>
    </row>
    <row r="124" spans="1:2">
      <c r="A124">
        <v>217</v>
      </c>
      <c r="B124" t="s">
        <v>27</v>
      </c>
    </row>
    <row r="125" spans="1:2">
      <c r="A125">
        <v>218</v>
      </c>
      <c r="B125" t="s">
        <v>150</v>
      </c>
    </row>
    <row r="126" spans="1:2">
      <c r="A126">
        <v>219</v>
      </c>
      <c r="B126" t="s">
        <v>27</v>
      </c>
    </row>
    <row r="127" spans="1:2">
      <c r="A127">
        <v>220</v>
      </c>
      <c r="B127" t="s">
        <v>27</v>
      </c>
    </row>
    <row r="128" spans="1:2">
      <c r="A128">
        <v>221</v>
      </c>
      <c r="B128" t="s">
        <v>150</v>
      </c>
    </row>
    <row r="129" spans="1:2">
      <c r="A129">
        <v>222</v>
      </c>
      <c r="B129" t="s">
        <v>27</v>
      </c>
    </row>
    <row r="130" spans="1:2">
      <c r="A130">
        <v>223</v>
      </c>
      <c r="B130" t="s">
        <v>25</v>
      </c>
    </row>
    <row r="131" spans="1:2">
      <c r="A131">
        <v>224</v>
      </c>
      <c r="B131" t="s">
        <v>26</v>
      </c>
    </row>
    <row r="132" spans="1:2">
      <c r="A132">
        <v>225</v>
      </c>
      <c r="B132" t="s">
        <v>26</v>
      </c>
    </row>
    <row r="133" spans="1:2">
      <c r="A133">
        <v>226</v>
      </c>
      <c r="B133" t="s">
        <v>28</v>
      </c>
    </row>
    <row r="134" spans="1:2">
      <c r="A134">
        <v>227</v>
      </c>
      <c r="B134" t="s">
        <v>25</v>
      </c>
    </row>
    <row r="135" spans="1:2">
      <c r="A135">
        <v>228</v>
      </c>
      <c r="B135" t="s">
        <v>26</v>
      </c>
    </row>
    <row r="136" spans="1:2">
      <c r="A136">
        <v>229</v>
      </c>
      <c r="B136" t="s">
        <v>26</v>
      </c>
    </row>
    <row r="137" spans="1:2">
      <c r="A137">
        <v>230</v>
      </c>
      <c r="B137" t="s">
        <v>27</v>
      </c>
    </row>
    <row r="138" spans="1:2">
      <c r="A138">
        <v>231</v>
      </c>
      <c r="B138" t="s">
        <v>26</v>
      </c>
    </row>
    <row r="139" spans="1:2">
      <c r="A139">
        <v>232</v>
      </c>
      <c r="B139" t="s">
        <v>25</v>
      </c>
    </row>
    <row r="140" spans="1:2">
      <c r="A140">
        <v>233</v>
      </c>
      <c r="B140" t="s">
        <v>27</v>
      </c>
    </row>
    <row r="141" spans="1:2">
      <c r="A141">
        <v>234</v>
      </c>
      <c r="B141" t="s">
        <v>27</v>
      </c>
    </row>
    <row r="142" spans="1:2">
      <c r="A142">
        <v>235</v>
      </c>
      <c r="B142" t="s">
        <v>27</v>
      </c>
    </row>
    <row r="143" spans="1:2">
      <c r="A143">
        <v>236</v>
      </c>
      <c r="B143" t="s">
        <v>26</v>
      </c>
    </row>
    <row r="144" spans="1:2">
      <c r="A144">
        <v>237</v>
      </c>
      <c r="B144" t="s">
        <v>150</v>
      </c>
    </row>
    <row r="145" spans="1:2">
      <c r="A145">
        <v>238</v>
      </c>
      <c r="B145" t="s">
        <v>25</v>
      </c>
    </row>
    <row r="146" spans="1:2">
      <c r="A146">
        <v>239</v>
      </c>
      <c r="B146" t="s">
        <v>25</v>
      </c>
    </row>
    <row r="147" spans="1:2">
      <c r="A147">
        <v>240</v>
      </c>
      <c r="B147" t="s">
        <v>150</v>
      </c>
    </row>
    <row r="148" spans="1:2">
      <c r="A148">
        <v>241</v>
      </c>
      <c r="B148" t="s">
        <v>26</v>
      </c>
    </row>
    <row r="149" spans="1:2">
      <c r="A149">
        <v>242</v>
      </c>
      <c r="B149" t="s">
        <v>26</v>
      </c>
    </row>
    <row r="150" spans="1:2">
      <c r="A150">
        <v>243</v>
      </c>
      <c r="B150" t="s">
        <v>28</v>
      </c>
    </row>
    <row r="151" spans="1:2">
      <c r="A151">
        <v>244</v>
      </c>
      <c r="B151" t="s">
        <v>26</v>
      </c>
    </row>
    <row r="152" spans="1:2">
      <c r="A152">
        <v>245</v>
      </c>
      <c r="B152" t="s">
        <v>150</v>
      </c>
    </row>
    <row r="153" spans="1:2">
      <c r="A153">
        <v>246</v>
      </c>
      <c r="B153" t="s">
        <v>150</v>
      </c>
    </row>
    <row r="154" spans="1:2">
      <c r="A154">
        <v>247</v>
      </c>
      <c r="B154" t="s">
        <v>150</v>
      </c>
    </row>
    <row r="155" spans="1:2">
      <c r="A155">
        <v>248</v>
      </c>
      <c r="B155" t="s">
        <v>150</v>
      </c>
    </row>
    <row r="156" spans="1:2">
      <c r="A156">
        <v>249</v>
      </c>
      <c r="B156" t="s">
        <v>27</v>
      </c>
    </row>
    <row r="157" spans="1:2">
      <c r="A157">
        <v>250</v>
      </c>
      <c r="B157" t="s">
        <v>26</v>
      </c>
    </row>
    <row r="158" spans="1:2">
      <c r="A158">
        <v>251</v>
      </c>
      <c r="B158" t="s">
        <v>26</v>
      </c>
    </row>
    <row r="159" spans="1:2">
      <c r="A159">
        <v>252</v>
      </c>
      <c r="B159" t="s">
        <v>150</v>
      </c>
    </row>
    <row r="160" spans="1:2">
      <c r="A160">
        <v>253</v>
      </c>
      <c r="B160" t="s">
        <v>25</v>
      </c>
    </row>
    <row r="161" spans="1:2">
      <c r="A161">
        <v>254</v>
      </c>
      <c r="B161" t="s">
        <v>28</v>
      </c>
    </row>
    <row r="162" spans="1:2">
      <c r="A162">
        <v>255</v>
      </c>
      <c r="B162" t="s">
        <v>150</v>
      </c>
    </row>
    <row r="163" spans="1:2">
      <c r="A163">
        <v>256</v>
      </c>
      <c r="B163" t="s">
        <v>26</v>
      </c>
    </row>
    <row r="164" spans="1:2">
      <c r="A164">
        <v>257</v>
      </c>
      <c r="B164" t="s">
        <v>28</v>
      </c>
    </row>
    <row r="165" spans="1:2">
      <c r="A165">
        <v>258</v>
      </c>
      <c r="B165" t="s">
        <v>28</v>
      </c>
    </row>
    <row r="166" spans="1:2">
      <c r="A166">
        <v>259</v>
      </c>
      <c r="B166" t="s">
        <v>25</v>
      </c>
    </row>
    <row r="167" spans="1:2">
      <c r="A167">
        <v>260</v>
      </c>
      <c r="B167" t="s">
        <v>25</v>
      </c>
    </row>
    <row r="168" spans="1:2">
      <c r="A168">
        <v>261</v>
      </c>
      <c r="B168" t="s">
        <v>28</v>
      </c>
    </row>
    <row r="169" spans="1:2">
      <c r="A169">
        <v>262</v>
      </c>
      <c r="B169" t="s">
        <v>150</v>
      </c>
    </row>
    <row r="170" spans="1:2">
      <c r="A170">
        <v>263</v>
      </c>
      <c r="B170" t="s">
        <v>28</v>
      </c>
    </row>
    <row r="171" spans="1:2">
      <c r="A171">
        <v>264</v>
      </c>
      <c r="B171" t="s">
        <v>27</v>
      </c>
    </row>
    <row r="172" spans="1:2">
      <c r="A172">
        <v>265</v>
      </c>
      <c r="B172" t="s">
        <v>25</v>
      </c>
    </row>
    <row r="173" spans="1:2">
      <c r="A173">
        <v>266</v>
      </c>
      <c r="B173" t="s">
        <v>25</v>
      </c>
    </row>
    <row r="174" spans="1:2">
      <c r="A174">
        <v>267</v>
      </c>
      <c r="B174" t="s">
        <v>150</v>
      </c>
    </row>
    <row r="175" spans="1:2">
      <c r="A175">
        <v>268</v>
      </c>
      <c r="B175" t="s">
        <v>28</v>
      </c>
    </row>
    <row r="176" spans="1:2">
      <c r="A176">
        <v>269</v>
      </c>
      <c r="B176" t="s">
        <v>28</v>
      </c>
    </row>
    <row r="177" spans="1:2">
      <c r="A177">
        <v>270</v>
      </c>
      <c r="B177" t="s">
        <v>25</v>
      </c>
    </row>
    <row r="178" spans="1:2">
      <c r="A178">
        <v>271</v>
      </c>
      <c r="B178" t="s">
        <v>150</v>
      </c>
    </row>
    <row r="179" spans="1:2">
      <c r="A179">
        <v>272</v>
      </c>
      <c r="B179" t="s">
        <v>27</v>
      </c>
    </row>
    <row r="180" spans="1:2">
      <c r="A180">
        <v>273</v>
      </c>
      <c r="B180" t="s">
        <v>25</v>
      </c>
    </row>
    <row r="181" spans="1:2">
      <c r="A181">
        <v>274</v>
      </c>
      <c r="B181" t="s">
        <v>150</v>
      </c>
    </row>
    <row r="182" spans="1:2">
      <c r="A182">
        <v>275</v>
      </c>
      <c r="B182" t="s">
        <v>28</v>
      </c>
    </row>
    <row r="183" spans="1:2">
      <c r="A183">
        <v>276</v>
      </c>
      <c r="B183" t="s">
        <v>27</v>
      </c>
    </row>
    <row r="184" spans="1:2">
      <c r="A184">
        <v>277</v>
      </c>
      <c r="B184" t="s">
        <v>28</v>
      </c>
    </row>
    <row r="185" spans="1:2">
      <c r="A185">
        <v>278</v>
      </c>
      <c r="B185" t="s">
        <v>27</v>
      </c>
    </row>
    <row r="186" spans="1:2">
      <c r="A186">
        <v>279</v>
      </c>
      <c r="B186" t="s">
        <v>27</v>
      </c>
    </row>
    <row r="187" spans="1:2">
      <c r="A187">
        <v>280</v>
      </c>
      <c r="B187" t="s">
        <v>28</v>
      </c>
    </row>
    <row r="188" spans="1:2">
      <c r="A188">
        <v>281</v>
      </c>
      <c r="B188" t="s">
        <v>150</v>
      </c>
    </row>
    <row r="189" spans="1:2">
      <c r="A189">
        <v>282</v>
      </c>
      <c r="B189" t="s">
        <v>27</v>
      </c>
    </row>
    <row r="190" spans="1:2">
      <c r="A190">
        <v>283</v>
      </c>
      <c r="B190" t="s">
        <v>27</v>
      </c>
    </row>
    <row r="191" spans="1:2">
      <c r="A191">
        <v>284</v>
      </c>
      <c r="B191" t="s">
        <v>150</v>
      </c>
    </row>
    <row r="192" spans="1:2">
      <c r="A192">
        <v>285</v>
      </c>
      <c r="B192" t="s">
        <v>25</v>
      </c>
    </row>
    <row r="193" spans="1:2">
      <c r="A193">
        <v>286</v>
      </c>
      <c r="B193" t="s">
        <v>25</v>
      </c>
    </row>
    <row r="194" spans="1:2">
      <c r="A194">
        <v>287</v>
      </c>
      <c r="B194" t="s">
        <v>27</v>
      </c>
    </row>
    <row r="195" spans="1:2">
      <c r="A195">
        <v>288</v>
      </c>
      <c r="B195" t="s">
        <v>26</v>
      </c>
    </row>
    <row r="196" spans="1:2">
      <c r="A196">
        <v>289</v>
      </c>
      <c r="B196" t="s">
        <v>25</v>
      </c>
    </row>
    <row r="197" spans="1:2">
      <c r="A197">
        <v>290</v>
      </c>
      <c r="B197" t="s">
        <v>25</v>
      </c>
    </row>
    <row r="198" spans="1:2">
      <c r="A198">
        <v>291</v>
      </c>
      <c r="B198" t="s">
        <v>28</v>
      </c>
    </row>
    <row r="199" spans="1:2">
      <c r="A199">
        <v>292</v>
      </c>
      <c r="B199" t="s">
        <v>27</v>
      </c>
    </row>
    <row r="200" spans="1:2">
      <c r="A200">
        <v>293</v>
      </c>
      <c r="B200" t="s">
        <v>26</v>
      </c>
    </row>
    <row r="201" spans="1:2">
      <c r="A201">
        <v>294</v>
      </c>
      <c r="B201" t="s">
        <v>28</v>
      </c>
    </row>
    <row r="202" spans="1:2">
      <c r="A202">
        <v>295</v>
      </c>
      <c r="B202" t="s">
        <v>28</v>
      </c>
    </row>
    <row r="203" spans="1:2">
      <c r="A203">
        <v>296</v>
      </c>
      <c r="B203" t="s">
        <v>27</v>
      </c>
    </row>
    <row r="204" spans="1:2">
      <c r="A204">
        <v>297</v>
      </c>
      <c r="B204" t="s">
        <v>150</v>
      </c>
    </row>
    <row r="205" spans="1:2">
      <c r="A205">
        <v>298</v>
      </c>
      <c r="B205" t="s">
        <v>26</v>
      </c>
    </row>
    <row r="206" spans="1:2">
      <c r="A206">
        <v>299</v>
      </c>
      <c r="B206" t="s">
        <v>27</v>
      </c>
    </row>
    <row r="207" spans="1:2">
      <c r="A207">
        <v>300</v>
      </c>
      <c r="B207" t="s">
        <v>25</v>
      </c>
    </row>
    <row r="208" spans="1:2">
      <c r="A208">
        <v>301</v>
      </c>
      <c r="B208" t="s">
        <v>25</v>
      </c>
    </row>
    <row r="209" spans="1:2">
      <c r="A209">
        <v>302</v>
      </c>
      <c r="B209" t="s">
        <v>26</v>
      </c>
    </row>
    <row r="210" spans="1:2">
      <c r="A210">
        <v>303</v>
      </c>
      <c r="B210" t="s">
        <v>25</v>
      </c>
    </row>
    <row r="211" spans="1:2">
      <c r="A211">
        <v>304</v>
      </c>
      <c r="B211" t="s">
        <v>26</v>
      </c>
    </row>
    <row r="212" spans="1:2">
      <c r="A212">
        <v>305</v>
      </c>
      <c r="B212" t="s">
        <v>26</v>
      </c>
    </row>
    <row r="213" spans="1:2">
      <c r="A213">
        <v>306</v>
      </c>
      <c r="B213" t="s">
        <v>27</v>
      </c>
    </row>
    <row r="214" spans="1:2">
      <c r="A214">
        <v>307</v>
      </c>
      <c r="B214" t="s">
        <v>25</v>
      </c>
    </row>
    <row r="215" spans="1:2">
      <c r="A215">
        <v>308</v>
      </c>
      <c r="B215" t="s">
        <v>26</v>
      </c>
    </row>
    <row r="216" spans="1:2">
      <c r="A216">
        <v>309</v>
      </c>
      <c r="B216" t="s">
        <v>25</v>
      </c>
    </row>
    <row r="217" spans="1:2">
      <c r="A217">
        <v>310</v>
      </c>
      <c r="B217" t="s">
        <v>28</v>
      </c>
    </row>
    <row r="218" spans="1:2">
      <c r="A218">
        <v>311</v>
      </c>
      <c r="B218" t="s">
        <v>27</v>
      </c>
    </row>
    <row r="219" spans="1:2">
      <c r="A219">
        <v>312</v>
      </c>
      <c r="B219" t="s">
        <v>26</v>
      </c>
    </row>
    <row r="220" spans="1:2">
      <c r="A220">
        <v>313</v>
      </c>
      <c r="B220" t="s">
        <v>28</v>
      </c>
    </row>
    <row r="221" spans="1:2">
      <c r="A221">
        <v>314</v>
      </c>
      <c r="B221" t="s">
        <v>150</v>
      </c>
    </row>
    <row r="222" spans="1:2">
      <c r="A222">
        <v>315</v>
      </c>
      <c r="B222" t="s">
        <v>150</v>
      </c>
    </row>
    <row r="223" spans="1:2">
      <c r="A223">
        <v>316</v>
      </c>
      <c r="B223" t="s">
        <v>26</v>
      </c>
    </row>
    <row r="224" spans="1:2">
      <c r="A224">
        <v>317</v>
      </c>
      <c r="B224" t="s">
        <v>28</v>
      </c>
    </row>
    <row r="225" spans="1:2">
      <c r="A225">
        <v>318</v>
      </c>
      <c r="B225" t="s">
        <v>25</v>
      </c>
    </row>
    <row r="226" spans="1:2">
      <c r="A226">
        <v>319</v>
      </c>
      <c r="B226" t="s">
        <v>27</v>
      </c>
    </row>
    <row r="227" spans="1:2">
      <c r="A227">
        <v>320</v>
      </c>
      <c r="B227" t="s">
        <v>27</v>
      </c>
    </row>
    <row r="228" spans="1:2">
      <c r="A228">
        <v>321</v>
      </c>
      <c r="B228" t="s">
        <v>150</v>
      </c>
    </row>
    <row r="229" spans="1:2">
      <c r="A229">
        <v>322</v>
      </c>
      <c r="B229" t="s">
        <v>25</v>
      </c>
    </row>
    <row r="230" spans="1:2">
      <c r="A230">
        <v>323</v>
      </c>
      <c r="B230" t="s">
        <v>28</v>
      </c>
    </row>
    <row r="231" spans="1:2">
      <c r="A231">
        <v>324</v>
      </c>
      <c r="B231" t="s">
        <v>150</v>
      </c>
    </row>
    <row r="232" spans="1:2">
      <c r="A232">
        <v>325</v>
      </c>
      <c r="B232" t="s">
        <v>26</v>
      </c>
    </row>
    <row r="233" spans="1:2">
      <c r="A233">
        <v>326</v>
      </c>
      <c r="B233" t="s">
        <v>28</v>
      </c>
    </row>
    <row r="234" spans="1:2">
      <c r="A234">
        <v>327</v>
      </c>
      <c r="B234" t="s">
        <v>25</v>
      </c>
    </row>
    <row r="235" spans="1:2">
      <c r="A235">
        <v>328</v>
      </c>
      <c r="B235" t="s">
        <v>25</v>
      </c>
    </row>
    <row r="236" spans="1:2">
      <c r="A236">
        <v>329</v>
      </c>
      <c r="B236" t="s">
        <v>26</v>
      </c>
    </row>
    <row r="237" spans="1:2">
      <c r="A237">
        <v>330</v>
      </c>
      <c r="B237" t="s">
        <v>25</v>
      </c>
    </row>
    <row r="238" spans="1:2">
      <c r="A238">
        <v>331</v>
      </c>
      <c r="B238" t="s">
        <v>27</v>
      </c>
    </row>
    <row r="239" spans="1:2">
      <c r="A239">
        <v>332</v>
      </c>
      <c r="B239" t="s">
        <v>27</v>
      </c>
    </row>
    <row r="240" spans="1:2">
      <c r="A240">
        <v>333</v>
      </c>
      <c r="B240" t="s">
        <v>150</v>
      </c>
    </row>
    <row r="241" spans="1:2">
      <c r="A241">
        <v>334</v>
      </c>
      <c r="B241" t="s">
        <v>27</v>
      </c>
    </row>
    <row r="242" spans="1:2">
      <c r="A242">
        <v>335</v>
      </c>
      <c r="B242" t="s">
        <v>25</v>
      </c>
    </row>
    <row r="243" spans="1:2">
      <c r="A243">
        <v>336</v>
      </c>
      <c r="B243" t="s">
        <v>25</v>
      </c>
    </row>
    <row r="244" spans="1:2">
      <c r="A244">
        <v>337</v>
      </c>
      <c r="B244" t="s">
        <v>25</v>
      </c>
    </row>
    <row r="245" spans="1:2">
      <c r="A245">
        <v>338</v>
      </c>
      <c r="B245" t="s">
        <v>25</v>
      </c>
    </row>
    <row r="246" spans="1:2">
      <c r="A246">
        <v>339</v>
      </c>
      <c r="B246" t="s">
        <v>25</v>
      </c>
    </row>
    <row r="247" spans="1:2">
      <c r="A247">
        <v>340</v>
      </c>
      <c r="B247" t="s">
        <v>25</v>
      </c>
    </row>
    <row r="248" spans="1:2">
      <c r="A248">
        <v>341</v>
      </c>
      <c r="B248" t="s">
        <v>26</v>
      </c>
    </row>
    <row r="249" spans="1:2">
      <c r="A249">
        <v>342</v>
      </c>
      <c r="B249" t="s">
        <v>28</v>
      </c>
    </row>
    <row r="250" spans="1:2">
      <c r="A250">
        <v>343</v>
      </c>
      <c r="B250" t="s">
        <v>27</v>
      </c>
    </row>
    <row r="251" spans="1:2">
      <c r="A251">
        <v>344</v>
      </c>
      <c r="B251" t="s">
        <v>28</v>
      </c>
    </row>
    <row r="252" spans="1:2">
      <c r="A252">
        <v>345</v>
      </c>
      <c r="B252" t="s">
        <v>150</v>
      </c>
    </row>
    <row r="253" spans="1:2">
      <c r="A253">
        <v>346</v>
      </c>
      <c r="B253" t="s">
        <v>28</v>
      </c>
    </row>
    <row r="254" spans="1:2">
      <c r="A254">
        <v>347</v>
      </c>
      <c r="B254" t="s">
        <v>27</v>
      </c>
    </row>
    <row r="255" spans="1:2">
      <c r="A255">
        <v>348</v>
      </c>
      <c r="B255" t="s">
        <v>28</v>
      </c>
    </row>
    <row r="256" spans="1:2">
      <c r="A256">
        <v>349</v>
      </c>
      <c r="B256" t="s">
        <v>26</v>
      </c>
    </row>
    <row r="257" spans="1:2">
      <c r="A257">
        <v>350</v>
      </c>
      <c r="B257" t="s">
        <v>26</v>
      </c>
    </row>
    <row r="258" spans="1:2">
      <c r="A258">
        <v>351</v>
      </c>
      <c r="B258" t="s">
        <v>27</v>
      </c>
    </row>
    <row r="259" spans="1:2">
      <c r="A259">
        <v>352</v>
      </c>
      <c r="B259" t="s">
        <v>150</v>
      </c>
    </row>
    <row r="260" spans="1:2">
      <c r="A260">
        <v>353</v>
      </c>
      <c r="B260" t="s">
        <v>150</v>
      </c>
    </row>
    <row r="261" spans="1:2">
      <c r="A261">
        <v>354</v>
      </c>
      <c r="B261" t="s">
        <v>26</v>
      </c>
    </row>
    <row r="262" spans="1:2">
      <c r="A262">
        <v>355</v>
      </c>
      <c r="B262" t="s">
        <v>27</v>
      </c>
    </row>
    <row r="263" spans="1:2">
      <c r="A263">
        <v>356</v>
      </c>
      <c r="B263" t="s">
        <v>28</v>
      </c>
    </row>
    <row r="264" spans="1:2">
      <c r="A264">
        <v>357</v>
      </c>
      <c r="B264" t="s">
        <v>28</v>
      </c>
    </row>
    <row r="265" spans="1:2">
      <c r="A265">
        <v>358</v>
      </c>
      <c r="B265" t="s">
        <v>25</v>
      </c>
    </row>
    <row r="266" spans="1:2">
      <c r="A266">
        <v>359</v>
      </c>
      <c r="B266" t="s">
        <v>27</v>
      </c>
    </row>
    <row r="267" spans="1:2">
      <c r="A267">
        <v>360</v>
      </c>
      <c r="B267" t="s">
        <v>25</v>
      </c>
    </row>
    <row r="268" spans="1:2">
      <c r="A268">
        <v>361</v>
      </c>
      <c r="B268" t="s">
        <v>27</v>
      </c>
    </row>
    <row r="269" spans="1:2">
      <c r="A269">
        <v>362</v>
      </c>
      <c r="B269" t="s">
        <v>25</v>
      </c>
    </row>
    <row r="270" spans="1:2">
      <c r="A270">
        <v>363</v>
      </c>
      <c r="B270" t="s">
        <v>27</v>
      </c>
    </row>
    <row r="271" spans="1:2">
      <c r="A271">
        <v>364</v>
      </c>
      <c r="B271" t="s">
        <v>25</v>
      </c>
    </row>
    <row r="272" spans="1:2">
      <c r="A272">
        <v>365</v>
      </c>
      <c r="B272" t="s">
        <v>27</v>
      </c>
    </row>
    <row r="273" spans="1:2">
      <c r="A273">
        <v>366</v>
      </c>
      <c r="B273" t="s">
        <v>28</v>
      </c>
    </row>
    <row r="274" spans="1:2">
      <c r="A274">
        <v>367</v>
      </c>
      <c r="B274" t="s">
        <v>27</v>
      </c>
    </row>
    <row r="275" spans="1:2">
      <c r="A275">
        <v>368</v>
      </c>
      <c r="B275" t="s">
        <v>26</v>
      </c>
    </row>
    <row r="276" spans="1:2">
      <c r="A276">
        <v>369</v>
      </c>
      <c r="B276" t="s">
        <v>25</v>
      </c>
    </row>
    <row r="277" spans="1:2">
      <c r="A277">
        <v>370</v>
      </c>
      <c r="B277" t="s">
        <v>25</v>
      </c>
    </row>
    <row r="278" spans="1:2">
      <c r="A278">
        <v>371</v>
      </c>
      <c r="B278" t="s">
        <v>25</v>
      </c>
    </row>
    <row r="279" spans="1:2">
      <c r="A279">
        <v>372</v>
      </c>
      <c r="B279" t="s">
        <v>28</v>
      </c>
    </row>
    <row r="280" spans="1:2">
      <c r="A280">
        <v>373</v>
      </c>
      <c r="B280" t="s">
        <v>26</v>
      </c>
    </row>
    <row r="281" spans="1:2">
      <c r="A281">
        <v>374</v>
      </c>
      <c r="B281" t="s">
        <v>26</v>
      </c>
    </row>
    <row r="282" spans="1:2">
      <c r="A282">
        <v>375</v>
      </c>
      <c r="B282" t="s">
        <v>27</v>
      </c>
    </row>
    <row r="283" spans="1:2">
      <c r="A283">
        <v>376</v>
      </c>
      <c r="B283" t="s">
        <v>150</v>
      </c>
    </row>
    <row r="284" spans="1:2">
      <c r="A284">
        <v>377</v>
      </c>
      <c r="B284" t="s">
        <v>25</v>
      </c>
    </row>
    <row r="285" spans="1:2">
      <c r="A285">
        <v>378</v>
      </c>
      <c r="B285" t="s">
        <v>27</v>
      </c>
    </row>
    <row r="286" spans="1:2">
      <c r="A286">
        <v>379</v>
      </c>
      <c r="B286" t="s">
        <v>25</v>
      </c>
    </row>
    <row r="287" spans="1:2">
      <c r="A287">
        <v>380</v>
      </c>
      <c r="B287" t="s">
        <v>150</v>
      </c>
    </row>
    <row r="288" spans="1:2">
      <c r="A288">
        <v>381</v>
      </c>
      <c r="B288" t="s">
        <v>28</v>
      </c>
    </row>
    <row r="289" spans="1:2">
      <c r="A289">
        <v>382</v>
      </c>
      <c r="B289" t="s">
        <v>27</v>
      </c>
    </row>
    <row r="290" spans="1:2">
      <c r="A290">
        <v>383</v>
      </c>
      <c r="B290" t="s">
        <v>26</v>
      </c>
    </row>
    <row r="291" spans="1:2">
      <c r="A291">
        <v>384</v>
      </c>
      <c r="B291" t="s">
        <v>27</v>
      </c>
    </row>
    <row r="292" spans="1:2">
      <c r="A292">
        <v>385</v>
      </c>
      <c r="B292" t="s">
        <v>26</v>
      </c>
    </row>
    <row r="293" spans="1:2">
      <c r="A293">
        <v>386</v>
      </c>
      <c r="B293" t="s">
        <v>25</v>
      </c>
    </row>
    <row r="294" spans="1:2">
      <c r="A294">
        <v>387</v>
      </c>
      <c r="B294" t="s">
        <v>28</v>
      </c>
    </row>
    <row r="295" spans="1:2">
      <c r="A295">
        <v>388</v>
      </c>
      <c r="B295" t="s">
        <v>150</v>
      </c>
    </row>
    <row r="296" spans="1:2">
      <c r="A296">
        <v>389</v>
      </c>
      <c r="B296" t="s">
        <v>28</v>
      </c>
    </row>
    <row r="297" spans="1:2">
      <c r="A297">
        <v>390</v>
      </c>
      <c r="B297" t="s">
        <v>28</v>
      </c>
    </row>
    <row r="298" spans="1:2">
      <c r="A298">
        <v>391</v>
      </c>
      <c r="B298" t="s">
        <v>27</v>
      </c>
    </row>
    <row r="299" spans="1:2">
      <c r="A299">
        <v>392</v>
      </c>
      <c r="B299" t="s">
        <v>150</v>
      </c>
    </row>
    <row r="300" spans="1:2">
      <c r="A300">
        <v>393</v>
      </c>
      <c r="B300" t="s">
        <v>28</v>
      </c>
    </row>
    <row r="301" spans="1:2">
      <c r="A301">
        <v>394</v>
      </c>
      <c r="B301" t="s">
        <v>25</v>
      </c>
    </row>
    <row r="302" spans="1:2">
      <c r="A302">
        <v>395</v>
      </c>
      <c r="B302" t="s">
        <v>26</v>
      </c>
    </row>
    <row r="303" spans="1:2">
      <c r="A303">
        <v>396</v>
      </c>
      <c r="B303" t="s">
        <v>28</v>
      </c>
    </row>
    <row r="304" spans="1:2">
      <c r="A304">
        <v>397</v>
      </c>
      <c r="B304" t="s">
        <v>25</v>
      </c>
    </row>
    <row r="305" spans="1:2">
      <c r="A305">
        <v>398</v>
      </c>
      <c r="B305" t="s">
        <v>25</v>
      </c>
    </row>
    <row r="306" spans="1:2">
      <c r="A306">
        <v>399</v>
      </c>
      <c r="B306" t="s">
        <v>28</v>
      </c>
    </row>
    <row r="307" spans="1:2">
      <c r="A307">
        <v>400</v>
      </c>
      <c r="B307" t="s">
        <v>25</v>
      </c>
    </row>
    <row r="308" spans="1:2">
      <c r="A308">
        <v>401</v>
      </c>
      <c r="B308" t="s">
        <v>27</v>
      </c>
    </row>
    <row r="309" spans="1:2">
      <c r="A309">
        <v>402</v>
      </c>
      <c r="B309" t="s">
        <v>25</v>
      </c>
    </row>
    <row r="310" spans="1:2">
      <c r="A310">
        <v>403</v>
      </c>
      <c r="B310" t="s">
        <v>28</v>
      </c>
    </row>
    <row r="311" spans="1:2">
      <c r="A311">
        <v>404</v>
      </c>
      <c r="B311" t="s">
        <v>26</v>
      </c>
    </row>
    <row r="312" spans="1:2">
      <c r="A312">
        <v>405</v>
      </c>
      <c r="B312" t="s">
        <v>26</v>
      </c>
    </row>
    <row r="313" spans="1:2">
      <c r="A313">
        <v>406</v>
      </c>
      <c r="B313" t="s">
        <v>150</v>
      </c>
    </row>
    <row r="314" spans="1:2">
      <c r="A314">
        <v>407</v>
      </c>
      <c r="B314" t="s">
        <v>25</v>
      </c>
    </row>
    <row r="315" spans="1:2">
      <c r="A315">
        <v>408</v>
      </c>
      <c r="B315" t="s">
        <v>150</v>
      </c>
    </row>
    <row r="316" spans="1:2">
      <c r="A316">
        <v>409</v>
      </c>
      <c r="B316" t="s">
        <v>150</v>
      </c>
    </row>
    <row r="317" spans="1:2">
      <c r="A317">
        <v>410</v>
      </c>
      <c r="B317" t="s">
        <v>25</v>
      </c>
    </row>
    <row r="318" spans="1:2">
      <c r="A318">
        <v>411</v>
      </c>
      <c r="B318" t="s">
        <v>28</v>
      </c>
    </row>
    <row r="319" spans="1:2">
      <c r="A319">
        <v>412</v>
      </c>
      <c r="B319" t="s">
        <v>25</v>
      </c>
    </row>
    <row r="320" spans="1:2">
      <c r="A320">
        <v>413</v>
      </c>
      <c r="B320" t="s">
        <v>150</v>
      </c>
    </row>
    <row r="321" spans="1:2">
      <c r="A321">
        <v>414</v>
      </c>
      <c r="B321" t="s">
        <v>26</v>
      </c>
    </row>
    <row r="322" spans="1:2">
      <c r="A322">
        <v>415</v>
      </c>
      <c r="B322" t="s">
        <v>25</v>
      </c>
    </row>
    <row r="323" spans="1:2">
      <c r="A323">
        <v>416</v>
      </c>
      <c r="B323" t="s">
        <v>150</v>
      </c>
    </row>
    <row r="324" spans="1:2">
      <c r="A324">
        <v>417</v>
      </c>
      <c r="B324" t="s">
        <v>25</v>
      </c>
    </row>
    <row r="325" spans="1:2">
      <c r="A325">
        <v>418</v>
      </c>
      <c r="B325" t="s">
        <v>27</v>
      </c>
    </row>
    <row r="326" spans="1:2">
      <c r="A326">
        <v>419</v>
      </c>
      <c r="B326" t="s">
        <v>26</v>
      </c>
    </row>
    <row r="327" spans="1:2">
      <c r="A327">
        <v>420</v>
      </c>
      <c r="B327" t="s">
        <v>26</v>
      </c>
    </row>
    <row r="328" spans="1:2">
      <c r="A328">
        <v>421</v>
      </c>
      <c r="B328" t="s">
        <v>150</v>
      </c>
    </row>
    <row r="329" spans="1:2">
      <c r="A329">
        <v>422</v>
      </c>
      <c r="B329" t="s">
        <v>28</v>
      </c>
    </row>
    <row r="330" spans="1:2">
      <c r="A330">
        <v>423</v>
      </c>
      <c r="B330" t="s">
        <v>25</v>
      </c>
    </row>
    <row r="331" spans="1:2">
      <c r="A331">
        <v>424</v>
      </c>
      <c r="B331" t="s">
        <v>27</v>
      </c>
    </row>
    <row r="332" spans="1:2">
      <c r="A332">
        <v>425</v>
      </c>
      <c r="B332" t="s">
        <v>28</v>
      </c>
    </row>
    <row r="333" spans="1:2">
      <c r="A333">
        <v>426</v>
      </c>
      <c r="B333" t="s">
        <v>26</v>
      </c>
    </row>
    <row r="334" spans="1:2">
      <c r="A334">
        <v>427</v>
      </c>
      <c r="B334" t="s">
        <v>25</v>
      </c>
    </row>
    <row r="335" spans="1:2">
      <c r="A335">
        <v>428</v>
      </c>
      <c r="B335" t="s">
        <v>27</v>
      </c>
    </row>
    <row r="336" spans="1:2">
      <c r="A336">
        <v>429</v>
      </c>
      <c r="B336" t="s">
        <v>150</v>
      </c>
    </row>
    <row r="337" spans="1:2">
      <c r="A337">
        <v>430</v>
      </c>
      <c r="B337" t="s">
        <v>150</v>
      </c>
    </row>
    <row r="338" spans="1:2">
      <c r="A338">
        <v>431</v>
      </c>
      <c r="B338" t="s">
        <v>27</v>
      </c>
    </row>
    <row r="339" spans="1:2">
      <c r="A339">
        <v>432</v>
      </c>
      <c r="B339" t="s">
        <v>26</v>
      </c>
    </row>
    <row r="340" spans="1:2">
      <c r="A340">
        <v>433</v>
      </c>
      <c r="B340" t="s">
        <v>25</v>
      </c>
    </row>
    <row r="341" spans="1:2">
      <c r="A341">
        <v>434</v>
      </c>
      <c r="B341" t="s">
        <v>26</v>
      </c>
    </row>
    <row r="342" spans="1:2">
      <c r="A342">
        <v>435</v>
      </c>
      <c r="B342" t="s">
        <v>28</v>
      </c>
    </row>
    <row r="343" spans="1:2">
      <c r="A343">
        <v>436</v>
      </c>
      <c r="B343" t="s">
        <v>25</v>
      </c>
    </row>
    <row r="344" spans="1:2">
      <c r="A344">
        <v>437</v>
      </c>
      <c r="B344" t="s">
        <v>27</v>
      </c>
    </row>
    <row r="345" spans="1:2">
      <c r="A345">
        <v>438</v>
      </c>
      <c r="B345" t="s">
        <v>26</v>
      </c>
    </row>
    <row r="346" spans="1:2">
      <c r="A346">
        <v>439</v>
      </c>
      <c r="B346" t="s">
        <v>26</v>
      </c>
    </row>
    <row r="347" spans="1:2">
      <c r="A347">
        <v>440</v>
      </c>
      <c r="B347" t="s">
        <v>28</v>
      </c>
    </row>
    <row r="348" spans="1:2">
      <c r="A348">
        <v>441</v>
      </c>
      <c r="B348" t="s">
        <v>28</v>
      </c>
    </row>
    <row r="349" spans="1:2">
      <c r="A349">
        <v>442</v>
      </c>
      <c r="B349" t="s">
        <v>28</v>
      </c>
    </row>
    <row r="350" spans="1:2">
      <c r="A350">
        <v>443</v>
      </c>
      <c r="B350" t="s">
        <v>27</v>
      </c>
    </row>
    <row r="351" spans="1:2">
      <c r="A351">
        <v>444</v>
      </c>
      <c r="B351" t="s">
        <v>26</v>
      </c>
    </row>
    <row r="352" spans="1:2">
      <c r="A352">
        <v>445</v>
      </c>
      <c r="B352" t="s">
        <v>150</v>
      </c>
    </row>
    <row r="353" spans="1:2">
      <c r="A353">
        <v>446</v>
      </c>
      <c r="B353" t="s">
        <v>26</v>
      </c>
    </row>
    <row r="354" spans="1:2">
      <c r="A354">
        <v>447</v>
      </c>
      <c r="B354" t="s">
        <v>26</v>
      </c>
    </row>
    <row r="355" spans="1:2">
      <c r="A355">
        <v>448</v>
      </c>
      <c r="B355" t="s">
        <v>28</v>
      </c>
    </row>
    <row r="356" spans="1:2">
      <c r="A356">
        <v>449</v>
      </c>
      <c r="B356" t="s">
        <v>25</v>
      </c>
    </row>
    <row r="357" spans="1:2">
      <c r="A357">
        <v>450</v>
      </c>
      <c r="B357" t="s">
        <v>28</v>
      </c>
    </row>
    <row r="358" spans="1:2">
      <c r="A358">
        <v>451</v>
      </c>
      <c r="B358" t="s">
        <v>25</v>
      </c>
    </row>
    <row r="359" spans="1:2">
      <c r="A359">
        <v>452</v>
      </c>
      <c r="B359" t="s">
        <v>26</v>
      </c>
    </row>
    <row r="360" spans="1:2">
      <c r="A360">
        <v>453</v>
      </c>
      <c r="B360" t="s">
        <v>26</v>
      </c>
    </row>
    <row r="361" spans="1:2">
      <c r="A361">
        <v>454</v>
      </c>
      <c r="B361" t="s">
        <v>150</v>
      </c>
    </row>
    <row r="362" spans="1:2">
      <c r="A362">
        <v>455</v>
      </c>
      <c r="B362" t="s">
        <v>25</v>
      </c>
    </row>
    <row r="363" spans="1:2">
      <c r="A363">
        <v>456</v>
      </c>
      <c r="B363" t="s">
        <v>26</v>
      </c>
    </row>
    <row r="364" spans="1:2">
      <c r="A364">
        <v>457</v>
      </c>
      <c r="B364" t="s">
        <v>28</v>
      </c>
    </row>
    <row r="365" spans="1:2">
      <c r="A365">
        <v>458</v>
      </c>
      <c r="B365" t="s">
        <v>26</v>
      </c>
    </row>
    <row r="366" spans="1:2">
      <c r="A366">
        <v>459</v>
      </c>
      <c r="B366" t="s">
        <v>26</v>
      </c>
    </row>
    <row r="367" spans="1:2">
      <c r="A367">
        <v>460</v>
      </c>
      <c r="B367" t="s">
        <v>26</v>
      </c>
    </row>
    <row r="368" spans="1:2">
      <c r="A368">
        <v>461</v>
      </c>
      <c r="B368" t="s">
        <v>26</v>
      </c>
    </row>
    <row r="369" spans="1:2">
      <c r="A369">
        <v>462</v>
      </c>
      <c r="B369" t="s">
        <v>150</v>
      </c>
    </row>
    <row r="370" spans="1:2">
      <c r="A370">
        <v>463</v>
      </c>
      <c r="B370" t="s">
        <v>150</v>
      </c>
    </row>
    <row r="371" spans="1:2">
      <c r="A371">
        <v>464</v>
      </c>
      <c r="B371" t="s">
        <v>26</v>
      </c>
    </row>
    <row r="372" spans="1:2">
      <c r="A372">
        <v>465</v>
      </c>
      <c r="B372" t="s">
        <v>25</v>
      </c>
    </row>
    <row r="373" spans="1:2">
      <c r="A373">
        <v>466</v>
      </c>
      <c r="B373" t="s">
        <v>150</v>
      </c>
    </row>
    <row r="374" spans="1:2">
      <c r="A374">
        <v>467</v>
      </c>
      <c r="B374" t="s">
        <v>28</v>
      </c>
    </row>
    <row r="375" spans="1:2">
      <c r="A375">
        <v>468</v>
      </c>
      <c r="B375" t="s">
        <v>27</v>
      </c>
    </row>
    <row r="376" spans="1:2">
      <c r="A376">
        <v>469</v>
      </c>
      <c r="B376" t="s">
        <v>27</v>
      </c>
    </row>
    <row r="377" spans="1:2">
      <c r="A377">
        <v>470</v>
      </c>
      <c r="B377" t="s">
        <v>25</v>
      </c>
    </row>
    <row r="378" spans="1:2">
      <c r="A378">
        <v>471</v>
      </c>
      <c r="B378" t="s">
        <v>26</v>
      </c>
    </row>
    <row r="379" spans="1:2">
      <c r="A379">
        <v>472</v>
      </c>
      <c r="B379" t="s">
        <v>25</v>
      </c>
    </row>
    <row r="380" spans="1:2">
      <c r="A380">
        <v>473</v>
      </c>
      <c r="B380" t="s">
        <v>28</v>
      </c>
    </row>
    <row r="381" spans="1:2">
      <c r="A381">
        <v>474</v>
      </c>
      <c r="B381" t="s">
        <v>28</v>
      </c>
    </row>
    <row r="382" spans="1:2">
      <c r="A382">
        <v>475</v>
      </c>
      <c r="B382" t="s">
        <v>27</v>
      </c>
    </row>
    <row r="383" spans="1:2">
      <c r="A383">
        <v>476</v>
      </c>
      <c r="B383" t="s">
        <v>28</v>
      </c>
    </row>
    <row r="384" spans="1:2">
      <c r="A384">
        <v>477</v>
      </c>
      <c r="B384" t="s">
        <v>150</v>
      </c>
    </row>
    <row r="385" spans="1:2">
      <c r="A385">
        <v>478</v>
      </c>
      <c r="B385" t="s">
        <v>25</v>
      </c>
    </row>
    <row r="386" spans="1:2">
      <c r="A386">
        <v>479</v>
      </c>
      <c r="B386" t="s">
        <v>26</v>
      </c>
    </row>
    <row r="387" spans="1:2">
      <c r="A387">
        <v>480</v>
      </c>
      <c r="B387" t="s">
        <v>27</v>
      </c>
    </row>
    <row r="388" spans="1:2">
      <c r="A388">
        <v>481</v>
      </c>
      <c r="B388" t="s">
        <v>26</v>
      </c>
    </row>
    <row r="389" spans="1:2">
      <c r="A389">
        <v>482</v>
      </c>
      <c r="B389" t="s">
        <v>27</v>
      </c>
    </row>
    <row r="390" spans="1:2">
      <c r="A390">
        <v>483</v>
      </c>
      <c r="B390" t="s">
        <v>28</v>
      </c>
    </row>
    <row r="391" spans="1:2">
      <c r="A391">
        <v>484</v>
      </c>
      <c r="B391" t="s">
        <v>26</v>
      </c>
    </row>
    <row r="392" spans="1:2">
      <c r="A392">
        <v>485</v>
      </c>
      <c r="B392" t="s">
        <v>26</v>
      </c>
    </row>
    <row r="393" spans="1:2">
      <c r="A393">
        <v>486</v>
      </c>
      <c r="B393" t="s">
        <v>27</v>
      </c>
    </row>
    <row r="394" spans="1:2">
      <c r="A394">
        <v>487</v>
      </c>
      <c r="B394" t="s">
        <v>27</v>
      </c>
    </row>
    <row r="395" spans="1:2">
      <c r="A395">
        <v>488</v>
      </c>
      <c r="B395" t="s">
        <v>26</v>
      </c>
    </row>
    <row r="396" spans="1:2">
      <c r="A396">
        <v>489</v>
      </c>
      <c r="B396" t="s">
        <v>27</v>
      </c>
    </row>
    <row r="397" spans="1:2">
      <c r="A397">
        <v>490</v>
      </c>
      <c r="B397" t="s">
        <v>25</v>
      </c>
    </row>
    <row r="398" spans="1:2">
      <c r="A398">
        <v>491</v>
      </c>
      <c r="B398" t="s">
        <v>25</v>
      </c>
    </row>
    <row r="399" spans="1:2">
      <c r="A399">
        <v>492</v>
      </c>
      <c r="B399" t="s">
        <v>150</v>
      </c>
    </row>
    <row r="400" spans="1:2">
      <c r="A400">
        <v>493</v>
      </c>
      <c r="B400" t="s">
        <v>27</v>
      </c>
    </row>
    <row r="401" spans="1:2">
      <c r="A401">
        <v>494</v>
      </c>
      <c r="B401" t="s">
        <v>27</v>
      </c>
    </row>
    <row r="402" spans="1:2">
      <c r="A402">
        <v>495</v>
      </c>
      <c r="B402" t="s">
        <v>150</v>
      </c>
    </row>
    <row r="403" spans="1:2">
      <c r="A403">
        <v>496</v>
      </c>
      <c r="B403" t="s">
        <v>26</v>
      </c>
    </row>
    <row r="404" spans="1:2">
      <c r="A404">
        <v>497</v>
      </c>
      <c r="B404" t="s">
        <v>150</v>
      </c>
    </row>
    <row r="405" spans="1:2">
      <c r="A405">
        <v>498</v>
      </c>
      <c r="B405" t="s">
        <v>150</v>
      </c>
    </row>
    <row r="406" spans="1:2">
      <c r="A406">
        <v>499</v>
      </c>
      <c r="B406" t="s">
        <v>27</v>
      </c>
    </row>
    <row r="407" spans="1:2">
      <c r="A407">
        <v>500</v>
      </c>
      <c r="B407" t="s">
        <v>150</v>
      </c>
    </row>
    <row r="408" spans="1:2">
      <c r="A408">
        <v>501</v>
      </c>
      <c r="B408" t="s">
        <v>28</v>
      </c>
    </row>
    <row r="409" spans="1:2">
      <c r="A409">
        <v>502</v>
      </c>
      <c r="B409" t="s">
        <v>150</v>
      </c>
    </row>
    <row r="410" spans="1:2">
      <c r="A410">
        <v>503</v>
      </c>
      <c r="B410" t="s">
        <v>25</v>
      </c>
    </row>
    <row r="411" spans="1:2">
      <c r="A411">
        <v>504</v>
      </c>
      <c r="B411" t="s">
        <v>26</v>
      </c>
    </row>
    <row r="412" spans="1:2">
      <c r="A412">
        <v>505</v>
      </c>
      <c r="B412" t="s">
        <v>27</v>
      </c>
    </row>
    <row r="413" spans="1:2">
      <c r="A413">
        <v>506</v>
      </c>
      <c r="B413" t="s">
        <v>28</v>
      </c>
    </row>
    <row r="414" spans="1:2">
      <c r="A414">
        <v>507</v>
      </c>
      <c r="B414" t="s">
        <v>150</v>
      </c>
    </row>
    <row r="415" spans="1:2">
      <c r="A415">
        <v>508</v>
      </c>
      <c r="B415" t="s">
        <v>28</v>
      </c>
    </row>
    <row r="416" spans="1:2">
      <c r="A416">
        <v>509</v>
      </c>
      <c r="B416" t="s">
        <v>150</v>
      </c>
    </row>
    <row r="417" spans="1:2">
      <c r="A417">
        <v>510</v>
      </c>
      <c r="B417" t="s">
        <v>27</v>
      </c>
    </row>
    <row r="418" spans="1:2">
      <c r="A418">
        <v>511</v>
      </c>
      <c r="B418" t="s">
        <v>150</v>
      </c>
    </row>
    <row r="419" spans="1:2">
      <c r="A419">
        <v>512</v>
      </c>
      <c r="B419" t="s">
        <v>150</v>
      </c>
    </row>
    <row r="420" spans="1:2">
      <c r="A420">
        <v>513</v>
      </c>
      <c r="B420" t="s">
        <v>27</v>
      </c>
    </row>
    <row r="421" spans="1:2">
      <c r="A421">
        <v>514</v>
      </c>
      <c r="B421" t="s">
        <v>25</v>
      </c>
    </row>
    <row r="422" spans="1:2">
      <c r="A422">
        <v>515</v>
      </c>
      <c r="B422" t="s">
        <v>27</v>
      </c>
    </row>
    <row r="423" spans="1:2">
      <c r="A423">
        <v>516</v>
      </c>
      <c r="B423" t="s">
        <v>28</v>
      </c>
    </row>
    <row r="424" spans="1:2">
      <c r="A424">
        <v>517</v>
      </c>
      <c r="B424" t="s">
        <v>28</v>
      </c>
    </row>
    <row r="425" spans="1:2">
      <c r="A425">
        <v>518</v>
      </c>
      <c r="B425" t="s">
        <v>26</v>
      </c>
    </row>
    <row r="426" spans="1:2">
      <c r="A426">
        <v>519</v>
      </c>
      <c r="B426" t="s">
        <v>27</v>
      </c>
    </row>
    <row r="427" spans="1:2">
      <c r="A427">
        <v>520</v>
      </c>
      <c r="B427" t="s">
        <v>28</v>
      </c>
    </row>
    <row r="428" spans="1:2">
      <c r="A428">
        <v>521</v>
      </c>
      <c r="B428" t="s">
        <v>27</v>
      </c>
    </row>
    <row r="429" spans="1:2">
      <c r="A429">
        <v>522</v>
      </c>
      <c r="B429" t="s">
        <v>150</v>
      </c>
    </row>
    <row r="430" spans="1:2">
      <c r="A430">
        <v>523</v>
      </c>
      <c r="B430" t="s">
        <v>26</v>
      </c>
    </row>
    <row r="431" spans="1:2">
      <c r="A431">
        <v>524</v>
      </c>
      <c r="B431" t="s">
        <v>28</v>
      </c>
    </row>
    <row r="432" spans="1:2">
      <c r="A432">
        <v>525</v>
      </c>
      <c r="B432" t="s">
        <v>28</v>
      </c>
    </row>
    <row r="433" spans="1:2">
      <c r="A433">
        <v>526</v>
      </c>
      <c r="B433" t="s">
        <v>25</v>
      </c>
    </row>
    <row r="434" spans="1:2">
      <c r="A434">
        <v>527</v>
      </c>
      <c r="B434" t="s">
        <v>27</v>
      </c>
    </row>
    <row r="435" spans="1:2">
      <c r="A435">
        <v>528</v>
      </c>
      <c r="B435" t="s">
        <v>28</v>
      </c>
    </row>
    <row r="436" spans="1:2">
      <c r="A436">
        <v>529</v>
      </c>
      <c r="B436" t="s">
        <v>28</v>
      </c>
    </row>
    <row r="437" spans="1:2">
      <c r="A437">
        <v>530</v>
      </c>
      <c r="B437" t="s">
        <v>28</v>
      </c>
    </row>
    <row r="438" spans="1:2">
      <c r="A438">
        <v>531</v>
      </c>
      <c r="B438" t="s">
        <v>26</v>
      </c>
    </row>
    <row r="439" spans="1:2">
      <c r="A439">
        <v>532</v>
      </c>
      <c r="B439" t="s">
        <v>27</v>
      </c>
    </row>
    <row r="440" spans="1:2">
      <c r="A440">
        <v>533</v>
      </c>
      <c r="B440" t="s">
        <v>27</v>
      </c>
    </row>
    <row r="441" spans="1:2">
      <c r="A441">
        <v>534</v>
      </c>
      <c r="B441" t="s">
        <v>26</v>
      </c>
    </row>
    <row r="442" spans="1:2">
      <c r="A442">
        <v>535</v>
      </c>
      <c r="B442" t="s">
        <v>28</v>
      </c>
    </row>
    <row r="443" spans="1:2">
      <c r="A443">
        <v>536</v>
      </c>
      <c r="B443" t="s">
        <v>26</v>
      </c>
    </row>
    <row r="444" spans="1:2">
      <c r="A444">
        <v>537</v>
      </c>
      <c r="B444" t="s">
        <v>150</v>
      </c>
    </row>
    <row r="445" spans="1:2">
      <c r="A445">
        <v>538</v>
      </c>
      <c r="B445" t="s">
        <v>25</v>
      </c>
    </row>
    <row r="446" spans="1:2">
      <c r="A446">
        <v>539</v>
      </c>
      <c r="B446" t="s">
        <v>26</v>
      </c>
    </row>
    <row r="447" spans="1:2">
      <c r="A447">
        <v>540</v>
      </c>
      <c r="B447" t="s">
        <v>27</v>
      </c>
    </row>
    <row r="448" spans="1:2">
      <c r="A448">
        <v>541</v>
      </c>
      <c r="B448" t="s">
        <v>28</v>
      </c>
    </row>
    <row r="449" spans="1:2">
      <c r="A449">
        <v>542</v>
      </c>
      <c r="B449" t="s">
        <v>28</v>
      </c>
    </row>
    <row r="450" spans="1:2">
      <c r="A450">
        <v>543</v>
      </c>
      <c r="B450" t="s">
        <v>28</v>
      </c>
    </row>
    <row r="451" spans="1:2">
      <c r="A451">
        <v>544</v>
      </c>
      <c r="B451" t="s">
        <v>27</v>
      </c>
    </row>
    <row r="452" spans="1:2">
      <c r="A452">
        <v>545</v>
      </c>
      <c r="B452" t="s">
        <v>150</v>
      </c>
    </row>
    <row r="453" spans="1:2">
      <c r="A453">
        <v>546</v>
      </c>
      <c r="B453" t="s">
        <v>25</v>
      </c>
    </row>
    <row r="454" spans="1:2">
      <c r="A454">
        <v>547</v>
      </c>
      <c r="B454" t="s">
        <v>25</v>
      </c>
    </row>
    <row r="455" spans="1:2">
      <c r="A455">
        <v>548</v>
      </c>
      <c r="B455" t="s">
        <v>26</v>
      </c>
    </row>
    <row r="456" spans="1:2">
      <c r="A456">
        <v>549</v>
      </c>
      <c r="B456" t="s">
        <v>26</v>
      </c>
    </row>
    <row r="457" spans="1:2">
      <c r="A457">
        <v>550</v>
      </c>
      <c r="B457" t="s">
        <v>25</v>
      </c>
    </row>
    <row r="458" spans="1:2">
      <c r="A458">
        <v>551</v>
      </c>
      <c r="B458" t="s">
        <v>27</v>
      </c>
    </row>
    <row r="459" spans="1:2">
      <c r="A459">
        <v>552</v>
      </c>
      <c r="B459" t="s">
        <v>26</v>
      </c>
    </row>
    <row r="460" spans="1:2">
      <c r="A460">
        <v>553</v>
      </c>
      <c r="B460" t="s">
        <v>28</v>
      </c>
    </row>
    <row r="461" spans="1:2">
      <c r="A461">
        <v>554</v>
      </c>
      <c r="B461" t="s">
        <v>28</v>
      </c>
    </row>
    <row r="462" spans="1:2">
      <c r="A462">
        <v>555</v>
      </c>
      <c r="B462" t="s">
        <v>27</v>
      </c>
    </row>
    <row r="463" spans="1:2">
      <c r="A463">
        <v>556</v>
      </c>
      <c r="B463" t="s">
        <v>26</v>
      </c>
    </row>
    <row r="464" spans="1:2">
      <c r="A464">
        <v>557</v>
      </c>
      <c r="B464" t="s">
        <v>28</v>
      </c>
    </row>
    <row r="465" spans="1:2">
      <c r="A465">
        <v>558</v>
      </c>
      <c r="B465" t="s">
        <v>28</v>
      </c>
    </row>
    <row r="466" spans="1:2">
      <c r="A466">
        <v>559</v>
      </c>
      <c r="B466" t="s">
        <v>25</v>
      </c>
    </row>
    <row r="467" spans="1:2">
      <c r="A467">
        <v>560</v>
      </c>
      <c r="B467" t="s">
        <v>25</v>
      </c>
    </row>
    <row r="468" spans="1:2">
      <c r="A468">
        <v>561</v>
      </c>
      <c r="B468" t="s">
        <v>28</v>
      </c>
    </row>
    <row r="469" spans="1:2">
      <c r="A469">
        <v>562</v>
      </c>
      <c r="B469" t="s">
        <v>28</v>
      </c>
    </row>
    <row r="470" spans="1:2">
      <c r="A470">
        <v>563</v>
      </c>
      <c r="B470" t="s">
        <v>26</v>
      </c>
    </row>
    <row r="471" spans="1:2">
      <c r="A471">
        <v>564</v>
      </c>
      <c r="B471" t="s">
        <v>27</v>
      </c>
    </row>
    <row r="472" spans="1:2">
      <c r="A472">
        <v>565</v>
      </c>
      <c r="B472" t="s">
        <v>25</v>
      </c>
    </row>
    <row r="473" spans="1:2">
      <c r="A473">
        <v>566</v>
      </c>
      <c r="B473" t="s">
        <v>26</v>
      </c>
    </row>
    <row r="474" spans="1:2">
      <c r="A474">
        <v>567</v>
      </c>
      <c r="B474" t="s">
        <v>26</v>
      </c>
    </row>
    <row r="475" spans="1:2">
      <c r="A475">
        <v>568</v>
      </c>
      <c r="B475" t="s">
        <v>28</v>
      </c>
    </row>
    <row r="476" spans="1:2">
      <c r="A476">
        <v>569</v>
      </c>
      <c r="B476" t="s">
        <v>25</v>
      </c>
    </row>
    <row r="477" spans="1:2">
      <c r="A477">
        <v>570</v>
      </c>
      <c r="B477" t="s">
        <v>27</v>
      </c>
    </row>
    <row r="478" spans="1:2">
      <c r="A478">
        <v>571</v>
      </c>
      <c r="B478" t="s">
        <v>25</v>
      </c>
    </row>
    <row r="479" spans="1:2">
      <c r="A479">
        <v>572</v>
      </c>
      <c r="B479" t="s">
        <v>27</v>
      </c>
    </row>
    <row r="480" spans="1:2">
      <c r="A480">
        <v>573</v>
      </c>
      <c r="B480" t="s">
        <v>25</v>
      </c>
    </row>
    <row r="481" spans="1:2">
      <c r="A481">
        <v>574</v>
      </c>
      <c r="B481" t="s">
        <v>25</v>
      </c>
    </row>
    <row r="482" spans="1:2">
      <c r="A482">
        <v>575</v>
      </c>
      <c r="B482" t="s">
        <v>26</v>
      </c>
    </row>
    <row r="483" spans="1:2">
      <c r="A483">
        <v>576</v>
      </c>
      <c r="B483" t="s">
        <v>28</v>
      </c>
    </row>
    <row r="484" spans="1:2">
      <c r="A484">
        <v>577</v>
      </c>
      <c r="B484" t="s">
        <v>25</v>
      </c>
    </row>
    <row r="485" spans="1:2">
      <c r="A485">
        <v>578</v>
      </c>
      <c r="B485" t="s">
        <v>27</v>
      </c>
    </row>
    <row r="486" spans="1:2">
      <c r="A486">
        <v>579</v>
      </c>
      <c r="B486" t="s">
        <v>27</v>
      </c>
    </row>
    <row r="487" spans="1:2">
      <c r="A487">
        <v>580</v>
      </c>
      <c r="B487" t="s">
        <v>150</v>
      </c>
    </row>
    <row r="488" spans="1:2">
      <c r="A488">
        <v>581</v>
      </c>
      <c r="B488" t="s">
        <v>25</v>
      </c>
    </row>
    <row r="489" spans="1:2">
      <c r="A489">
        <v>582</v>
      </c>
      <c r="B489" t="s">
        <v>27</v>
      </c>
    </row>
    <row r="490" spans="1:2">
      <c r="A490">
        <v>583</v>
      </c>
      <c r="B490" t="s">
        <v>27</v>
      </c>
    </row>
    <row r="491" spans="1:2">
      <c r="A491">
        <v>584</v>
      </c>
      <c r="B491" t="s">
        <v>150</v>
      </c>
    </row>
    <row r="492" spans="1:2">
      <c r="A492">
        <v>585</v>
      </c>
      <c r="B492" t="s">
        <v>25</v>
      </c>
    </row>
    <row r="493" spans="1:2">
      <c r="A493">
        <v>586</v>
      </c>
      <c r="B493" t="s">
        <v>26</v>
      </c>
    </row>
    <row r="494" spans="1:2">
      <c r="A494">
        <v>587</v>
      </c>
      <c r="B494" t="s">
        <v>27</v>
      </c>
    </row>
    <row r="495" spans="1:2">
      <c r="A495">
        <v>588</v>
      </c>
      <c r="B495" t="s">
        <v>150</v>
      </c>
    </row>
    <row r="496" spans="1:2">
      <c r="A496">
        <v>589</v>
      </c>
      <c r="B496" t="s">
        <v>150</v>
      </c>
    </row>
    <row r="497" spans="1:2">
      <c r="A497">
        <v>590</v>
      </c>
      <c r="B497" t="s">
        <v>25</v>
      </c>
    </row>
    <row r="498" spans="1:2">
      <c r="A498">
        <v>591</v>
      </c>
      <c r="B498" t="s">
        <v>25</v>
      </c>
    </row>
    <row r="499" spans="1:2">
      <c r="A499">
        <v>592</v>
      </c>
      <c r="B499" t="s">
        <v>150</v>
      </c>
    </row>
    <row r="500" spans="1:2">
      <c r="A500">
        <v>593</v>
      </c>
      <c r="B500" t="s">
        <v>28</v>
      </c>
    </row>
    <row r="501" spans="1:2">
      <c r="A501">
        <v>594</v>
      </c>
      <c r="B501" t="s">
        <v>150</v>
      </c>
    </row>
    <row r="502" spans="1:2">
      <c r="A502">
        <v>595</v>
      </c>
      <c r="B502" t="s">
        <v>25</v>
      </c>
    </row>
    <row r="503" spans="1:2">
      <c r="A503">
        <v>596</v>
      </c>
      <c r="B503" t="s">
        <v>26</v>
      </c>
    </row>
    <row r="504" spans="1:2">
      <c r="A504">
        <v>597</v>
      </c>
      <c r="B504" t="s">
        <v>150</v>
      </c>
    </row>
    <row r="505" spans="1:2">
      <c r="A505">
        <v>598</v>
      </c>
      <c r="B505" t="s">
        <v>25</v>
      </c>
    </row>
    <row r="506" spans="1:2">
      <c r="A506">
        <v>599</v>
      </c>
      <c r="B506" t="s">
        <v>150</v>
      </c>
    </row>
    <row r="507" spans="1:2">
      <c r="A507">
        <v>600</v>
      </c>
      <c r="B507" t="s">
        <v>25</v>
      </c>
    </row>
    <row r="508" spans="1:2">
      <c r="A508">
        <v>601</v>
      </c>
      <c r="B508" t="s">
        <v>27</v>
      </c>
    </row>
    <row r="509" spans="1:2">
      <c r="A509">
        <v>602</v>
      </c>
      <c r="B509" t="s">
        <v>26</v>
      </c>
    </row>
    <row r="510" spans="1:2">
      <c r="A510">
        <v>603</v>
      </c>
      <c r="B510" t="s">
        <v>25</v>
      </c>
    </row>
    <row r="511" spans="1:2">
      <c r="A511">
        <v>604</v>
      </c>
      <c r="B511" t="s">
        <v>27</v>
      </c>
    </row>
    <row r="512" spans="1:2">
      <c r="A512">
        <v>605</v>
      </c>
      <c r="B512" t="s">
        <v>26</v>
      </c>
    </row>
    <row r="513" spans="1:2">
      <c r="A513">
        <v>606</v>
      </c>
      <c r="B513" t="s">
        <v>28</v>
      </c>
    </row>
    <row r="514" spans="1:2">
      <c r="A514">
        <v>607</v>
      </c>
      <c r="B514" t="s">
        <v>26</v>
      </c>
    </row>
    <row r="515" spans="1:2">
      <c r="A515">
        <v>608</v>
      </c>
      <c r="B515" t="s">
        <v>150</v>
      </c>
    </row>
    <row r="516" spans="1:2">
      <c r="A516">
        <v>609</v>
      </c>
      <c r="B516" t="s">
        <v>27</v>
      </c>
    </row>
    <row r="517" spans="1:2">
      <c r="A517">
        <v>610</v>
      </c>
      <c r="B517" t="s">
        <v>150</v>
      </c>
    </row>
    <row r="518" spans="1:2">
      <c r="A518">
        <v>611</v>
      </c>
      <c r="B518" t="s">
        <v>27</v>
      </c>
    </row>
    <row r="519" spans="1:2">
      <c r="A519">
        <v>612</v>
      </c>
      <c r="B519" t="s">
        <v>27</v>
      </c>
    </row>
    <row r="520" spans="1:2">
      <c r="A520">
        <v>613</v>
      </c>
      <c r="B520" t="s">
        <v>28</v>
      </c>
    </row>
    <row r="521" spans="1:2">
      <c r="A521">
        <v>614</v>
      </c>
      <c r="B521" t="s">
        <v>27</v>
      </c>
    </row>
    <row r="522" spans="1:2">
      <c r="A522">
        <v>615</v>
      </c>
      <c r="B522" t="s">
        <v>25</v>
      </c>
    </row>
    <row r="523" spans="1:2">
      <c r="A523">
        <v>616</v>
      </c>
      <c r="B523" t="s">
        <v>26</v>
      </c>
    </row>
    <row r="524" spans="1:2">
      <c r="A524">
        <v>617</v>
      </c>
      <c r="B524" t="s">
        <v>28</v>
      </c>
    </row>
    <row r="525" spans="1:2">
      <c r="A525">
        <v>618</v>
      </c>
      <c r="B525" t="s">
        <v>28</v>
      </c>
    </row>
    <row r="526" spans="1:2">
      <c r="A526">
        <v>619</v>
      </c>
      <c r="B526" t="s">
        <v>26</v>
      </c>
    </row>
    <row r="527" spans="1:2">
      <c r="A527">
        <v>620</v>
      </c>
      <c r="B527" t="s">
        <v>28</v>
      </c>
    </row>
    <row r="528" spans="1:2">
      <c r="A528">
        <v>621</v>
      </c>
      <c r="B528" t="s">
        <v>150</v>
      </c>
    </row>
    <row r="529" spans="1:2">
      <c r="A529">
        <v>622</v>
      </c>
      <c r="B529" t="s">
        <v>27</v>
      </c>
    </row>
    <row r="530" spans="1:2">
      <c r="A530">
        <v>623</v>
      </c>
      <c r="B530" t="s">
        <v>25</v>
      </c>
    </row>
    <row r="531" spans="1:2">
      <c r="A531">
        <v>624</v>
      </c>
      <c r="B531" t="s">
        <v>26</v>
      </c>
    </row>
    <row r="532" spans="1:2">
      <c r="A532">
        <v>625</v>
      </c>
      <c r="B532" t="s">
        <v>25</v>
      </c>
    </row>
    <row r="533" spans="1:2">
      <c r="A533">
        <v>626</v>
      </c>
      <c r="B533" t="s">
        <v>25</v>
      </c>
    </row>
    <row r="534" spans="1:2">
      <c r="A534">
        <v>627</v>
      </c>
      <c r="B534" t="s">
        <v>150</v>
      </c>
    </row>
    <row r="535" spans="1:2">
      <c r="A535">
        <v>628</v>
      </c>
      <c r="B535" t="s">
        <v>150</v>
      </c>
    </row>
    <row r="536" spans="1:2">
      <c r="A536">
        <v>629</v>
      </c>
      <c r="B536" t="s">
        <v>26</v>
      </c>
    </row>
    <row r="537" spans="1:2">
      <c r="A537">
        <v>630</v>
      </c>
      <c r="B537" t="s">
        <v>27</v>
      </c>
    </row>
    <row r="538" spans="1:2">
      <c r="A538">
        <v>631</v>
      </c>
      <c r="B538" t="s">
        <v>27</v>
      </c>
    </row>
    <row r="539" spans="1:2">
      <c r="A539">
        <v>632</v>
      </c>
      <c r="B539" t="s">
        <v>27</v>
      </c>
    </row>
    <row r="540" spans="1:2">
      <c r="A540">
        <v>633</v>
      </c>
      <c r="B540" t="s">
        <v>25</v>
      </c>
    </row>
    <row r="541" spans="1:2">
      <c r="A541">
        <v>634</v>
      </c>
      <c r="B541" t="s">
        <v>27</v>
      </c>
    </row>
    <row r="542" spans="1:2">
      <c r="A542">
        <v>635</v>
      </c>
      <c r="B542" t="s">
        <v>150</v>
      </c>
    </row>
    <row r="543" spans="1:2">
      <c r="A543">
        <v>636</v>
      </c>
      <c r="B543" t="s">
        <v>26</v>
      </c>
    </row>
    <row r="544" spans="1:2">
      <c r="A544">
        <v>637</v>
      </c>
      <c r="B544" t="s">
        <v>27</v>
      </c>
    </row>
    <row r="545" spans="1:2">
      <c r="A545">
        <v>638</v>
      </c>
      <c r="B545" t="s">
        <v>28</v>
      </c>
    </row>
    <row r="546" spans="1:2">
      <c r="A546">
        <v>639</v>
      </c>
      <c r="B546" t="s">
        <v>27</v>
      </c>
    </row>
    <row r="547" spans="1:2">
      <c r="A547">
        <v>640</v>
      </c>
      <c r="B547" t="s">
        <v>25</v>
      </c>
    </row>
    <row r="548" spans="1:2">
      <c r="A548">
        <v>641</v>
      </c>
      <c r="B548" t="s">
        <v>28</v>
      </c>
    </row>
    <row r="549" spans="1:2">
      <c r="A549">
        <v>642</v>
      </c>
      <c r="B549" t="s">
        <v>28</v>
      </c>
    </row>
    <row r="550" spans="1:2">
      <c r="A550">
        <v>643</v>
      </c>
      <c r="B550" t="s">
        <v>150</v>
      </c>
    </row>
    <row r="551" spans="1:2">
      <c r="A551">
        <v>644</v>
      </c>
      <c r="B551" t="s">
        <v>27</v>
      </c>
    </row>
    <row r="552" spans="1:2">
      <c r="A552">
        <v>645</v>
      </c>
      <c r="B552" t="s">
        <v>25</v>
      </c>
    </row>
    <row r="553" spans="1:2">
      <c r="A553">
        <v>646</v>
      </c>
      <c r="B553" t="s">
        <v>150</v>
      </c>
    </row>
    <row r="554" spans="1:2">
      <c r="A554">
        <v>647</v>
      </c>
      <c r="B554" t="s">
        <v>150</v>
      </c>
    </row>
    <row r="555" spans="1:2">
      <c r="A555">
        <v>648</v>
      </c>
      <c r="B555" t="s">
        <v>150</v>
      </c>
    </row>
    <row r="556" spans="1:2">
      <c r="A556">
        <v>649</v>
      </c>
      <c r="B556" t="s">
        <v>26</v>
      </c>
    </row>
    <row r="557" spans="1:2">
      <c r="A557">
        <v>650</v>
      </c>
      <c r="B557" t="s">
        <v>25</v>
      </c>
    </row>
    <row r="558" spans="1:2">
      <c r="A558">
        <v>651</v>
      </c>
      <c r="B558" t="s">
        <v>150</v>
      </c>
    </row>
    <row r="559" spans="1:2">
      <c r="A559">
        <v>652</v>
      </c>
      <c r="B559" t="s">
        <v>27</v>
      </c>
    </row>
    <row r="560" spans="1:2">
      <c r="A560">
        <v>653</v>
      </c>
      <c r="B560" t="s">
        <v>25</v>
      </c>
    </row>
    <row r="561" spans="1:2">
      <c r="A561">
        <v>654</v>
      </c>
      <c r="B561" t="s">
        <v>25</v>
      </c>
    </row>
    <row r="562" spans="1:2">
      <c r="A562">
        <v>655</v>
      </c>
      <c r="B562" t="s">
        <v>27</v>
      </c>
    </row>
    <row r="563" spans="1:2">
      <c r="A563">
        <v>656</v>
      </c>
      <c r="B563" t="s">
        <v>25</v>
      </c>
    </row>
    <row r="564" spans="1:2">
      <c r="A564">
        <v>657</v>
      </c>
      <c r="B564" t="s">
        <v>27</v>
      </c>
    </row>
    <row r="565" spans="1:2">
      <c r="A565">
        <v>658</v>
      </c>
      <c r="B565" t="s">
        <v>150</v>
      </c>
    </row>
    <row r="566" spans="1:2">
      <c r="A566">
        <v>659</v>
      </c>
      <c r="B566" t="s">
        <v>27</v>
      </c>
    </row>
    <row r="567" spans="1:2">
      <c r="A567">
        <v>660</v>
      </c>
      <c r="B567" t="s">
        <v>28</v>
      </c>
    </row>
    <row r="568" spans="1:2">
      <c r="A568">
        <v>661</v>
      </c>
      <c r="B568" t="s">
        <v>28</v>
      </c>
    </row>
    <row r="569" spans="1:2">
      <c r="A569">
        <v>662</v>
      </c>
      <c r="B569" t="s">
        <v>25</v>
      </c>
    </row>
    <row r="570" spans="1:2">
      <c r="A570">
        <v>663</v>
      </c>
      <c r="B570" t="s">
        <v>28</v>
      </c>
    </row>
    <row r="571" spans="1:2">
      <c r="A571">
        <v>664</v>
      </c>
      <c r="B571" t="s">
        <v>27</v>
      </c>
    </row>
    <row r="572" spans="1:2">
      <c r="A572">
        <v>665</v>
      </c>
      <c r="B572" t="s">
        <v>27</v>
      </c>
    </row>
    <row r="573" spans="1:2">
      <c r="A573">
        <v>666</v>
      </c>
      <c r="B573" t="s">
        <v>25</v>
      </c>
    </row>
    <row r="574" spans="1:2">
      <c r="A574">
        <v>667</v>
      </c>
      <c r="B574" t="s">
        <v>27</v>
      </c>
    </row>
    <row r="575" spans="1:2">
      <c r="A575">
        <v>668</v>
      </c>
      <c r="B575" t="s">
        <v>28</v>
      </c>
    </row>
    <row r="576" spans="1:2">
      <c r="A576">
        <v>669</v>
      </c>
      <c r="B576" t="s">
        <v>25</v>
      </c>
    </row>
    <row r="577" spans="1:2">
      <c r="A577">
        <v>670</v>
      </c>
      <c r="B577" t="s">
        <v>28</v>
      </c>
    </row>
    <row r="578" spans="1:2">
      <c r="A578">
        <v>671</v>
      </c>
      <c r="B578" t="s">
        <v>25</v>
      </c>
    </row>
    <row r="579" spans="1:2">
      <c r="A579">
        <v>672</v>
      </c>
      <c r="B579" t="s">
        <v>25</v>
      </c>
    </row>
    <row r="580" spans="1:2">
      <c r="A580">
        <v>673</v>
      </c>
      <c r="B580" t="s">
        <v>25</v>
      </c>
    </row>
    <row r="581" spans="1:2">
      <c r="A581">
        <v>674</v>
      </c>
      <c r="B581" t="s">
        <v>150</v>
      </c>
    </row>
    <row r="582" spans="1:2">
      <c r="A582">
        <v>675</v>
      </c>
      <c r="B582" t="s">
        <v>26</v>
      </c>
    </row>
    <row r="583" spans="1:2">
      <c r="A583">
        <v>676</v>
      </c>
      <c r="B583" t="s">
        <v>26</v>
      </c>
    </row>
    <row r="584" spans="1:2">
      <c r="A584">
        <v>677</v>
      </c>
      <c r="B584" t="s">
        <v>27</v>
      </c>
    </row>
    <row r="585" spans="1:2">
      <c r="A585">
        <v>678</v>
      </c>
      <c r="B585" t="s">
        <v>150</v>
      </c>
    </row>
    <row r="586" spans="1:2">
      <c r="A586">
        <v>679</v>
      </c>
      <c r="B586" t="s">
        <v>28</v>
      </c>
    </row>
    <row r="587" spans="1:2">
      <c r="A587">
        <v>680</v>
      </c>
      <c r="B587" t="s">
        <v>26</v>
      </c>
    </row>
    <row r="588" spans="1:2">
      <c r="A588">
        <v>681</v>
      </c>
      <c r="B588" t="s">
        <v>28</v>
      </c>
    </row>
    <row r="589" spans="1:2">
      <c r="A589">
        <v>682</v>
      </c>
      <c r="B589" t="s">
        <v>28</v>
      </c>
    </row>
    <row r="590" spans="1:2">
      <c r="A590">
        <v>683</v>
      </c>
      <c r="B590" t="s">
        <v>26</v>
      </c>
    </row>
    <row r="591" spans="1:2">
      <c r="A591">
        <v>684</v>
      </c>
      <c r="B591" t="s">
        <v>27</v>
      </c>
    </row>
    <row r="592" spans="1:2">
      <c r="A592">
        <v>685</v>
      </c>
      <c r="B592" t="s">
        <v>150</v>
      </c>
    </row>
    <row r="593" spans="1:2">
      <c r="A593">
        <v>686</v>
      </c>
      <c r="B593" t="s">
        <v>26</v>
      </c>
    </row>
    <row r="594" spans="1:2">
      <c r="A594">
        <v>687</v>
      </c>
      <c r="B594" t="s">
        <v>28</v>
      </c>
    </row>
    <row r="595" spans="1:2">
      <c r="A595">
        <v>688</v>
      </c>
      <c r="B595" t="s">
        <v>26</v>
      </c>
    </row>
    <row r="596" spans="1:2">
      <c r="A596">
        <v>689</v>
      </c>
      <c r="B596" t="s">
        <v>26</v>
      </c>
    </row>
    <row r="597" spans="1:2">
      <c r="A597">
        <v>690</v>
      </c>
      <c r="B597" t="s">
        <v>26</v>
      </c>
    </row>
    <row r="598" spans="1:2">
      <c r="A598">
        <v>691</v>
      </c>
      <c r="B598" t="s">
        <v>27</v>
      </c>
    </row>
    <row r="599" spans="1:2">
      <c r="A599">
        <v>692</v>
      </c>
      <c r="B599" t="s">
        <v>25</v>
      </c>
    </row>
    <row r="600" spans="1:2">
      <c r="A600">
        <v>693</v>
      </c>
      <c r="B600" t="s">
        <v>25</v>
      </c>
    </row>
    <row r="601" spans="1:2">
      <c r="A601">
        <v>694</v>
      </c>
      <c r="B601" t="s">
        <v>28</v>
      </c>
    </row>
    <row r="602" spans="1:2">
      <c r="A602">
        <v>695</v>
      </c>
      <c r="B602" t="s">
        <v>28</v>
      </c>
    </row>
    <row r="603" spans="1:2">
      <c r="A603">
        <v>696</v>
      </c>
      <c r="B603" t="s">
        <v>25</v>
      </c>
    </row>
    <row r="604" spans="1:2">
      <c r="A604">
        <v>697</v>
      </c>
      <c r="B604" t="s">
        <v>150</v>
      </c>
    </row>
    <row r="605" spans="1:2">
      <c r="A605">
        <v>698</v>
      </c>
      <c r="B605" t="s">
        <v>28</v>
      </c>
    </row>
    <row r="606" spans="1:2">
      <c r="A606">
        <v>699</v>
      </c>
      <c r="B606" t="s">
        <v>150</v>
      </c>
    </row>
    <row r="607" spans="1:2">
      <c r="A607">
        <v>700</v>
      </c>
      <c r="B607" t="s">
        <v>26</v>
      </c>
    </row>
    <row r="608" spans="1:2">
      <c r="A608">
        <v>701</v>
      </c>
      <c r="B608" t="s">
        <v>26</v>
      </c>
    </row>
    <row r="609" spans="1:2">
      <c r="A609">
        <v>702</v>
      </c>
      <c r="B609" t="s">
        <v>25</v>
      </c>
    </row>
    <row r="610" spans="1:2">
      <c r="A610">
        <v>703</v>
      </c>
      <c r="B610" t="s">
        <v>26</v>
      </c>
    </row>
    <row r="611" spans="1:2">
      <c r="A611">
        <v>704</v>
      </c>
      <c r="B611" t="s">
        <v>26</v>
      </c>
    </row>
    <row r="612" spans="1:2">
      <c r="A612">
        <v>705</v>
      </c>
      <c r="B612" t="s">
        <v>150</v>
      </c>
    </row>
    <row r="613" spans="1:2">
      <c r="A613">
        <v>706</v>
      </c>
      <c r="B613" t="s">
        <v>26</v>
      </c>
    </row>
    <row r="614" spans="1:2">
      <c r="A614">
        <v>707</v>
      </c>
      <c r="B614" t="s">
        <v>27</v>
      </c>
    </row>
    <row r="615" spans="1:2">
      <c r="A615">
        <v>708</v>
      </c>
      <c r="B615" t="s">
        <v>27</v>
      </c>
    </row>
    <row r="616" spans="1:2">
      <c r="A616">
        <v>709</v>
      </c>
      <c r="B616" t="s">
        <v>26</v>
      </c>
    </row>
    <row r="617" spans="1:2">
      <c r="A617">
        <v>710</v>
      </c>
      <c r="B617" t="s">
        <v>27</v>
      </c>
    </row>
    <row r="618" spans="1:2">
      <c r="A618">
        <v>711</v>
      </c>
      <c r="B618" t="s">
        <v>28</v>
      </c>
    </row>
    <row r="619" spans="1:2">
      <c r="A619">
        <v>712</v>
      </c>
      <c r="B619" t="s">
        <v>26</v>
      </c>
    </row>
    <row r="620" spans="1:2">
      <c r="A620">
        <v>713</v>
      </c>
      <c r="B620" t="s">
        <v>26</v>
      </c>
    </row>
    <row r="621" spans="1:2">
      <c r="A621">
        <v>714</v>
      </c>
      <c r="B621" t="s">
        <v>27</v>
      </c>
    </row>
    <row r="622" spans="1:2">
      <c r="A622">
        <v>715</v>
      </c>
      <c r="B622" t="s">
        <v>150</v>
      </c>
    </row>
    <row r="623" spans="1:2">
      <c r="A623">
        <v>716</v>
      </c>
      <c r="B623" t="s">
        <v>150</v>
      </c>
    </row>
    <row r="624" spans="1:2">
      <c r="A624">
        <v>717</v>
      </c>
      <c r="B624" t="s">
        <v>150</v>
      </c>
    </row>
    <row r="625" spans="1:2">
      <c r="A625">
        <v>718</v>
      </c>
      <c r="B625" t="s">
        <v>27</v>
      </c>
    </row>
    <row r="626" spans="1:2">
      <c r="A626">
        <v>719</v>
      </c>
      <c r="B626" t="s">
        <v>150</v>
      </c>
    </row>
    <row r="627" spans="1:2">
      <c r="A627">
        <v>720</v>
      </c>
      <c r="B627" t="s">
        <v>150</v>
      </c>
    </row>
    <row r="628" spans="1:2">
      <c r="A628">
        <v>721</v>
      </c>
      <c r="B628" t="s">
        <v>25</v>
      </c>
    </row>
    <row r="629" spans="1:2">
      <c r="A629">
        <v>722</v>
      </c>
      <c r="B629" t="s">
        <v>28</v>
      </c>
    </row>
    <row r="630" spans="1:2">
      <c r="A630">
        <v>723</v>
      </c>
      <c r="B630" t="s">
        <v>27</v>
      </c>
    </row>
    <row r="631" spans="1:2">
      <c r="A631">
        <v>724</v>
      </c>
      <c r="B631" t="s">
        <v>28</v>
      </c>
    </row>
    <row r="632" spans="1:2">
      <c r="A632">
        <v>725</v>
      </c>
      <c r="B632" t="s">
        <v>27</v>
      </c>
    </row>
    <row r="633" spans="1:2">
      <c r="A633">
        <v>726</v>
      </c>
      <c r="B633" t="s">
        <v>28</v>
      </c>
    </row>
    <row r="634" spans="1:2">
      <c r="A634">
        <v>727</v>
      </c>
      <c r="B634" t="s">
        <v>27</v>
      </c>
    </row>
    <row r="635" spans="1:2">
      <c r="A635">
        <v>728</v>
      </c>
      <c r="B635" t="s">
        <v>28</v>
      </c>
    </row>
    <row r="636" spans="1:2">
      <c r="A636">
        <v>729</v>
      </c>
      <c r="B636" t="s">
        <v>28</v>
      </c>
    </row>
    <row r="637" spans="1:2">
      <c r="A637">
        <v>730</v>
      </c>
      <c r="B637" t="s">
        <v>27</v>
      </c>
    </row>
    <row r="638" spans="1:2">
      <c r="A638">
        <v>731</v>
      </c>
      <c r="B638" t="s">
        <v>28</v>
      </c>
    </row>
    <row r="639" spans="1:2">
      <c r="A639">
        <v>732</v>
      </c>
      <c r="B639" t="s">
        <v>26</v>
      </c>
    </row>
    <row r="640" spans="1:2">
      <c r="A640">
        <v>733</v>
      </c>
      <c r="B640" t="s">
        <v>26</v>
      </c>
    </row>
    <row r="641" spans="1:2">
      <c r="A641">
        <v>734</v>
      </c>
      <c r="B641" t="s">
        <v>27</v>
      </c>
    </row>
    <row r="642" spans="1:2">
      <c r="A642">
        <v>735</v>
      </c>
      <c r="B642" t="s">
        <v>27</v>
      </c>
    </row>
    <row r="643" spans="1:2">
      <c r="A643">
        <v>736</v>
      </c>
      <c r="B643" t="s">
        <v>25</v>
      </c>
    </row>
    <row r="644" spans="1:2">
      <c r="A644">
        <v>737</v>
      </c>
      <c r="B644" t="s">
        <v>150</v>
      </c>
    </row>
    <row r="645" spans="1:2">
      <c r="A645">
        <v>738</v>
      </c>
      <c r="B645" t="s">
        <v>26</v>
      </c>
    </row>
    <row r="646" spans="1:2">
      <c r="A646">
        <v>739</v>
      </c>
      <c r="B646" t="s">
        <v>150</v>
      </c>
    </row>
    <row r="647" spans="1:2">
      <c r="A647">
        <v>740</v>
      </c>
      <c r="B647" t="s">
        <v>28</v>
      </c>
    </row>
    <row r="648" spans="1:2">
      <c r="A648">
        <v>741</v>
      </c>
      <c r="B648" t="s">
        <v>28</v>
      </c>
    </row>
    <row r="649" spans="1:2">
      <c r="A649">
        <v>742</v>
      </c>
      <c r="B649" t="s">
        <v>25</v>
      </c>
    </row>
    <row r="650" spans="1:2">
      <c r="A650">
        <v>743</v>
      </c>
      <c r="B650" t="s">
        <v>150</v>
      </c>
    </row>
    <row r="651" spans="1:2">
      <c r="A651">
        <v>744</v>
      </c>
      <c r="B651" t="s">
        <v>26</v>
      </c>
    </row>
    <row r="652" spans="1:2">
      <c r="A652">
        <v>745</v>
      </c>
      <c r="B652" t="s">
        <v>150</v>
      </c>
    </row>
    <row r="653" spans="1:2">
      <c r="A653">
        <v>746</v>
      </c>
      <c r="B653" t="s">
        <v>27</v>
      </c>
    </row>
    <row r="654" spans="1:2">
      <c r="A654">
        <v>747</v>
      </c>
      <c r="B654" t="s">
        <v>26</v>
      </c>
    </row>
    <row r="655" spans="1:2">
      <c r="A655">
        <v>748</v>
      </c>
      <c r="B655" t="s">
        <v>26</v>
      </c>
    </row>
    <row r="656" spans="1:2">
      <c r="A656">
        <v>749</v>
      </c>
      <c r="B656" t="s">
        <v>28</v>
      </c>
    </row>
    <row r="657" spans="1:2">
      <c r="A657">
        <v>750</v>
      </c>
      <c r="B657" t="s">
        <v>26</v>
      </c>
    </row>
    <row r="658" spans="1:2">
      <c r="A658">
        <v>751</v>
      </c>
      <c r="B658" t="s">
        <v>25</v>
      </c>
    </row>
    <row r="659" spans="1:2">
      <c r="A659">
        <v>752</v>
      </c>
      <c r="B659" t="s">
        <v>150</v>
      </c>
    </row>
    <row r="660" spans="1:2">
      <c r="A660">
        <v>753</v>
      </c>
      <c r="B660" t="s">
        <v>28</v>
      </c>
    </row>
    <row r="661" spans="1:2">
      <c r="A661">
        <v>754</v>
      </c>
      <c r="B661" t="s">
        <v>27</v>
      </c>
    </row>
    <row r="662" spans="1:2">
      <c r="A662">
        <v>755</v>
      </c>
      <c r="B662" t="s">
        <v>25</v>
      </c>
    </row>
    <row r="663" spans="1:2">
      <c r="A663">
        <v>756</v>
      </c>
      <c r="B663" t="s">
        <v>27</v>
      </c>
    </row>
    <row r="664" spans="1:2">
      <c r="A664">
        <v>757</v>
      </c>
      <c r="B664" t="s">
        <v>28</v>
      </c>
    </row>
    <row r="665" spans="1:2">
      <c r="A665">
        <v>758</v>
      </c>
      <c r="B665" t="s">
        <v>27</v>
      </c>
    </row>
    <row r="666" spans="1:2">
      <c r="A666">
        <v>759</v>
      </c>
      <c r="B666" t="s">
        <v>150</v>
      </c>
    </row>
    <row r="667" spans="1:2">
      <c r="A667">
        <v>760</v>
      </c>
      <c r="B667" t="s">
        <v>25</v>
      </c>
    </row>
    <row r="668" spans="1:2">
      <c r="A668">
        <v>761</v>
      </c>
      <c r="B668" t="s">
        <v>150</v>
      </c>
    </row>
    <row r="669" spans="1:2">
      <c r="A669">
        <v>762</v>
      </c>
      <c r="B669" t="s">
        <v>28</v>
      </c>
    </row>
    <row r="670" spans="1:2">
      <c r="A670">
        <v>763</v>
      </c>
      <c r="B670" t="s">
        <v>150</v>
      </c>
    </row>
    <row r="671" spans="1:2">
      <c r="A671">
        <v>764</v>
      </c>
      <c r="B671" t="s">
        <v>28</v>
      </c>
    </row>
    <row r="672" spans="1:2">
      <c r="A672">
        <v>765</v>
      </c>
      <c r="B672" t="s">
        <v>27</v>
      </c>
    </row>
    <row r="673" spans="1:2">
      <c r="A673">
        <v>766</v>
      </c>
      <c r="B673" t="s">
        <v>150</v>
      </c>
    </row>
    <row r="674" spans="1:2">
      <c r="A674">
        <v>767</v>
      </c>
      <c r="B674" t="s">
        <v>28</v>
      </c>
    </row>
    <row r="675" spans="1:2">
      <c r="A675">
        <v>768</v>
      </c>
      <c r="B675" t="s">
        <v>26</v>
      </c>
    </row>
    <row r="676" spans="1:2">
      <c r="A676">
        <v>769</v>
      </c>
      <c r="B676" t="s">
        <v>25</v>
      </c>
    </row>
    <row r="677" spans="1:2">
      <c r="A677">
        <v>770</v>
      </c>
      <c r="B677" t="s">
        <v>25</v>
      </c>
    </row>
    <row r="678" spans="1:2">
      <c r="A678">
        <v>771</v>
      </c>
      <c r="B678" t="s">
        <v>28</v>
      </c>
    </row>
    <row r="679" spans="1:2">
      <c r="A679">
        <v>772</v>
      </c>
      <c r="B679" t="s">
        <v>150</v>
      </c>
    </row>
    <row r="680" spans="1:2">
      <c r="A680">
        <v>773</v>
      </c>
      <c r="B680" t="s">
        <v>26</v>
      </c>
    </row>
    <row r="681" spans="1:2">
      <c r="A681">
        <v>774</v>
      </c>
      <c r="B681" t="s">
        <v>150</v>
      </c>
    </row>
    <row r="682" spans="1:2">
      <c r="A682">
        <v>775</v>
      </c>
      <c r="B682" t="s">
        <v>150</v>
      </c>
    </row>
    <row r="683" spans="1:2">
      <c r="A683">
        <v>776</v>
      </c>
      <c r="B683" t="s">
        <v>25</v>
      </c>
    </row>
    <row r="684" spans="1:2">
      <c r="A684">
        <v>777</v>
      </c>
      <c r="B684" t="s">
        <v>25</v>
      </c>
    </row>
    <row r="685" spans="1:2">
      <c r="A685">
        <v>778</v>
      </c>
      <c r="B685" t="s">
        <v>26</v>
      </c>
    </row>
    <row r="686" spans="1:2">
      <c r="A686">
        <v>779</v>
      </c>
      <c r="B686" t="s">
        <v>28</v>
      </c>
    </row>
    <row r="687" spans="1:2">
      <c r="A687">
        <v>780</v>
      </c>
      <c r="B687" t="s">
        <v>25</v>
      </c>
    </row>
    <row r="688" spans="1:2">
      <c r="A688">
        <v>781</v>
      </c>
      <c r="B688" t="s">
        <v>150</v>
      </c>
    </row>
    <row r="689" spans="1:2">
      <c r="A689">
        <v>782</v>
      </c>
      <c r="B689" t="s">
        <v>26</v>
      </c>
    </row>
    <row r="690" spans="1:2">
      <c r="A690">
        <v>783</v>
      </c>
      <c r="B690" t="s">
        <v>26</v>
      </c>
    </row>
    <row r="691" spans="1:2">
      <c r="A691">
        <v>784</v>
      </c>
      <c r="B691" t="s">
        <v>26</v>
      </c>
    </row>
    <row r="692" spans="1:2">
      <c r="A692">
        <v>785</v>
      </c>
      <c r="B692" t="s">
        <v>28</v>
      </c>
    </row>
    <row r="693" spans="1:2">
      <c r="A693">
        <v>786</v>
      </c>
      <c r="B693" t="s">
        <v>150</v>
      </c>
    </row>
    <row r="694" spans="1:2">
      <c r="A694">
        <v>787</v>
      </c>
      <c r="B694" t="s">
        <v>27</v>
      </c>
    </row>
    <row r="695" spans="1:2">
      <c r="A695">
        <v>788</v>
      </c>
      <c r="B695" t="s">
        <v>27</v>
      </c>
    </row>
    <row r="696" spans="1:2">
      <c r="A696">
        <v>789</v>
      </c>
      <c r="B696" t="s">
        <v>25</v>
      </c>
    </row>
    <row r="697" spans="1:2">
      <c r="A697">
        <v>790</v>
      </c>
      <c r="B697" t="s">
        <v>25</v>
      </c>
    </row>
    <row r="698" spans="1:2">
      <c r="A698">
        <v>791</v>
      </c>
      <c r="B698" t="s">
        <v>28</v>
      </c>
    </row>
    <row r="699" spans="1:2">
      <c r="A699">
        <v>792</v>
      </c>
      <c r="B699" t="s">
        <v>25</v>
      </c>
    </row>
    <row r="700" spans="1:2">
      <c r="A700">
        <v>793</v>
      </c>
      <c r="B700" t="s">
        <v>25</v>
      </c>
    </row>
    <row r="701" spans="1:2">
      <c r="A701">
        <v>794</v>
      </c>
      <c r="B701" t="s">
        <v>25</v>
      </c>
    </row>
    <row r="702" spans="1:2">
      <c r="A702">
        <v>795</v>
      </c>
      <c r="B702" t="s">
        <v>28</v>
      </c>
    </row>
    <row r="703" spans="1:2">
      <c r="A703">
        <v>796</v>
      </c>
      <c r="B703" t="s">
        <v>26</v>
      </c>
    </row>
    <row r="704" spans="1:2">
      <c r="A704">
        <v>797</v>
      </c>
      <c r="B704" t="s">
        <v>150</v>
      </c>
    </row>
    <row r="705" spans="1:2">
      <c r="A705">
        <v>798</v>
      </c>
      <c r="B705" t="s">
        <v>26</v>
      </c>
    </row>
    <row r="706" spans="1:2">
      <c r="A706">
        <v>799</v>
      </c>
      <c r="B706" t="s">
        <v>26</v>
      </c>
    </row>
    <row r="707" spans="1:2">
      <c r="A707">
        <v>800</v>
      </c>
      <c r="B707" t="s">
        <v>150</v>
      </c>
    </row>
    <row r="708" spans="1:2">
      <c r="A708">
        <v>801</v>
      </c>
      <c r="B708" t="s">
        <v>28</v>
      </c>
    </row>
    <row r="709" spans="1:2">
      <c r="A709">
        <v>802</v>
      </c>
      <c r="B709" t="s">
        <v>150</v>
      </c>
    </row>
    <row r="710" spans="1:2">
      <c r="A710">
        <v>803</v>
      </c>
      <c r="B710" t="s">
        <v>150</v>
      </c>
    </row>
    <row r="711" spans="1:2">
      <c r="A711">
        <v>804</v>
      </c>
      <c r="B711" t="s">
        <v>27</v>
      </c>
    </row>
    <row r="712" spans="1:2">
      <c r="A712">
        <v>805</v>
      </c>
      <c r="B712" t="s">
        <v>28</v>
      </c>
    </row>
    <row r="713" spans="1:2">
      <c r="A713">
        <v>806</v>
      </c>
      <c r="B713" t="s">
        <v>26</v>
      </c>
    </row>
    <row r="714" spans="1:2">
      <c r="A714">
        <v>807</v>
      </c>
      <c r="B714" t="s">
        <v>150</v>
      </c>
    </row>
    <row r="715" spans="1:2">
      <c r="A715">
        <v>808</v>
      </c>
      <c r="B715" t="s">
        <v>28</v>
      </c>
    </row>
    <row r="716" spans="1:2">
      <c r="A716">
        <v>809</v>
      </c>
      <c r="B716" t="s">
        <v>28</v>
      </c>
    </row>
    <row r="717" spans="1:2">
      <c r="A717">
        <v>810</v>
      </c>
      <c r="B717" t="s">
        <v>28</v>
      </c>
    </row>
    <row r="718" spans="1:2">
      <c r="A718">
        <v>811</v>
      </c>
      <c r="B718" t="s">
        <v>28</v>
      </c>
    </row>
    <row r="719" spans="1:2">
      <c r="A719">
        <v>812</v>
      </c>
      <c r="B719" t="s">
        <v>26</v>
      </c>
    </row>
    <row r="720" spans="1:2">
      <c r="A720">
        <v>813</v>
      </c>
      <c r="B720" t="s">
        <v>28</v>
      </c>
    </row>
    <row r="721" spans="1:2">
      <c r="A721">
        <v>814</v>
      </c>
      <c r="B721" t="s">
        <v>26</v>
      </c>
    </row>
    <row r="722" spans="1:4">
      <c r="A722">
        <v>815</v>
      </c>
      <c r="B722" t="s">
        <v>26</v>
      </c>
      <c r="D722" t="s">
        <v>26</v>
      </c>
    </row>
    <row r="723" spans="1:4">
      <c r="A723">
        <v>816</v>
      </c>
      <c r="B723" t="s">
        <v>28</v>
      </c>
      <c r="D723" t="s">
        <v>28</v>
      </c>
    </row>
    <row r="724" spans="1:4">
      <c r="A724">
        <v>817</v>
      </c>
      <c r="B724" t="s">
        <v>27</v>
      </c>
      <c r="D724" t="s">
        <v>27</v>
      </c>
    </row>
    <row r="725" spans="1:4">
      <c r="A725">
        <v>818</v>
      </c>
      <c r="B725" t="s">
        <v>27</v>
      </c>
      <c r="D725" t="s">
        <v>27</v>
      </c>
    </row>
    <row r="726" spans="1:4">
      <c r="A726">
        <v>819</v>
      </c>
      <c r="B726" t="s">
        <v>28</v>
      </c>
      <c r="D726" t="s">
        <v>28</v>
      </c>
    </row>
    <row r="727" spans="1:4">
      <c r="A727">
        <v>820</v>
      </c>
      <c r="B727" t="s">
        <v>26</v>
      </c>
      <c r="D727" t="s">
        <v>26</v>
      </c>
    </row>
    <row r="728" spans="1:4">
      <c r="A728">
        <v>821</v>
      </c>
      <c r="B728" t="s">
        <v>25</v>
      </c>
      <c r="D728" t="s">
        <v>25</v>
      </c>
    </row>
    <row r="729" spans="1:4">
      <c r="A729">
        <v>822</v>
      </c>
      <c r="B729" t="s">
        <v>25</v>
      </c>
      <c r="D729" t="s">
        <v>25</v>
      </c>
    </row>
    <row r="730" spans="1:4">
      <c r="A730">
        <v>823</v>
      </c>
      <c r="B730" t="s">
        <v>26</v>
      </c>
      <c r="D730" t="s">
        <v>26</v>
      </c>
    </row>
    <row r="731" spans="1:4">
      <c r="A731">
        <v>824</v>
      </c>
      <c r="B731" t="s">
        <v>150</v>
      </c>
      <c r="D731" t="s">
        <v>150</v>
      </c>
    </row>
    <row r="732" spans="1:4">
      <c r="A732">
        <v>825</v>
      </c>
      <c r="B732" t="s">
        <v>27</v>
      </c>
      <c r="D732" t="s">
        <v>27</v>
      </c>
    </row>
    <row r="733" spans="1:4">
      <c r="A733">
        <v>826</v>
      </c>
      <c r="B733" t="s">
        <v>28</v>
      </c>
      <c r="D733" t="s">
        <v>28</v>
      </c>
    </row>
    <row r="734" spans="1:4">
      <c r="A734">
        <v>827</v>
      </c>
      <c r="B734" t="s">
        <v>25</v>
      </c>
      <c r="D734" t="s">
        <v>25</v>
      </c>
    </row>
    <row r="735" spans="1:4">
      <c r="A735">
        <v>828</v>
      </c>
      <c r="B735" t="s">
        <v>25</v>
      </c>
      <c r="D735" t="s">
        <v>25</v>
      </c>
    </row>
    <row r="736" spans="1:4">
      <c r="A736">
        <v>829</v>
      </c>
      <c r="B736" t="s">
        <v>27</v>
      </c>
      <c r="D736" t="s">
        <v>27</v>
      </c>
    </row>
    <row r="737" spans="1:4">
      <c r="A737">
        <v>830</v>
      </c>
      <c r="B737" t="s">
        <v>25</v>
      </c>
      <c r="D737" t="s">
        <v>25</v>
      </c>
    </row>
    <row r="738" spans="1:4">
      <c r="A738">
        <v>831</v>
      </c>
      <c r="B738" t="s">
        <v>25</v>
      </c>
      <c r="D738" t="s">
        <v>25</v>
      </c>
    </row>
    <row r="739" spans="1:4">
      <c r="A739">
        <v>832</v>
      </c>
      <c r="B739" t="s">
        <v>26</v>
      </c>
      <c r="D739" t="s">
        <v>26</v>
      </c>
    </row>
    <row r="740" spans="1:4">
      <c r="A740">
        <v>833</v>
      </c>
      <c r="B740" t="s">
        <v>26</v>
      </c>
      <c r="D740" t="s">
        <v>26</v>
      </c>
    </row>
    <row r="741" spans="1:4">
      <c r="A741">
        <v>834</v>
      </c>
      <c r="B741" t="s">
        <v>25</v>
      </c>
      <c r="D741" t="s">
        <v>25</v>
      </c>
    </row>
    <row r="742" spans="1:4">
      <c r="A742">
        <v>835</v>
      </c>
      <c r="B742" t="s">
        <v>28</v>
      </c>
      <c r="D742" t="s">
        <v>28</v>
      </c>
    </row>
    <row r="743" spans="1:4">
      <c r="A743">
        <v>836</v>
      </c>
      <c r="B743" t="s">
        <v>25</v>
      </c>
      <c r="D743" t="s">
        <v>25</v>
      </c>
    </row>
    <row r="744" spans="1:4">
      <c r="A744">
        <v>837</v>
      </c>
      <c r="B744" t="s">
        <v>25</v>
      </c>
      <c r="D744" t="s">
        <v>25</v>
      </c>
    </row>
    <row r="745" spans="1:4">
      <c r="A745">
        <v>838</v>
      </c>
      <c r="B745" t="s">
        <v>25</v>
      </c>
      <c r="D745" t="s">
        <v>25</v>
      </c>
    </row>
    <row r="746" spans="1:4">
      <c r="A746">
        <v>839</v>
      </c>
      <c r="B746" t="s">
        <v>25</v>
      </c>
      <c r="D746" t="s">
        <v>25</v>
      </c>
    </row>
    <row r="747" spans="1:4">
      <c r="A747">
        <v>840</v>
      </c>
      <c r="B747" t="s">
        <v>25</v>
      </c>
      <c r="D747" t="s">
        <v>25</v>
      </c>
    </row>
    <row r="748" spans="1:4">
      <c r="A748">
        <v>841</v>
      </c>
      <c r="B748" t="s">
        <v>150</v>
      </c>
      <c r="D748" t="s">
        <v>150</v>
      </c>
    </row>
    <row r="749" spans="1:4">
      <c r="A749">
        <v>842</v>
      </c>
      <c r="B749" t="s">
        <v>27</v>
      </c>
      <c r="D749" t="s">
        <v>27</v>
      </c>
    </row>
    <row r="750" spans="1:4">
      <c r="A750">
        <v>843</v>
      </c>
      <c r="B750" t="s">
        <v>25</v>
      </c>
      <c r="D750" t="s">
        <v>25</v>
      </c>
    </row>
    <row r="751" spans="1:4">
      <c r="A751">
        <v>844</v>
      </c>
      <c r="B751" t="s">
        <v>25</v>
      </c>
      <c r="D751" t="s">
        <v>25</v>
      </c>
    </row>
    <row r="752" spans="1:4">
      <c r="A752">
        <v>845</v>
      </c>
      <c r="B752" t="s">
        <v>27</v>
      </c>
      <c r="D752" t="s">
        <v>27</v>
      </c>
    </row>
    <row r="753" spans="1:4">
      <c r="A753">
        <v>846</v>
      </c>
      <c r="B753" t="s">
        <v>28</v>
      </c>
      <c r="D753" t="s">
        <v>28</v>
      </c>
    </row>
    <row r="754" spans="1:4">
      <c r="A754">
        <v>847</v>
      </c>
      <c r="B754" t="s">
        <v>26</v>
      </c>
      <c r="D754" t="s">
        <v>26</v>
      </c>
    </row>
    <row r="755" spans="1:4">
      <c r="A755">
        <v>848</v>
      </c>
      <c r="B755" t="s">
        <v>27</v>
      </c>
      <c r="D755" t="s">
        <v>27</v>
      </c>
    </row>
    <row r="756" spans="1:4">
      <c r="A756">
        <v>849</v>
      </c>
      <c r="B756" t="s">
        <v>26</v>
      </c>
      <c r="D756" t="s">
        <v>26</v>
      </c>
    </row>
    <row r="757" spans="1:4">
      <c r="A757">
        <v>850</v>
      </c>
      <c r="B757" t="s">
        <v>150</v>
      </c>
      <c r="D757" t="s">
        <v>150</v>
      </c>
    </row>
    <row r="758" spans="1:4">
      <c r="A758">
        <v>851</v>
      </c>
      <c r="B758" t="s">
        <v>27</v>
      </c>
      <c r="D758" t="s">
        <v>27</v>
      </c>
    </row>
    <row r="759" spans="1:4">
      <c r="A759">
        <v>852</v>
      </c>
      <c r="B759" t="s">
        <v>28</v>
      </c>
      <c r="D759" t="s">
        <v>28</v>
      </c>
    </row>
    <row r="760" spans="1:4">
      <c r="A760">
        <v>853</v>
      </c>
      <c r="B760" t="s">
        <v>26</v>
      </c>
      <c r="D760" t="s">
        <v>26</v>
      </c>
    </row>
    <row r="761" spans="1:4">
      <c r="A761">
        <v>854</v>
      </c>
      <c r="B761" t="s">
        <v>27</v>
      </c>
      <c r="D761" t="s">
        <v>27</v>
      </c>
    </row>
    <row r="762" spans="1:4">
      <c r="A762">
        <v>855</v>
      </c>
      <c r="B762" t="s">
        <v>26</v>
      </c>
      <c r="D762" t="s">
        <v>26</v>
      </c>
    </row>
    <row r="763" spans="1:4">
      <c r="A763">
        <v>856</v>
      </c>
      <c r="B763" t="s">
        <v>25</v>
      </c>
      <c r="D763" t="s">
        <v>25</v>
      </c>
    </row>
    <row r="764" spans="1:4">
      <c r="A764">
        <v>857</v>
      </c>
      <c r="B764" t="s">
        <v>27</v>
      </c>
      <c r="D764" t="s">
        <v>27</v>
      </c>
    </row>
    <row r="765" spans="1:4">
      <c r="A765">
        <v>858</v>
      </c>
      <c r="B765" t="s">
        <v>27</v>
      </c>
      <c r="D765" t="s">
        <v>27</v>
      </c>
    </row>
    <row r="766" spans="1:4">
      <c r="A766">
        <v>859</v>
      </c>
      <c r="B766" t="s">
        <v>28</v>
      </c>
      <c r="D766" t="s">
        <v>28</v>
      </c>
    </row>
    <row r="767" spans="1:4">
      <c r="A767">
        <v>860</v>
      </c>
      <c r="B767" t="s">
        <v>150</v>
      </c>
      <c r="D767" t="s">
        <v>150</v>
      </c>
    </row>
    <row r="768" spans="1:4">
      <c r="A768">
        <v>861</v>
      </c>
      <c r="B768" t="s">
        <v>25</v>
      </c>
      <c r="D768" t="s">
        <v>25</v>
      </c>
    </row>
    <row r="769" spans="1:4">
      <c r="A769">
        <v>862</v>
      </c>
      <c r="B769" t="s">
        <v>25</v>
      </c>
      <c r="D769" t="s">
        <v>25</v>
      </c>
    </row>
    <row r="770" spans="1:4">
      <c r="A770">
        <v>863</v>
      </c>
      <c r="B770" t="s">
        <v>27</v>
      </c>
      <c r="D770" t="s">
        <v>27</v>
      </c>
    </row>
    <row r="771" spans="1:4">
      <c r="A771">
        <v>864</v>
      </c>
      <c r="B771" t="s">
        <v>25</v>
      </c>
      <c r="D771" t="s">
        <v>25</v>
      </c>
    </row>
    <row r="772" spans="1:4">
      <c r="A772">
        <v>865</v>
      </c>
      <c r="B772" t="s">
        <v>28</v>
      </c>
      <c r="D772" t="s">
        <v>28</v>
      </c>
    </row>
    <row r="773" spans="1:4">
      <c r="A773">
        <v>866</v>
      </c>
      <c r="B773" t="s">
        <v>28</v>
      </c>
      <c r="D773" t="s">
        <v>28</v>
      </c>
    </row>
    <row r="774" spans="1:4">
      <c r="A774">
        <v>867</v>
      </c>
      <c r="B774" t="s">
        <v>27</v>
      </c>
      <c r="D774" t="s">
        <v>27</v>
      </c>
    </row>
    <row r="775" spans="1:4">
      <c r="A775">
        <v>868</v>
      </c>
      <c r="B775" t="s">
        <v>25</v>
      </c>
      <c r="D775" t="s">
        <v>25</v>
      </c>
    </row>
    <row r="776" spans="1:4">
      <c r="A776">
        <v>869</v>
      </c>
      <c r="B776" t="s">
        <v>28</v>
      </c>
      <c r="D776" t="s">
        <v>28</v>
      </c>
    </row>
    <row r="777" spans="1:4">
      <c r="A777">
        <v>870</v>
      </c>
      <c r="B777" t="s">
        <v>150</v>
      </c>
      <c r="D777" t="s">
        <v>150</v>
      </c>
    </row>
    <row r="778" spans="1:4">
      <c r="A778">
        <v>871</v>
      </c>
      <c r="B778" t="s">
        <v>28</v>
      </c>
      <c r="D778" t="s">
        <v>28</v>
      </c>
    </row>
    <row r="779" spans="1:4">
      <c r="A779">
        <v>872</v>
      </c>
      <c r="B779" t="s">
        <v>25</v>
      </c>
      <c r="D779" t="s">
        <v>25</v>
      </c>
    </row>
    <row r="780" spans="1:4">
      <c r="A780">
        <v>873</v>
      </c>
      <c r="B780" t="s">
        <v>26</v>
      </c>
      <c r="D780" t="s">
        <v>26</v>
      </c>
    </row>
    <row r="781" spans="1:4">
      <c r="A781">
        <v>874</v>
      </c>
      <c r="B781" t="s">
        <v>26</v>
      </c>
      <c r="D781" t="s">
        <v>26</v>
      </c>
    </row>
    <row r="782" spans="1:4">
      <c r="A782">
        <v>875</v>
      </c>
      <c r="B782" t="s">
        <v>28</v>
      </c>
      <c r="D782" t="s">
        <v>28</v>
      </c>
    </row>
    <row r="783" spans="1:4">
      <c r="A783">
        <v>876</v>
      </c>
      <c r="B783" t="s">
        <v>150</v>
      </c>
      <c r="D783" t="s">
        <v>150</v>
      </c>
    </row>
    <row r="784" spans="1:4">
      <c r="A784">
        <v>877</v>
      </c>
      <c r="B784" t="s">
        <v>27</v>
      </c>
      <c r="D784" t="s">
        <v>27</v>
      </c>
    </row>
    <row r="785" spans="1:4">
      <c r="A785">
        <v>878</v>
      </c>
      <c r="B785" t="s">
        <v>25</v>
      </c>
      <c r="D785" t="s">
        <v>25</v>
      </c>
    </row>
    <row r="786" spans="1:4">
      <c r="A786">
        <v>879</v>
      </c>
      <c r="B786" t="s">
        <v>28</v>
      </c>
      <c r="D786" t="s">
        <v>28</v>
      </c>
    </row>
    <row r="787" spans="1:4">
      <c r="A787">
        <v>880</v>
      </c>
      <c r="B787" t="s">
        <v>25</v>
      </c>
      <c r="D787" t="s">
        <v>25</v>
      </c>
    </row>
    <row r="788" spans="1:4">
      <c r="A788">
        <v>881</v>
      </c>
      <c r="B788" t="s">
        <v>25</v>
      </c>
      <c r="D788" t="s">
        <v>25</v>
      </c>
    </row>
    <row r="789" spans="1:4">
      <c r="A789">
        <v>882</v>
      </c>
      <c r="B789" t="s">
        <v>25</v>
      </c>
      <c r="D789" t="s">
        <v>25</v>
      </c>
    </row>
    <row r="790" spans="1:4">
      <c r="A790">
        <v>883</v>
      </c>
      <c r="B790" t="s">
        <v>28</v>
      </c>
      <c r="D790" t="s">
        <v>28</v>
      </c>
    </row>
    <row r="791" spans="1:4">
      <c r="A791">
        <v>884</v>
      </c>
      <c r="B791" t="s">
        <v>25</v>
      </c>
      <c r="D791" t="s">
        <v>25</v>
      </c>
    </row>
    <row r="792" spans="1:4">
      <c r="A792">
        <v>885</v>
      </c>
      <c r="B792" t="s">
        <v>150</v>
      </c>
      <c r="D792" t="s">
        <v>150</v>
      </c>
    </row>
    <row r="793" spans="1:4">
      <c r="A793">
        <v>886</v>
      </c>
      <c r="B793" t="s">
        <v>28</v>
      </c>
      <c r="D793" t="s">
        <v>28</v>
      </c>
    </row>
    <row r="794" spans="1:4">
      <c r="A794">
        <v>887</v>
      </c>
      <c r="B794" t="s">
        <v>28</v>
      </c>
      <c r="D794" t="s">
        <v>28</v>
      </c>
    </row>
    <row r="795" spans="1:4">
      <c r="A795">
        <v>888</v>
      </c>
      <c r="B795" t="s">
        <v>28</v>
      </c>
      <c r="D795" t="s">
        <v>28</v>
      </c>
    </row>
    <row r="796" spans="1:4">
      <c r="A796">
        <v>889</v>
      </c>
      <c r="B796" t="s">
        <v>150</v>
      </c>
      <c r="D796" t="s">
        <v>150</v>
      </c>
    </row>
    <row r="797" spans="1:4">
      <c r="A797">
        <v>890</v>
      </c>
      <c r="B797" t="s">
        <v>26</v>
      </c>
      <c r="D797" t="s">
        <v>26</v>
      </c>
    </row>
    <row r="798" spans="1:4">
      <c r="A798">
        <v>891</v>
      </c>
      <c r="B798" t="s">
        <v>25</v>
      </c>
      <c r="D798" t="s">
        <v>25</v>
      </c>
    </row>
    <row r="799" spans="1:4">
      <c r="A799">
        <v>892</v>
      </c>
      <c r="B799" t="s">
        <v>25</v>
      </c>
      <c r="D799" t="s">
        <v>25</v>
      </c>
    </row>
    <row r="800" spans="1:4">
      <c r="A800">
        <v>893</v>
      </c>
      <c r="B800" t="s">
        <v>27</v>
      </c>
      <c r="D800" t="s">
        <v>27</v>
      </c>
    </row>
    <row r="801" spans="1:4">
      <c r="A801">
        <v>894</v>
      </c>
      <c r="B801" t="s">
        <v>27</v>
      </c>
      <c r="D801" t="s">
        <v>27</v>
      </c>
    </row>
    <row r="802" spans="1:4">
      <c r="A802">
        <v>895</v>
      </c>
      <c r="B802" t="s">
        <v>150</v>
      </c>
      <c r="D802" t="s">
        <v>150</v>
      </c>
    </row>
    <row r="803" spans="1:4">
      <c r="A803">
        <v>896</v>
      </c>
      <c r="B803" t="s">
        <v>150</v>
      </c>
      <c r="D803" t="s">
        <v>150</v>
      </c>
    </row>
    <row r="804" spans="1:4">
      <c r="A804">
        <v>897</v>
      </c>
      <c r="B804" t="s">
        <v>26</v>
      </c>
      <c r="D804" t="s">
        <v>26</v>
      </c>
    </row>
    <row r="805" spans="1:4">
      <c r="A805">
        <v>898</v>
      </c>
      <c r="B805" t="s">
        <v>27</v>
      </c>
      <c r="D805" t="s">
        <v>27</v>
      </c>
    </row>
    <row r="806" spans="1:4">
      <c r="A806">
        <v>899</v>
      </c>
      <c r="B806" t="s">
        <v>28</v>
      </c>
      <c r="D806" t="s">
        <v>28</v>
      </c>
    </row>
    <row r="807" spans="1:4">
      <c r="A807">
        <v>900</v>
      </c>
      <c r="B807" t="s">
        <v>28</v>
      </c>
      <c r="D807" t="s">
        <v>28</v>
      </c>
    </row>
    <row r="808" spans="1:4">
      <c r="A808">
        <v>901</v>
      </c>
      <c r="B808" t="s">
        <v>26</v>
      </c>
      <c r="D808" t="s">
        <v>26</v>
      </c>
    </row>
    <row r="809" spans="1:4">
      <c r="A809">
        <v>902</v>
      </c>
      <c r="B809" t="s">
        <v>27</v>
      </c>
      <c r="D809" t="s">
        <v>27</v>
      </c>
    </row>
    <row r="810" spans="1:4">
      <c r="A810">
        <v>903</v>
      </c>
      <c r="B810" t="s">
        <v>26</v>
      </c>
      <c r="D810" t="s">
        <v>26</v>
      </c>
    </row>
    <row r="811" spans="1:4">
      <c r="A811">
        <v>904</v>
      </c>
      <c r="B811" t="s">
        <v>150</v>
      </c>
      <c r="D811" t="s">
        <v>150</v>
      </c>
    </row>
    <row r="812" spans="1:4">
      <c r="A812">
        <v>905</v>
      </c>
      <c r="B812" t="s">
        <v>25</v>
      </c>
      <c r="D812" t="s">
        <v>25</v>
      </c>
    </row>
    <row r="813" spans="1:4">
      <c r="A813">
        <v>906</v>
      </c>
      <c r="B813" t="s">
        <v>26</v>
      </c>
      <c r="D813" t="s">
        <v>26</v>
      </c>
    </row>
    <row r="814" spans="1:4">
      <c r="A814">
        <v>907</v>
      </c>
      <c r="B814" t="s">
        <v>25</v>
      </c>
      <c r="D814" t="s">
        <v>25</v>
      </c>
    </row>
    <row r="815" spans="1:4">
      <c r="A815">
        <v>908</v>
      </c>
      <c r="B815" t="s">
        <v>28</v>
      </c>
      <c r="D815" t="s">
        <v>28</v>
      </c>
    </row>
    <row r="816" spans="1:4">
      <c r="A816">
        <v>909</v>
      </c>
      <c r="B816" t="s">
        <v>150</v>
      </c>
      <c r="D816" t="s">
        <v>150</v>
      </c>
    </row>
    <row r="817" spans="1:4">
      <c r="A817">
        <v>910</v>
      </c>
      <c r="B817" t="s">
        <v>26</v>
      </c>
      <c r="D817" t="s">
        <v>26</v>
      </c>
    </row>
    <row r="818" spans="1:4">
      <c r="A818">
        <v>911</v>
      </c>
      <c r="B818" t="s">
        <v>28</v>
      </c>
      <c r="D818" t="s">
        <v>28</v>
      </c>
    </row>
    <row r="819" spans="1:4">
      <c r="A819">
        <v>912</v>
      </c>
      <c r="B819" t="s">
        <v>28</v>
      </c>
      <c r="D819" t="s">
        <v>28</v>
      </c>
    </row>
    <row r="820" spans="1:4">
      <c r="A820">
        <v>913</v>
      </c>
      <c r="B820" t="s">
        <v>25</v>
      </c>
      <c r="D820" t="s">
        <v>25</v>
      </c>
    </row>
    <row r="821" spans="1:4">
      <c r="A821">
        <v>914</v>
      </c>
      <c r="B821" t="s">
        <v>27</v>
      </c>
      <c r="D821" t="s">
        <v>27</v>
      </c>
    </row>
    <row r="822" spans="1:4">
      <c r="A822">
        <v>915</v>
      </c>
      <c r="B822" t="s">
        <v>150</v>
      </c>
      <c r="D822" t="s">
        <v>150</v>
      </c>
    </row>
    <row r="823" spans="1:4">
      <c r="A823">
        <v>916</v>
      </c>
      <c r="B823" t="s">
        <v>26</v>
      </c>
      <c r="D823" t="s">
        <v>26</v>
      </c>
    </row>
    <row r="824" spans="1:4">
      <c r="A824">
        <v>917</v>
      </c>
      <c r="B824" t="s">
        <v>150</v>
      </c>
      <c r="D824" t="s">
        <v>150</v>
      </c>
    </row>
    <row r="825" spans="1:4">
      <c r="A825">
        <v>918</v>
      </c>
      <c r="B825" t="s">
        <v>28</v>
      </c>
      <c r="D825" t="s">
        <v>28</v>
      </c>
    </row>
    <row r="826" spans="1:4">
      <c r="A826">
        <v>919</v>
      </c>
      <c r="B826" t="s">
        <v>25</v>
      </c>
      <c r="D826" t="s">
        <v>25</v>
      </c>
    </row>
    <row r="827" spans="1:4">
      <c r="A827">
        <v>920</v>
      </c>
      <c r="B827" t="s">
        <v>28</v>
      </c>
      <c r="D827" t="s">
        <v>28</v>
      </c>
    </row>
    <row r="828" spans="1:4">
      <c r="A828">
        <v>921</v>
      </c>
      <c r="B828" t="s">
        <v>25</v>
      </c>
      <c r="D828" t="s">
        <v>25</v>
      </c>
    </row>
    <row r="829" spans="1:4">
      <c r="A829">
        <v>922</v>
      </c>
      <c r="B829" t="s">
        <v>26</v>
      </c>
      <c r="D829" t="s">
        <v>26</v>
      </c>
    </row>
    <row r="830" spans="1:4">
      <c r="A830">
        <v>923</v>
      </c>
      <c r="B830" t="s">
        <v>150</v>
      </c>
      <c r="D830" t="s">
        <v>150</v>
      </c>
    </row>
    <row r="831" spans="1:4">
      <c r="A831">
        <v>924</v>
      </c>
      <c r="B831" t="s">
        <v>27</v>
      </c>
      <c r="D831" t="s">
        <v>27</v>
      </c>
    </row>
    <row r="832" spans="1:4">
      <c r="A832">
        <v>925</v>
      </c>
      <c r="B832" t="s">
        <v>150</v>
      </c>
      <c r="D832" t="s">
        <v>150</v>
      </c>
    </row>
    <row r="833" spans="1:4">
      <c r="A833">
        <v>926</v>
      </c>
      <c r="B833" t="s">
        <v>26</v>
      </c>
      <c r="D833" t="s">
        <v>26</v>
      </c>
    </row>
    <row r="834" spans="1:4">
      <c r="A834">
        <v>927</v>
      </c>
      <c r="B834" t="s">
        <v>26</v>
      </c>
      <c r="D834" t="s">
        <v>26</v>
      </c>
    </row>
    <row r="835" spans="1:4">
      <c r="A835">
        <v>928</v>
      </c>
      <c r="B835" t="s">
        <v>26</v>
      </c>
      <c r="D835" t="s">
        <v>26</v>
      </c>
    </row>
    <row r="836" spans="1:4">
      <c r="A836">
        <v>929</v>
      </c>
      <c r="B836" t="s">
        <v>25</v>
      </c>
      <c r="D836" t="s">
        <v>25</v>
      </c>
    </row>
    <row r="837" spans="1:2">
      <c r="A837">
        <v>930</v>
      </c>
      <c r="B837" t="s">
        <v>28</v>
      </c>
    </row>
    <row r="838" spans="1:4">
      <c r="A838">
        <v>931</v>
      </c>
      <c r="B838" t="s">
        <v>25</v>
      </c>
      <c r="D838" t="s">
        <v>25</v>
      </c>
    </row>
    <row r="839" spans="1:4">
      <c r="A839">
        <v>932</v>
      </c>
      <c r="B839" t="s">
        <v>28</v>
      </c>
      <c r="D839" t="s">
        <v>28</v>
      </c>
    </row>
    <row r="840" spans="1:4">
      <c r="A840">
        <v>933</v>
      </c>
      <c r="B840" t="s">
        <v>26</v>
      </c>
      <c r="D840" t="s">
        <v>26</v>
      </c>
    </row>
    <row r="841" spans="1:4">
      <c r="A841">
        <v>934</v>
      </c>
      <c r="B841" t="s">
        <v>28</v>
      </c>
      <c r="D841" t="s">
        <v>28</v>
      </c>
    </row>
    <row r="842" spans="1:4">
      <c r="A842">
        <v>935</v>
      </c>
      <c r="B842" t="s">
        <v>26</v>
      </c>
      <c r="D842" t="s">
        <v>26</v>
      </c>
    </row>
    <row r="843" spans="1:4">
      <c r="A843">
        <v>936</v>
      </c>
      <c r="B843" t="s">
        <v>28</v>
      </c>
      <c r="D843" t="s">
        <v>28</v>
      </c>
    </row>
    <row r="844" spans="1:4">
      <c r="A844">
        <v>937</v>
      </c>
      <c r="B844" t="s">
        <v>27</v>
      </c>
      <c r="D844" t="s">
        <v>27</v>
      </c>
    </row>
    <row r="845" spans="1:4">
      <c r="A845">
        <v>938</v>
      </c>
      <c r="B845" t="s">
        <v>28</v>
      </c>
      <c r="D845" t="s">
        <v>28</v>
      </c>
    </row>
    <row r="846" spans="1:4">
      <c r="A846">
        <v>939</v>
      </c>
      <c r="B846" t="s">
        <v>25</v>
      </c>
      <c r="D846" t="s">
        <v>25</v>
      </c>
    </row>
    <row r="847" spans="1:4">
      <c r="A847">
        <v>940</v>
      </c>
      <c r="B847" t="s">
        <v>27</v>
      </c>
      <c r="D847" t="s">
        <v>27</v>
      </c>
    </row>
    <row r="848" spans="1:4">
      <c r="A848">
        <v>941</v>
      </c>
      <c r="B848" t="s">
        <v>150</v>
      </c>
      <c r="D848" t="s">
        <v>150</v>
      </c>
    </row>
    <row r="849" spans="1:4">
      <c r="A849">
        <v>942</v>
      </c>
      <c r="B849" t="s">
        <v>150</v>
      </c>
      <c r="D849" t="s">
        <v>150</v>
      </c>
    </row>
    <row r="850" spans="1:4">
      <c r="A850">
        <v>943</v>
      </c>
      <c r="B850" t="s">
        <v>28</v>
      </c>
      <c r="D850" t="s">
        <v>28</v>
      </c>
    </row>
    <row r="851" spans="1:4">
      <c r="A851">
        <v>944</v>
      </c>
      <c r="B851" t="s">
        <v>150</v>
      </c>
      <c r="D851" t="s">
        <v>150</v>
      </c>
    </row>
    <row r="852" spans="1:4">
      <c r="A852">
        <v>945</v>
      </c>
      <c r="B852" t="s">
        <v>26</v>
      </c>
      <c r="D852" t="s">
        <v>26</v>
      </c>
    </row>
    <row r="853" spans="1:4">
      <c r="A853">
        <v>946</v>
      </c>
      <c r="B853" t="s">
        <v>26</v>
      </c>
      <c r="D853" t="s">
        <v>26</v>
      </c>
    </row>
    <row r="854" spans="1:4">
      <c r="A854">
        <v>947</v>
      </c>
      <c r="B854" t="s">
        <v>25</v>
      </c>
      <c r="D854" t="s">
        <v>25</v>
      </c>
    </row>
    <row r="855" spans="1:4">
      <c r="A855">
        <v>948</v>
      </c>
      <c r="B855" t="s">
        <v>28</v>
      </c>
      <c r="D855" t="s">
        <v>28</v>
      </c>
    </row>
    <row r="856" spans="1:4">
      <c r="A856">
        <v>949</v>
      </c>
      <c r="B856" t="s">
        <v>150</v>
      </c>
      <c r="D856" t="s">
        <v>150</v>
      </c>
    </row>
    <row r="857" spans="1:4">
      <c r="A857">
        <v>950</v>
      </c>
      <c r="B857" t="s">
        <v>27</v>
      </c>
      <c r="D857" t="s">
        <v>27</v>
      </c>
    </row>
    <row r="858" spans="1:4">
      <c r="A858">
        <v>951</v>
      </c>
      <c r="B858" t="s">
        <v>28</v>
      </c>
      <c r="D858" t="s">
        <v>28</v>
      </c>
    </row>
    <row r="859" spans="1:4">
      <c r="A859">
        <v>952</v>
      </c>
      <c r="B859" t="s">
        <v>150</v>
      </c>
      <c r="D859" t="s">
        <v>150</v>
      </c>
    </row>
    <row r="860" spans="1:4">
      <c r="A860">
        <v>953</v>
      </c>
      <c r="B860" t="s">
        <v>25</v>
      </c>
      <c r="D860" t="s">
        <v>25</v>
      </c>
    </row>
    <row r="861" spans="1:4">
      <c r="A861">
        <v>954</v>
      </c>
      <c r="B861" t="s">
        <v>26</v>
      </c>
      <c r="D861" t="s">
        <v>26</v>
      </c>
    </row>
    <row r="862" spans="1:4">
      <c r="A862">
        <v>955</v>
      </c>
      <c r="B862" t="s">
        <v>150</v>
      </c>
      <c r="D862" t="s">
        <v>150</v>
      </c>
    </row>
    <row r="863" spans="1:4">
      <c r="A863">
        <v>956</v>
      </c>
      <c r="B863" t="s">
        <v>27</v>
      </c>
      <c r="D863" t="s">
        <v>27</v>
      </c>
    </row>
    <row r="864" spans="1:4">
      <c r="A864">
        <v>957</v>
      </c>
      <c r="B864" t="s">
        <v>26</v>
      </c>
      <c r="D864" t="s">
        <v>26</v>
      </c>
    </row>
    <row r="865" spans="1:4">
      <c r="A865">
        <v>958</v>
      </c>
      <c r="B865" t="s">
        <v>28</v>
      </c>
      <c r="D865" t="s">
        <v>28</v>
      </c>
    </row>
    <row r="866" spans="1:4">
      <c r="A866">
        <v>959</v>
      </c>
      <c r="B866" t="s">
        <v>27</v>
      </c>
      <c r="D866" t="s">
        <v>27</v>
      </c>
    </row>
    <row r="867" spans="1:4">
      <c r="A867">
        <v>960</v>
      </c>
      <c r="B867" t="s">
        <v>26</v>
      </c>
      <c r="D867" t="s">
        <v>26</v>
      </c>
    </row>
    <row r="868" spans="1:4">
      <c r="A868">
        <v>961</v>
      </c>
      <c r="B868" t="s">
        <v>26</v>
      </c>
      <c r="D868" t="s">
        <v>26</v>
      </c>
    </row>
    <row r="869" spans="1:4">
      <c r="A869">
        <v>962</v>
      </c>
      <c r="B869" t="s">
        <v>27</v>
      </c>
      <c r="D869" t="s">
        <v>27</v>
      </c>
    </row>
    <row r="870" spans="1:4">
      <c r="A870">
        <v>963</v>
      </c>
      <c r="B870" t="s">
        <v>27</v>
      </c>
      <c r="D870" t="s">
        <v>27</v>
      </c>
    </row>
    <row r="871" spans="1:4">
      <c r="A871">
        <v>964</v>
      </c>
      <c r="B871" t="s">
        <v>150</v>
      </c>
      <c r="D871" t="s">
        <v>150</v>
      </c>
    </row>
    <row r="872" spans="1:4">
      <c r="A872">
        <v>965</v>
      </c>
      <c r="B872" t="s">
        <v>26</v>
      </c>
      <c r="D872" t="s">
        <v>26</v>
      </c>
    </row>
    <row r="873" spans="1:4">
      <c r="A873">
        <v>966</v>
      </c>
      <c r="B873" t="s">
        <v>25</v>
      </c>
      <c r="D873" t="s">
        <v>25</v>
      </c>
    </row>
    <row r="874" spans="1:4">
      <c r="A874">
        <v>967</v>
      </c>
      <c r="B874" t="s">
        <v>28</v>
      </c>
      <c r="D874" t="s">
        <v>28</v>
      </c>
    </row>
    <row r="875" spans="1:4">
      <c r="A875">
        <v>968</v>
      </c>
      <c r="B875" t="s">
        <v>27</v>
      </c>
      <c r="D875" t="s">
        <v>27</v>
      </c>
    </row>
    <row r="876" spans="1:4">
      <c r="A876">
        <v>969</v>
      </c>
      <c r="B876" t="s">
        <v>26</v>
      </c>
      <c r="D876" t="s">
        <v>26</v>
      </c>
    </row>
    <row r="877" spans="1:4">
      <c r="A877">
        <v>970</v>
      </c>
      <c r="B877" t="s">
        <v>25</v>
      </c>
      <c r="D877" t="s">
        <v>25</v>
      </c>
    </row>
    <row r="878" spans="1:4">
      <c r="A878">
        <v>971</v>
      </c>
      <c r="B878" t="s">
        <v>28</v>
      </c>
      <c r="D878" t="s">
        <v>28</v>
      </c>
    </row>
    <row r="879" spans="1:4">
      <c r="A879">
        <v>972</v>
      </c>
      <c r="B879" t="s">
        <v>25</v>
      </c>
      <c r="D879" t="s">
        <v>25</v>
      </c>
    </row>
    <row r="880" spans="1:4">
      <c r="A880">
        <v>973</v>
      </c>
      <c r="B880" t="s">
        <v>28</v>
      </c>
      <c r="D880" t="s">
        <v>28</v>
      </c>
    </row>
    <row r="881" spans="1:4">
      <c r="A881">
        <v>974</v>
      </c>
      <c r="B881" t="s">
        <v>150</v>
      </c>
      <c r="D881" t="s">
        <v>150</v>
      </c>
    </row>
    <row r="882" spans="1:4">
      <c r="A882">
        <v>975</v>
      </c>
      <c r="B882" t="s">
        <v>28</v>
      </c>
      <c r="D882" t="s">
        <v>28</v>
      </c>
    </row>
    <row r="883" spans="1:4">
      <c r="A883">
        <v>976</v>
      </c>
      <c r="B883" t="s">
        <v>27</v>
      </c>
      <c r="D883" t="s">
        <v>27</v>
      </c>
    </row>
    <row r="884" spans="1:4">
      <c r="A884">
        <v>977</v>
      </c>
      <c r="B884" t="s">
        <v>150</v>
      </c>
      <c r="D884" t="s">
        <v>150</v>
      </c>
    </row>
    <row r="885" spans="1:4">
      <c r="A885">
        <v>978</v>
      </c>
      <c r="B885" t="s">
        <v>150</v>
      </c>
      <c r="D885" t="s">
        <v>150</v>
      </c>
    </row>
    <row r="886" spans="1:4">
      <c r="A886">
        <v>979</v>
      </c>
      <c r="B886" t="s">
        <v>28</v>
      </c>
      <c r="D886" t="s">
        <v>28</v>
      </c>
    </row>
    <row r="887" spans="1:4">
      <c r="A887">
        <v>980</v>
      </c>
      <c r="B887" t="s">
        <v>26</v>
      </c>
      <c r="D887" t="s">
        <v>26</v>
      </c>
    </row>
    <row r="888" spans="1:4">
      <c r="A888">
        <v>981</v>
      </c>
      <c r="B888" t="s">
        <v>28</v>
      </c>
      <c r="D888" t="s">
        <v>28</v>
      </c>
    </row>
    <row r="889" spans="1:4">
      <c r="A889">
        <v>982</v>
      </c>
      <c r="B889" t="s">
        <v>25</v>
      </c>
      <c r="D889" t="s">
        <v>25</v>
      </c>
    </row>
    <row r="890" spans="1:4">
      <c r="A890">
        <v>983</v>
      </c>
      <c r="B890" t="s">
        <v>26</v>
      </c>
      <c r="D890" t="s">
        <v>26</v>
      </c>
    </row>
    <row r="891" spans="1:4">
      <c r="A891">
        <v>984</v>
      </c>
      <c r="B891" t="s">
        <v>27</v>
      </c>
      <c r="D891" t="s">
        <v>27</v>
      </c>
    </row>
    <row r="892" spans="1:4">
      <c r="A892">
        <v>985</v>
      </c>
      <c r="B892" t="s">
        <v>28</v>
      </c>
      <c r="D892" t="s">
        <v>28</v>
      </c>
    </row>
    <row r="893" spans="1:4">
      <c r="A893">
        <v>986</v>
      </c>
      <c r="B893" t="s">
        <v>26</v>
      </c>
      <c r="D893" t="s">
        <v>26</v>
      </c>
    </row>
    <row r="894" spans="1:4">
      <c r="A894">
        <v>987</v>
      </c>
      <c r="B894" t="s">
        <v>150</v>
      </c>
      <c r="D894" t="s">
        <v>150</v>
      </c>
    </row>
    <row r="895" spans="1:4">
      <c r="A895">
        <v>988</v>
      </c>
      <c r="B895" t="s">
        <v>150</v>
      </c>
      <c r="D895" t="s">
        <v>150</v>
      </c>
    </row>
    <row r="896" spans="1:4">
      <c r="A896">
        <v>989</v>
      </c>
      <c r="B896" t="s">
        <v>27</v>
      </c>
      <c r="D896" t="s">
        <v>27</v>
      </c>
    </row>
    <row r="897" spans="1:4">
      <c r="A897">
        <v>990</v>
      </c>
      <c r="B897" t="s">
        <v>27</v>
      </c>
      <c r="D897" t="s">
        <v>27</v>
      </c>
    </row>
    <row r="898" spans="1:4">
      <c r="A898">
        <v>991</v>
      </c>
      <c r="B898" t="s">
        <v>26</v>
      </c>
      <c r="D898" t="s">
        <v>26</v>
      </c>
    </row>
    <row r="899" spans="1:4">
      <c r="A899">
        <v>992</v>
      </c>
      <c r="B899" t="s">
        <v>26</v>
      </c>
      <c r="D899" t="s">
        <v>26</v>
      </c>
    </row>
    <row r="900" spans="1:4">
      <c r="A900">
        <v>993</v>
      </c>
      <c r="B900" t="s">
        <v>28</v>
      </c>
      <c r="D900" t="s">
        <v>28</v>
      </c>
    </row>
    <row r="901" spans="1:4">
      <c r="A901">
        <v>994</v>
      </c>
      <c r="B901" t="s">
        <v>27</v>
      </c>
      <c r="D901" t="s">
        <v>27</v>
      </c>
    </row>
    <row r="902" spans="1:4">
      <c r="A902">
        <v>995</v>
      </c>
      <c r="B902" t="s">
        <v>28</v>
      </c>
      <c r="D902" t="s">
        <v>28</v>
      </c>
    </row>
    <row r="903" spans="1:4">
      <c r="A903">
        <v>996</v>
      </c>
      <c r="B903" t="s">
        <v>150</v>
      </c>
      <c r="D903" t="s">
        <v>150</v>
      </c>
    </row>
    <row r="904" spans="1:4">
      <c r="A904">
        <v>997</v>
      </c>
      <c r="B904" t="s">
        <v>27</v>
      </c>
      <c r="D904" t="s">
        <v>27</v>
      </c>
    </row>
    <row r="905" spans="1:4">
      <c r="A905">
        <v>998</v>
      </c>
      <c r="B905" t="s">
        <v>150</v>
      </c>
      <c r="D905" t="s">
        <v>150</v>
      </c>
    </row>
    <row r="906" spans="1:4">
      <c r="A906">
        <v>999</v>
      </c>
      <c r="B906" t="s">
        <v>26</v>
      </c>
      <c r="D906" t="s">
        <v>26</v>
      </c>
    </row>
    <row r="907" spans="1:4">
      <c r="A907">
        <v>1000</v>
      </c>
      <c r="B907" t="s">
        <v>28</v>
      </c>
      <c r="D907" t="s">
        <v>28</v>
      </c>
    </row>
    <row r="908" spans="1:4">
      <c r="A908">
        <v>1001</v>
      </c>
      <c r="B908" t="s">
        <v>25</v>
      </c>
      <c r="D908" t="s">
        <v>25</v>
      </c>
    </row>
    <row r="909" spans="1:4">
      <c r="A909">
        <v>1002</v>
      </c>
      <c r="B909" t="s">
        <v>25</v>
      </c>
      <c r="D909" t="s">
        <v>25</v>
      </c>
    </row>
    <row r="910" spans="1:4">
      <c r="A910">
        <v>1003</v>
      </c>
      <c r="B910" t="s">
        <v>26</v>
      </c>
      <c r="D910" t="s">
        <v>26</v>
      </c>
    </row>
    <row r="911" spans="1:4">
      <c r="A911">
        <v>1004</v>
      </c>
      <c r="B911" t="s">
        <v>25</v>
      </c>
      <c r="D911" t="s">
        <v>25</v>
      </c>
    </row>
    <row r="912" spans="1:4">
      <c r="A912">
        <v>1005</v>
      </c>
      <c r="B912" t="s">
        <v>27</v>
      </c>
      <c r="D912" t="s">
        <v>27</v>
      </c>
    </row>
    <row r="913" spans="1:4">
      <c r="A913">
        <v>1006</v>
      </c>
      <c r="B913" t="s">
        <v>26</v>
      </c>
      <c r="D913" t="s">
        <v>26</v>
      </c>
    </row>
    <row r="914" spans="1:4">
      <c r="A914">
        <v>1007</v>
      </c>
      <c r="B914" t="s">
        <v>26</v>
      </c>
      <c r="D914" t="s">
        <v>26</v>
      </c>
    </row>
    <row r="915" spans="1:4">
      <c r="A915">
        <v>1008</v>
      </c>
      <c r="B915" t="s">
        <v>26</v>
      </c>
      <c r="D915" t="s">
        <v>26</v>
      </c>
    </row>
    <row r="916" spans="1:4">
      <c r="A916">
        <v>1009</v>
      </c>
      <c r="B916" t="s">
        <v>28</v>
      </c>
      <c r="D916" t="s">
        <v>28</v>
      </c>
    </row>
    <row r="917" spans="1:4">
      <c r="A917">
        <v>1010</v>
      </c>
      <c r="B917" t="s">
        <v>27</v>
      </c>
      <c r="D917" t="s">
        <v>27</v>
      </c>
    </row>
    <row r="918" spans="1:4">
      <c r="A918">
        <v>1011</v>
      </c>
      <c r="B918" t="s">
        <v>27</v>
      </c>
      <c r="D918" t="s">
        <v>27</v>
      </c>
    </row>
    <row r="919" spans="1:4">
      <c r="A919">
        <v>1012</v>
      </c>
      <c r="B919" t="s">
        <v>25</v>
      </c>
      <c r="D919" t="s">
        <v>25</v>
      </c>
    </row>
    <row r="920" spans="1:4">
      <c r="A920">
        <v>1013</v>
      </c>
      <c r="B920" t="s">
        <v>25</v>
      </c>
      <c r="D920" t="s">
        <v>25</v>
      </c>
    </row>
    <row r="921" spans="1:4">
      <c r="A921">
        <v>1014</v>
      </c>
      <c r="B921" t="s">
        <v>25</v>
      </c>
      <c r="D921" t="s">
        <v>25</v>
      </c>
    </row>
    <row r="922" spans="1:4">
      <c r="A922">
        <v>1015</v>
      </c>
      <c r="B922" t="s">
        <v>28</v>
      </c>
      <c r="D922" t="s">
        <v>28</v>
      </c>
    </row>
    <row r="923" spans="1:4">
      <c r="A923">
        <v>1016</v>
      </c>
      <c r="B923" t="s">
        <v>25</v>
      </c>
      <c r="D923" t="s">
        <v>25</v>
      </c>
    </row>
    <row r="924" spans="1:4">
      <c r="A924">
        <v>1017</v>
      </c>
      <c r="B924" t="s">
        <v>27</v>
      </c>
      <c r="D924" t="s">
        <v>27</v>
      </c>
    </row>
    <row r="925" spans="1:4">
      <c r="A925">
        <v>1018</v>
      </c>
      <c r="B925" t="s">
        <v>28</v>
      </c>
      <c r="D925" t="s">
        <v>28</v>
      </c>
    </row>
    <row r="926" spans="1:4">
      <c r="A926">
        <v>1019</v>
      </c>
      <c r="B926" t="s">
        <v>150</v>
      </c>
      <c r="D926" t="s">
        <v>150</v>
      </c>
    </row>
    <row r="927" spans="1:4">
      <c r="A927">
        <v>1020</v>
      </c>
      <c r="B927" t="s">
        <v>28</v>
      </c>
      <c r="D927" t="s">
        <v>28</v>
      </c>
    </row>
    <row r="928" spans="1:4">
      <c r="A928">
        <v>1021</v>
      </c>
      <c r="B928" t="s">
        <v>27</v>
      </c>
      <c r="D928" t="s">
        <v>27</v>
      </c>
    </row>
    <row r="929" spans="1:4">
      <c r="A929">
        <v>1022</v>
      </c>
      <c r="B929" t="s">
        <v>26</v>
      </c>
      <c r="D929" t="s">
        <v>26</v>
      </c>
    </row>
    <row r="930" spans="1:4">
      <c r="A930">
        <v>1023</v>
      </c>
      <c r="B930" t="s">
        <v>150</v>
      </c>
      <c r="D930" t="s">
        <v>150</v>
      </c>
    </row>
    <row r="931" spans="1:4">
      <c r="A931">
        <v>1024</v>
      </c>
      <c r="B931" t="s">
        <v>25</v>
      </c>
      <c r="D931" t="s">
        <v>25</v>
      </c>
    </row>
    <row r="932" spans="1:4">
      <c r="A932">
        <v>1025</v>
      </c>
      <c r="B932" t="s">
        <v>25</v>
      </c>
      <c r="D932" t="s">
        <v>25</v>
      </c>
    </row>
    <row r="933" spans="1:4">
      <c r="A933">
        <v>1026</v>
      </c>
      <c r="B933" t="s">
        <v>26</v>
      </c>
      <c r="D933" t="s">
        <v>26</v>
      </c>
    </row>
    <row r="934" spans="1:4">
      <c r="A934">
        <v>1027</v>
      </c>
      <c r="B934" t="s">
        <v>26</v>
      </c>
      <c r="D934" t="s">
        <v>26</v>
      </c>
    </row>
    <row r="935" spans="1:4">
      <c r="A935">
        <v>1028</v>
      </c>
      <c r="B935" t="s">
        <v>150</v>
      </c>
      <c r="D935" t="s">
        <v>150</v>
      </c>
    </row>
    <row r="936" spans="1:4">
      <c r="A936">
        <v>1029</v>
      </c>
      <c r="B936" t="s">
        <v>150</v>
      </c>
      <c r="D936" t="s">
        <v>150</v>
      </c>
    </row>
    <row r="937" spans="1:4">
      <c r="A937">
        <v>1030</v>
      </c>
      <c r="B937" t="s">
        <v>25</v>
      </c>
      <c r="D937" t="s">
        <v>25</v>
      </c>
    </row>
    <row r="938" spans="1:4">
      <c r="A938">
        <v>1031</v>
      </c>
      <c r="B938" t="s">
        <v>26</v>
      </c>
      <c r="D938" t="s">
        <v>26</v>
      </c>
    </row>
    <row r="939" spans="1:4">
      <c r="A939">
        <v>1032</v>
      </c>
      <c r="B939" t="s">
        <v>25</v>
      </c>
      <c r="D939" t="s">
        <v>25</v>
      </c>
    </row>
    <row r="940" spans="1:4">
      <c r="A940">
        <v>1033</v>
      </c>
      <c r="B940" t="s">
        <v>27</v>
      </c>
      <c r="D940" t="s">
        <v>27</v>
      </c>
    </row>
    <row r="941" spans="1:4">
      <c r="A941">
        <v>1034</v>
      </c>
      <c r="B941" t="s">
        <v>28</v>
      </c>
      <c r="D941" t="s">
        <v>28</v>
      </c>
    </row>
    <row r="942" spans="1:4">
      <c r="A942">
        <v>1035</v>
      </c>
      <c r="B942" t="s">
        <v>28</v>
      </c>
      <c r="D942" t="s">
        <v>28</v>
      </c>
    </row>
    <row r="943" spans="1:4">
      <c r="A943">
        <v>1036</v>
      </c>
      <c r="B943" t="s">
        <v>25</v>
      </c>
      <c r="D943" t="s">
        <v>25</v>
      </c>
    </row>
    <row r="944" spans="1:4">
      <c r="A944">
        <v>1037</v>
      </c>
      <c r="B944" t="s">
        <v>26</v>
      </c>
      <c r="D944" t="s">
        <v>26</v>
      </c>
    </row>
    <row r="945" spans="1:4">
      <c r="A945">
        <v>1038</v>
      </c>
      <c r="B945" t="s">
        <v>150</v>
      </c>
      <c r="D945" t="s">
        <v>150</v>
      </c>
    </row>
    <row r="946" spans="1:4">
      <c r="A946">
        <v>1039</v>
      </c>
      <c r="B946" t="s">
        <v>28</v>
      </c>
      <c r="D946" t="s">
        <v>28</v>
      </c>
    </row>
    <row r="947" spans="1:4">
      <c r="A947">
        <v>1040</v>
      </c>
      <c r="B947" t="s">
        <v>150</v>
      </c>
      <c r="D947" t="s">
        <v>150</v>
      </c>
    </row>
    <row r="948" spans="1:4">
      <c r="A948">
        <v>1041</v>
      </c>
      <c r="B948" t="s">
        <v>28</v>
      </c>
      <c r="D948" t="s">
        <v>28</v>
      </c>
    </row>
    <row r="949" spans="1:4">
      <c r="A949">
        <v>1042</v>
      </c>
      <c r="B949" t="s">
        <v>25</v>
      </c>
      <c r="D949" t="s">
        <v>25</v>
      </c>
    </row>
    <row r="950" spans="1:4">
      <c r="A950">
        <v>1043</v>
      </c>
      <c r="B950" t="s">
        <v>25</v>
      </c>
      <c r="D950" t="s">
        <v>25</v>
      </c>
    </row>
    <row r="951" spans="1:4">
      <c r="A951">
        <v>1044</v>
      </c>
      <c r="B951" t="s">
        <v>28</v>
      </c>
      <c r="D951" t="s">
        <v>28</v>
      </c>
    </row>
    <row r="952" spans="1:4">
      <c r="A952">
        <v>1045</v>
      </c>
      <c r="B952" t="s">
        <v>27</v>
      </c>
      <c r="D952" t="s">
        <v>27</v>
      </c>
    </row>
    <row r="953" spans="1:4">
      <c r="A953">
        <v>1046</v>
      </c>
      <c r="B953" t="s">
        <v>28</v>
      </c>
      <c r="D953" t="s">
        <v>28</v>
      </c>
    </row>
    <row r="954" spans="1:4">
      <c r="A954">
        <v>1047</v>
      </c>
      <c r="B954" t="s">
        <v>27</v>
      </c>
      <c r="D954" t="s">
        <v>27</v>
      </c>
    </row>
    <row r="955" spans="1:4">
      <c r="A955">
        <v>1048</v>
      </c>
      <c r="B955" t="s">
        <v>28</v>
      </c>
      <c r="D955" t="s">
        <v>28</v>
      </c>
    </row>
    <row r="956" spans="1:4">
      <c r="A956">
        <v>1049</v>
      </c>
      <c r="B956" t="s">
        <v>150</v>
      </c>
      <c r="D956" t="s">
        <v>150</v>
      </c>
    </row>
    <row r="957" spans="1:4">
      <c r="A957">
        <v>1050</v>
      </c>
      <c r="B957" t="s">
        <v>27</v>
      </c>
      <c r="D957" t="s">
        <v>27</v>
      </c>
    </row>
    <row r="958" spans="1:4">
      <c r="A958">
        <v>1051</v>
      </c>
      <c r="B958" t="s">
        <v>27</v>
      </c>
      <c r="D958" t="s">
        <v>27</v>
      </c>
    </row>
    <row r="959" spans="1:4">
      <c r="A959">
        <v>1052</v>
      </c>
      <c r="B959" t="s">
        <v>26</v>
      </c>
      <c r="D959" t="s">
        <v>26</v>
      </c>
    </row>
    <row r="960" spans="1:4">
      <c r="A960">
        <v>1053</v>
      </c>
      <c r="B960" t="s">
        <v>28</v>
      </c>
      <c r="D960" t="s">
        <v>28</v>
      </c>
    </row>
    <row r="961" spans="1:4">
      <c r="A961">
        <v>1054</v>
      </c>
      <c r="B961" t="s">
        <v>27</v>
      </c>
      <c r="D961" t="s">
        <v>27</v>
      </c>
    </row>
    <row r="962" spans="1:2">
      <c r="A962">
        <v>1055</v>
      </c>
      <c r="B962" t="s">
        <v>26</v>
      </c>
    </row>
    <row r="963" spans="1:2">
      <c r="A963">
        <v>1056</v>
      </c>
      <c r="B963" t="s">
        <v>26</v>
      </c>
    </row>
    <row r="964" spans="1:2">
      <c r="A964">
        <v>1057</v>
      </c>
      <c r="B964" t="s">
        <v>27</v>
      </c>
    </row>
    <row r="965" spans="1:2">
      <c r="A965">
        <v>1058</v>
      </c>
      <c r="B965" t="s">
        <v>150</v>
      </c>
    </row>
    <row r="966" spans="1:2">
      <c r="A966">
        <v>1059</v>
      </c>
      <c r="B966" t="s">
        <v>28</v>
      </c>
    </row>
    <row r="967" spans="1:2">
      <c r="A967">
        <v>1060</v>
      </c>
      <c r="B967" t="s">
        <v>26</v>
      </c>
    </row>
    <row r="968" spans="1:2">
      <c r="A968">
        <v>1061</v>
      </c>
      <c r="B968" t="s">
        <v>27</v>
      </c>
    </row>
    <row r="969" spans="1:2">
      <c r="A969">
        <v>1062</v>
      </c>
      <c r="B969" t="s">
        <v>27</v>
      </c>
    </row>
    <row r="970" spans="1:2">
      <c r="A970">
        <v>1063</v>
      </c>
      <c r="B970" t="s">
        <v>150</v>
      </c>
    </row>
    <row r="971" spans="1:2">
      <c r="A971">
        <v>1064</v>
      </c>
      <c r="B971" t="s">
        <v>26</v>
      </c>
    </row>
    <row r="972" spans="1:2">
      <c r="A972">
        <v>1065</v>
      </c>
      <c r="B972" t="s">
        <v>25</v>
      </c>
    </row>
    <row r="973" spans="1:2">
      <c r="A973">
        <v>1066</v>
      </c>
      <c r="B973" t="s">
        <v>28</v>
      </c>
    </row>
    <row r="974" spans="1:2">
      <c r="A974">
        <v>1067</v>
      </c>
      <c r="B974" t="s">
        <v>25</v>
      </c>
    </row>
    <row r="975" spans="1:2">
      <c r="A975">
        <v>1068</v>
      </c>
      <c r="B975" t="s">
        <v>25</v>
      </c>
    </row>
    <row r="976" spans="1:2">
      <c r="A976">
        <v>1069</v>
      </c>
      <c r="B976" t="s">
        <v>27</v>
      </c>
    </row>
    <row r="977" spans="1:2">
      <c r="A977">
        <v>1070</v>
      </c>
      <c r="B977" t="s">
        <v>26</v>
      </c>
    </row>
    <row r="978" spans="1:2">
      <c r="A978">
        <v>1071</v>
      </c>
      <c r="B978" t="s">
        <v>26</v>
      </c>
    </row>
    <row r="979" spans="1:2">
      <c r="A979">
        <v>1072</v>
      </c>
      <c r="B979" t="s">
        <v>26</v>
      </c>
    </row>
    <row r="980" spans="1:2">
      <c r="A980">
        <v>1073</v>
      </c>
      <c r="B980" t="s">
        <v>28</v>
      </c>
    </row>
    <row r="981" spans="1:2">
      <c r="A981">
        <v>1074</v>
      </c>
      <c r="B981" t="s">
        <v>27</v>
      </c>
    </row>
    <row r="982" spans="1:2">
      <c r="A982">
        <v>1075</v>
      </c>
      <c r="B982" t="s">
        <v>25</v>
      </c>
    </row>
    <row r="983" spans="1:2">
      <c r="A983">
        <v>1076</v>
      </c>
      <c r="B983" t="s">
        <v>150</v>
      </c>
    </row>
    <row r="984" spans="1:2">
      <c r="A984">
        <v>1077</v>
      </c>
      <c r="B984" t="s">
        <v>27</v>
      </c>
    </row>
    <row r="985" spans="1:2">
      <c r="A985">
        <v>1078</v>
      </c>
      <c r="B985" t="s">
        <v>28</v>
      </c>
    </row>
    <row r="986" spans="1:2">
      <c r="A986">
        <v>1079</v>
      </c>
      <c r="B986" t="s">
        <v>27</v>
      </c>
    </row>
    <row r="987" spans="1:2">
      <c r="A987">
        <v>1080</v>
      </c>
      <c r="B987" t="s">
        <v>28</v>
      </c>
    </row>
    <row r="988" spans="1:2">
      <c r="A988">
        <v>1081</v>
      </c>
      <c r="B988" t="s">
        <v>25</v>
      </c>
    </row>
    <row r="989" spans="1:2">
      <c r="A989">
        <v>1082</v>
      </c>
      <c r="B989" t="s">
        <v>25</v>
      </c>
    </row>
    <row r="990" spans="1:2">
      <c r="A990">
        <v>1083</v>
      </c>
      <c r="B990" t="s">
        <v>27</v>
      </c>
    </row>
    <row r="991" spans="1:2">
      <c r="A991">
        <v>1084</v>
      </c>
      <c r="B991" t="s">
        <v>28</v>
      </c>
    </row>
    <row r="992" spans="1:2">
      <c r="A992">
        <v>1085</v>
      </c>
      <c r="B992" t="s">
        <v>28</v>
      </c>
    </row>
    <row r="993" spans="1:2">
      <c r="A993">
        <v>1086</v>
      </c>
      <c r="B993" t="s">
        <v>26</v>
      </c>
    </row>
    <row r="994" spans="1:2">
      <c r="A994">
        <v>1087</v>
      </c>
      <c r="B994" t="s">
        <v>28</v>
      </c>
    </row>
    <row r="995" spans="1:2">
      <c r="A995">
        <v>1088</v>
      </c>
      <c r="B995" t="s">
        <v>27</v>
      </c>
    </row>
    <row r="996" spans="1:2">
      <c r="A996">
        <v>1089</v>
      </c>
      <c r="B996" t="s">
        <v>27</v>
      </c>
    </row>
    <row r="997" spans="1:2">
      <c r="A997">
        <v>1090</v>
      </c>
      <c r="B997" t="s">
        <v>28</v>
      </c>
    </row>
    <row r="998" spans="1:2">
      <c r="A998">
        <v>1091</v>
      </c>
      <c r="B998" t="s">
        <v>150</v>
      </c>
    </row>
    <row r="999" spans="1:2">
      <c r="A999">
        <v>1092</v>
      </c>
      <c r="B999" t="s">
        <v>27</v>
      </c>
    </row>
    <row r="1000" spans="1:2">
      <c r="A1000">
        <v>1093</v>
      </c>
      <c r="B1000" t="s">
        <v>27</v>
      </c>
    </row>
    <row r="1001" spans="1:2">
      <c r="A1001">
        <v>1094</v>
      </c>
      <c r="B1001" t="s">
        <v>28</v>
      </c>
    </row>
  </sheetData>
  <mergeCells count="2">
    <mergeCell ref="B1:C1"/>
    <mergeCell ref="D5:S5"/>
  </mergeCells>
  <pageMargins left="0.75" right="0.75" top="1" bottom="1" header="0.5" footer="0.5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04"/>
  <sheetViews>
    <sheetView workbookViewId="0">
      <selection activeCell="D12" sqref="D12"/>
    </sheetView>
  </sheetViews>
  <sheetFormatPr defaultColWidth="8.88888888888889" defaultRowHeight="14.4"/>
  <cols>
    <col min="1" max="1" width="24.5555555555556" customWidth="1"/>
    <col min="2" max="2" width="15.7777777777778" customWidth="1"/>
    <col min="4" max="4" width="11.7777777777778"/>
  </cols>
  <sheetData>
    <row r="1" spans="1:1">
      <c r="A1" s="1" t="s">
        <v>1490</v>
      </c>
    </row>
    <row r="4" spans="1:4">
      <c r="A4" s="2" t="s">
        <v>253</v>
      </c>
      <c r="B4" s="2" t="s">
        <v>252</v>
      </c>
      <c r="D4" cm="1">
        <f t="array" ref="D4">CORREL(A5:A1004,B5:B1004)</f>
        <v>0.0237649101546133</v>
      </c>
    </row>
    <row r="5" spans="1:4">
      <c r="A5">
        <v>3</v>
      </c>
      <c r="B5">
        <v>11.7</v>
      </c>
      <c r="D5" s="3" t="s">
        <v>1491</v>
      </c>
    </row>
    <row r="6" spans="1:4">
      <c r="A6">
        <v>3</v>
      </c>
      <c r="B6">
        <v>12.7</v>
      </c>
      <c r="D6" s="3" t="s">
        <v>1492</v>
      </c>
    </row>
    <row r="7" spans="1:4">
      <c r="A7">
        <v>3</v>
      </c>
      <c r="B7">
        <v>11.3</v>
      </c>
      <c r="D7" s="3" t="s">
        <v>1493</v>
      </c>
    </row>
    <row r="8" spans="1:2">
      <c r="A8">
        <v>3.1</v>
      </c>
      <c r="B8">
        <v>15.3</v>
      </c>
    </row>
    <row r="9" spans="1:2">
      <c r="A9">
        <v>3.1</v>
      </c>
      <c r="B9">
        <v>7</v>
      </c>
    </row>
    <row r="10" spans="1:2">
      <c r="A10">
        <v>3.1</v>
      </c>
      <c r="B10">
        <v>22.4</v>
      </c>
    </row>
    <row r="11" spans="1:2">
      <c r="A11">
        <v>3.2</v>
      </c>
      <c r="B11">
        <v>14.2</v>
      </c>
    </row>
    <row r="12" spans="1:2">
      <c r="A12">
        <v>3.2</v>
      </c>
      <c r="B12">
        <v>7.3</v>
      </c>
    </row>
    <row r="13" spans="1:2">
      <c r="A13">
        <v>3.2</v>
      </c>
      <c r="B13">
        <v>10.4</v>
      </c>
    </row>
    <row r="14" spans="1:2">
      <c r="A14">
        <v>3.2</v>
      </c>
      <c r="B14">
        <v>16.7</v>
      </c>
    </row>
    <row r="15" spans="1:2">
      <c r="A15">
        <v>3.2</v>
      </c>
      <c r="B15">
        <v>10.2</v>
      </c>
    </row>
    <row r="16" spans="1:2">
      <c r="A16">
        <v>3.2</v>
      </c>
      <c r="B16">
        <v>16.5</v>
      </c>
    </row>
    <row r="17" spans="1:2">
      <c r="A17">
        <v>3.2</v>
      </c>
      <c r="B17">
        <v>22.6</v>
      </c>
    </row>
    <row r="18" spans="1:2">
      <c r="A18">
        <v>3.2</v>
      </c>
      <c r="B18">
        <v>18.6</v>
      </c>
    </row>
    <row r="19" spans="1:2">
      <c r="A19">
        <v>3.3</v>
      </c>
      <c r="B19">
        <v>17</v>
      </c>
    </row>
    <row r="20" spans="1:2">
      <c r="A20">
        <v>3.3</v>
      </c>
      <c r="B20">
        <v>7.2</v>
      </c>
    </row>
    <row r="21" spans="1:2">
      <c r="A21">
        <v>3.4</v>
      </c>
      <c r="B21">
        <v>13.4</v>
      </c>
    </row>
    <row r="22" spans="1:2">
      <c r="A22">
        <v>3.4</v>
      </c>
      <c r="B22">
        <v>21.7</v>
      </c>
    </row>
    <row r="23" spans="1:2">
      <c r="A23">
        <v>3.4</v>
      </c>
      <c r="B23">
        <v>12</v>
      </c>
    </row>
    <row r="24" spans="1:2">
      <c r="A24">
        <v>3.4</v>
      </c>
      <c r="B24">
        <v>21.2</v>
      </c>
    </row>
    <row r="25" spans="1:2">
      <c r="A25">
        <v>3.4</v>
      </c>
      <c r="B25">
        <v>22.4</v>
      </c>
    </row>
    <row r="26" spans="1:2">
      <c r="A26">
        <v>3.4</v>
      </c>
      <c r="B26">
        <v>9.5</v>
      </c>
    </row>
    <row r="27" spans="1:2">
      <c r="A27">
        <v>3.5</v>
      </c>
      <c r="B27">
        <v>9.9</v>
      </c>
    </row>
    <row r="28" spans="1:2">
      <c r="A28">
        <v>3.5</v>
      </c>
      <c r="B28">
        <v>21.7</v>
      </c>
    </row>
    <row r="29" spans="1:2">
      <c r="A29">
        <v>3.5</v>
      </c>
      <c r="B29">
        <v>7.3</v>
      </c>
    </row>
    <row r="30" spans="1:2">
      <c r="A30">
        <v>3.5</v>
      </c>
      <c r="B30">
        <v>16.3</v>
      </c>
    </row>
    <row r="31" spans="1:2">
      <c r="A31">
        <v>3.5</v>
      </c>
      <c r="B31">
        <v>13.7</v>
      </c>
    </row>
    <row r="32" spans="1:2">
      <c r="A32">
        <v>3.5</v>
      </c>
      <c r="B32">
        <v>9.1</v>
      </c>
    </row>
    <row r="33" spans="1:2">
      <c r="A33">
        <v>3.5</v>
      </c>
      <c r="B33">
        <v>10.7</v>
      </c>
    </row>
    <row r="34" spans="1:2">
      <c r="A34">
        <v>3.5</v>
      </c>
      <c r="B34">
        <v>13.7</v>
      </c>
    </row>
    <row r="35" spans="1:2">
      <c r="A35">
        <v>3.6</v>
      </c>
      <c r="B35">
        <v>19.4</v>
      </c>
    </row>
    <row r="36" spans="1:2">
      <c r="A36">
        <v>3.6</v>
      </c>
      <c r="B36">
        <v>22.5</v>
      </c>
    </row>
    <row r="37" spans="1:2">
      <c r="A37">
        <v>3.6</v>
      </c>
      <c r="B37">
        <v>13.7</v>
      </c>
    </row>
    <row r="38" spans="1:2">
      <c r="A38">
        <v>3.6</v>
      </c>
      <c r="B38">
        <v>10.7</v>
      </c>
    </row>
    <row r="39" spans="1:2">
      <c r="A39">
        <v>3.6</v>
      </c>
      <c r="B39">
        <v>19.3</v>
      </c>
    </row>
    <row r="40" spans="1:2">
      <c r="A40">
        <v>3.7</v>
      </c>
      <c r="B40">
        <v>9.5</v>
      </c>
    </row>
    <row r="41" spans="1:2">
      <c r="A41">
        <v>3.7</v>
      </c>
      <c r="B41">
        <v>23.8</v>
      </c>
    </row>
    <row r="42" spans="1:2">
      <c r="A42">
        <v>3.7</v>
      </c>
      <c r="B42">
        <v>18.2</v>
      </c>
    </row>
    <row r="43" spans="1:2">
      <c r="A43">
        <v>3.7</v>
      </c>
      <c r="B43">
        <v>23.1</v>
      </c>
    </row>
    <row r="44" spans="1:2">
      <c r="A44">
        <v>3.7</v>
      </c>
      <c r="B44">
        <v>10.3</v>
      </c>
    </row>
    <row r="45" spans="1:2">
      <c r="A45">
        <v>3.7</v>
      </c>
      <c r="B45">
        <v>20.9</v>
      </c>
    </row>
    <row r="46" spans="1:2">
      <c r="A46">
        <v>3.7</v>
      </c>
      <c r="B46">
        <v>6.9</v>
      </c>
    </row>
    <row r="47" spans="1:2">
      <c r="A47">
        <v>3.7</v>
      </c>
      <c r="B47">
        <v>7.8</v>
      </c>
    </row>
    <row r="48" spans="1:2">
      <c r="A48">
        <v>3.7</v>
      </c>
      <c r="B48">
        <v>6</v>
      </c>
    </row>
    <row r="49" spans="1:2">
      <c r="A49">
        <v>3.7</v>
      </c>
      <c r="B49">
        <v>13.6</v>
      </c>
    </row>
    <row r="50" spans="1:2">
      <c r="A50">
        <v>3.8</v>
      </c>
      <c r="B50">
        <v>21.6</v>
      </c>
    </row>
    <row r="51" spans="1:2">
      <c r="A51">
        <v>3.8</v>
      </c>
      <c r="B51">
        <v>17.2</v>
      </c>
    </row>
    <row r="52" spans="1:2">
      <c r="A52">
        <v>3.8</v>
      </c>
      <c r="B52">
        <v>17.6</v>
      </c>
    </row>
    <row r="53" spans="1:2">
      <c r="A53">
        <v>3.8</v>
      </c>
      <c r="B53">
        <v>21.3</v>
      </c>
    </row>
    <row r="54" spans="1:2">
      <c r="A54">
        <v>3.8</v>
      </c>
      <c r="B54">
        <v>21.9</v>
      </c>
    </row>
    <row r="55" spans="1:2">
      <c r="A55">
        <v>3.8</v>
      </c>
      <c r="B55">
        <v>8.1</v>
      </c>
    </row>
    <row r="56" spans="1:2">
      <c r="A56">
        <v>3.8</v>
      </c>
      <c r="B56">
        <v>6.9</v>
      </c>
    </row>
    <row r="57" spans="1:2">
      <c r="A57">
        <v>3.9</v>
      </c>
      <c r="B57">
        <v>14.3</v>
      </c>
    </row>
    <row r="58" spans="1:2">
      <c r="A58">
        <v>3.9</v>
      </c>
      <c r="B58">
        <v>17.5</v>
      </c>
    </row>
    <row r="59" spans="1:2">
      <c r="A59">
        <v>3.9</v>
      </c>
      <c r="B59">
        <v>18.1</v>
      </c>
    </row>
    <row r="60" spans="1:2">
      <c r="A60">
        <v>3.9</v>
      </c>
      <c r="B60">
        <v>16.7</v>
      </c>
    </row>
    <row r="61" spans="1:2">
      <c r="A61">
        <v>3.9</v>
      </c>
      <c r="B61">
        <v>6.9</v>
      </c>
    </row>
    <row r="62" spans="1:2">
      <c r="A62">
        <v>3.9</v>
      </c>
      <c r="B62">
        <v>24</v>
      </c>
    </row>
    <row r="63" spans="1:2">
      <c r="A63">
        <v>4</v>
      </c>
      <c r="B63">
        <v>7.5</v>
      </c>
    </row>
    <row r="64" spans="1:2">
      <c r="A64">
        <v>4</v>
      </c>
      <c r="B64">
        <v>14.3</v>
      </c>
    </row>
    <row r="65" spans="1:2">
      <c r="A65">
        <v>4</v>
      </c>
      <c r="B65">
        <v>12</v>
      </c>
    </row>
    <row r="66" spans="1:2">
      <c r="A66">
        <v>4</v>
      </c>
      <c r="B66">
        <v>15</v>
      </c>
    </row>
    <row r="67" spans="1:2">
      <c r="A67">
        <v>4</v>
      </c>
      <c r="B67">
        <v>18.2</v>
      </c>
    </row>
    <row r="68" spans="1:2">
      <c r="A68">
        <v>4</v>
      </c>
      <c r="B68">
        <v>7.5</v>
      </c>
    </row>
    <row r="69" spans="1:2">
      <c r="A69">
        <v>4</v>
      </c>
      <c r="B69">
        <v>10.1</v>
      </c>
    </row>
    <row r="70" spans="1:2">
      <c r="A70">
        <v>4.1</v>
      </c>
      <c r="B70">
        <v>8.4</v>
      </c>
    </row>
    <row r="71" spans="1:2">
      <c r="A71">
        <v>4.1</v>
      </c>
      <c r="B71">
        <v>16.2</v>
      </c>
    </row>
    <row r="72" spans="1:2">
      <c r="A72">
        <v>4.1</v>
      </c>
      <c r="B72">
        <v>17.6</v>
      </c>
    </row>
    <row r="73" spans="1:2">
      <c r="A73">
        <v>4.1</v>
      </c>
      <c r="B73">
        <v>13.3</v>
      </c>
    </row>
    <row r="74" spans="1:2">
      <c r="A74">
        <v>4.1</v>
      </c>
      <c r="B74">
        <v>18.7</v>
      </c>
    </row>
    <row r="75" spans="1:2">
      <c r="A75">
        <v>4.1</v>
      </c>
      <c r="B75">
        <v>18.7</v>
      </c>
    </row>
    <row r="76" spans="1:2">
      <c r="A76">
        <v>4.1</v>
      </c>
      <c r="B76">
        <v>21.3</v>
      </c>
    </row>
    <row r="77" spans="1:2">
      <c r="A77">
        <v>4.1</v>
      </c>
      <c r="B77">
        <v>18.1</v>
      </c>
    </row>
    <row r="78" spans="1:2">
      <c r="A78">
        <v>4.2</v>
      </c>
      <c r="B78">
        <v>12.4</v>
      </c>
    </row>
    <row r="79" spans="1:2">
      <c r="A79">
        <v>4.2</v>
      </c>
      <c r="B79">
        <v>17.4</v>
      </c>
    </row>
    <row r="80" spans="1:2">
      <c r="A80">
        <v>4.2</v>
      </c>
      <c r="B80">
        <v>23.1</v>
      </c>
    </row>
    <row r="81" spans="1:2">
      <c r="A81">
        <v>4.2</v>
      </c>
      <c r="B81">
        <v>7.3</v>
      </c>
    </row>
    <row r="82" spans="1:2">
      <c r="A82">
        <v>4.2</v>
      </c>
      <c r="B82">
        <v>15.4</v>
      </c>
    </row>
    <row r="83" spans="1:2">
      <c r="A83">
        <v>4.2</v>
      </c>
      <c r="B83">
        <v>8.9</v>
      </c>
    </row>
    <row r="84" spans="1:2">
      <c r="A84">
        <v>4.2</v>
      </c>
      <c r="B84">
        <v>18.9</v>
      </c>
    </row>
    <row r="85" spans="1:2">
      <c r="A85">
        <v>4.2</v>
      </c>
      <c r="B85">
        <v>17.8</v>
      </c>
    </row>
    <row r="86" spans="1:2">
      <c r="A86">
        <v>4.2</v>
      </c>
      <c r="B86">
        <v>22.6</v>
      </c>
    </row>
    <row r="87" spans="1:2">
      <c r="A87">
        <v>4.2</v>
      </c>
      <c r="B87">
        <v>17.7</v>
      </c>
    </row>
    <row r="88" spans="1:2">
      <c r="A88">
        <v>4.2</v>
      </c>
      <c r="B88">
        <v>23.2</v>
      </c>
    </row>
    <row r="89" spans="1:2">
      <c r="A89">
        <v>4.3</v>
      </c>
      <c r="B89">
        <v>8.2</v>
      </c>
    </row>
    <row r="90" spans="1:2">
      <c r="A90">
        <v>4.3</v>
      </c>
      <c r="B90">
        <v>6.6</v>
      </c>
    </row>
    <row r="91" spans="1:2">
      <c r="A91">
        <v>4.3</v>
      </c>
      <c r="B91">
        <v>15</v>
      </c>
    </row>
    <row r="92" spans="1:2">
      <c r="A92">
        <v>4.3</v>
      </c>
      <c r="B92">
        <v>23.3</v>
      </c>
    </row>
    <row r="93" spans="1:2">
      <c r="A93">
        <v>4.4</v>
      </c>
      <c r="B93">
        <v>6.4</v>
      </c>
    </row>
    <row r="94" spans="1:2">
      <c r="A94">
        <v>4.4</v>
      </c>
      <c r="B94">
        <v>15.8</v>
      </c>
    </row>
    <row r="95" spans="1:2">
      <c r="A95">
        <v>4.5</v>
      </c>
      <c r="B95">
        <v>6.2</v>
      </c>
    </row>
    <row r="96" spans="1:2">
      <c r="A96">
        <v>4.5</v>
      </c>
      <c r="B96">
        <v>17.2</v>
      </c>
    </row>
    <row r="97" spans="1:2">
      <c r="A97">
        <v>4.5</v>
      </c>
      <c r="B97">
        <v>12.5</v>
      </c>
    </row>
    <row r="98" spans="1:2">
      <c r="A98">
        <v>4.5</v>
      </c>
      <c r="B98">
        <v>17</v>
      </c>
    </row>
    <row r="99" spans="1:2">
      <c r="A99">
        <v>4.5</v>
      </c>
      <c r="B99">
        <v>7.5</v>
      </c>
    </row>
    <row r="100" spans="1:2">
      <c r="A100">
        <v>4.6</v>
      </c>
      <c r="B100">
        <v>12.3</v>
      </c>
    </row>
    <row r="101" spans="1:2">
      <c r="A101">
        <v>4.6</v>
      </c>
      <c r="B101">
        <v>11.7</v>
      </c>
    </row>
    <row r="102" spans="1:2">
      <c r="A102">
        <v>4.7</v>
      </c>
      <c r="B102">
        <v>10.3</v>
      </c>
    </row>
    <row r="103" spans="1:2">
      <c r="A103">
        <v>4.7</v>
      </c>
      <c r="B103">
        <v>22.8</v>
      </c>
    </row>
    <row r="104" spans="1:2">
      <c r="A104">
        <v>4.7</v>
      </c>
      <c r="B104">
        <v>9.1</v>
      </c>
    </row>
    <row r="105" spans="1:2">
      <c r="A105">
        <v>4.7</v>
      </c>
      <c r="B105">
        <v>20.9</v>
      </c>
    </row>
    <row r="106" spans="1:2">
      <c r="A106">
        <v>4.7</v>
      </c>
      <c r="B106">
        <v>22.5</v>
      </c>
    </row>
    <row r="107" spans="1:2">
      <c r="A107">
        <v>4.7</v>
      </c>
      <c r="B107">
        <v>13.1</v>
      </c>
    </row>
    <row r="108" spans="1:2">
      <c r="A108">
        <v>4.8</v>
      </c>
      <c r="B108">
        <v>15.6</v>
      </c>
    </row>
    <row r="109" spans="1:2">
      <c r="A109">
        <v>4.8</v>
      </c>
      <c r="B109">
        <v>10.6</v>
      </c>
    </row>
    <row r="110" spans="1:2">
      <c r="A110">
        <v>4.8</v>
      </c>
      <c r="B110">
        <v>23.3</v>
      </c>
    </row>
    <row r="111" spans="1:2">
      <c r="A111">
        <v>4.8</v>
      </c>
      <c r="B111">
        <v>19.7</v>
      </c>
    </row>
    <row r="112" spans="1:2">
      <c r="A112">
        <v>4.9</v>
      </c>
      <c r="B112">
        <v>14.1</v>
      </c>
    </row>
    <row r="113" spans="1:2">
      <c r="A113">
        <v>4.9</v>
      </c>
      <c r="B113">
        <v>16.1</v>
      </c>
    </row>
    <row r="114" spans="1:2">
      <c r="A114">
        <v>4.9</v>
      </c>
      <c r="B114">
        <v>21.7</v>
      </c>
    </row>
    <row r="115" spans="1:2">
      <c r="A115">
        <v>4.9</v>
      </c>
      <c r="B115">
        <v>18.4</v>
      </c>
    </row>
    <row r="116" spans="1:2">
      <c r="A116">
        <v>4.9</v>
      </c>
      <c r="B116">
        <v>9.2</v>
      </c>
    </row>
    <row r="117" spans="1:2">
      <c r="A117">
        <v>5</v>
      </c>
      <c r="B117">
        <v>11.9</v>
      </c>
    </row>
    <row r="118" spans="1:2">
      <c r="A118">
        <v>5</v>
      </c>
      <c r="B118">
        <v>10.4</v>
      </c>
    </row>
    <row r="119" spans="1:2">
      <c r="A119">
        <v>5</v>
      </c>
      <c r="B119">
        <v>16.8</v>
      </c>
    </row>
    <row r="120" spans="1:2">
      <c r="A120">
        <v>5</v>
      </c>
      <c r="B120">
        <v>9</v>
      </c>
    </row>
    <row r="121" spans="1:2">
      <c r="A121">
        <v>5</v>
      </c>
      <c r="B121">
        <v>18.4</v>
      </c>
    </row>
    <row r="122" spans="1:2">
      <c r="A122">
        <v>5</v>
      </c>
      <c r="B122">
        <v>16.4</v>
      </c>
    </row>
    <row r="123" spans="1:2">
      <c r="A123">
        <v>5.1</v>
      </c>
      <c r="B123">
        <v>7.6</v>
      </c>
    </row>
    <row r="124" spans="1:2">
      <c r="A124">
        <v>5.1</v>
      </c>
      <c r="B124">
        <v>19.1</v>
      </c>
    </row>
    <row r="125" spans="1:2">
      <c r="A125">
        <v>5.1</v>
      </c>
      <c r="B125">
        <v>15.8</v>
      </c>
    </row>
    <row r="126" spans="1:2">
      <c r="A126">
        <v>5.2</v>
      </c>
      <c r="B126">
        <v>14.1</v>
      </c>
    </row>
    <row r="127" spans="1:2">
      <c r="A127">
        <v>5.2</v>
      </c>
      <c r="B127">
        <v>10.8</v>
      </c>
    </row>
    <row r="128" spans="1:2">
      <c r="A128">
        <v>5.2</v>
      </c>
      <c r="B128">
        <v>19.5</v>
      </c>
    </row>
    <row r="129" spans="1:2">
      <c r="A129">
        <v>5.2</v>
      </c>
      <c r="B129">
        <v>13.7</v>
      </c>
    </row>
    <row r="130" spans="1:2">
      <c r="A130">
        <v>5.2</v>
      </c>
      <c r="B130">
        <v>13.1</v>
      </c>
    </row>
    <row r="131" spans="1:2">
      <c r="A131">
        <v>5.2</v>
      </c>
      <c r="B131">
        <v>9.1</v>
      </c>
    </row>
    <row r="132" spans="1:2">
      <c r="A132">
        <v>5.2</v>
      </c>
      <c r="B132">
        <v>17.2</v>
      </c>
    </row>
    <row r="133" spans="1:2">
      <c r="A133">
        <v>5.3</v>
      </c>
      <c r="B133">
        <v>20.8</v>
      </c>
    </row>
    <row r="134" spans="1:2">
      <c r="A134">
        <v>5.3</v>
      </c>
      <c r="B134">
        <v>19.7</v>
      </c>
    </row>
    <row r="135" spans="1:2">
      <c r="A135">
        <v>5.3</v>
      </c>
      <c r="B135">
        <v>14.7</v>
      </c>
    </row>
    <row r="136" spans="1:2">
      <c r="A136">
        <v>5.3</v>
      </c>
      <c r="B136">
        <v>11.1</v>
      </c>
    </row>
    <row r="137" spans="1:2">
      <c r="A137">
        <v>5.3</v>
      </c>
      <c r="B137">
        <v>14.1</v>
      </c>
    </row>
    <row r="138" spans="1:2">
      <c r="A138">
        <v>5.3</v>
      </c>
      <c r="B138">
        <v>11.7</v>
      </c>
    </row>
    <row r="139" spans="1:2">
      <c r="A139">
        <v>5.3</v>
      </c>
      <c r="B139">
        <v>21.5</v>
      </c>
    </row>
    <row r="140" spans="1:2">
      <c r="A140">
        <v>5.4</v>
      </c>
      <c r="B140">
        <v>12</v>
      </c>
    </row>
    <row r="141" spans="1:2">
      <c r="A141">
        <v>5.4</v>
      </c>
      <c r="B141">
        <v>19.7</v>
      </c>
    </row>
    <row r="142" spans="1:2">
      <c r="A142">
        <v>5.4</v>
      </c>
      <c r="B142">
        <v>18</v>
      </c>
    </row>
    <row r="143" spans="1:2">
      <c r="A143">
        <v>5.4</v>
      </c>
      <c r="B143">
        <v>6.8</v>
      </c>
    </row>
    <row r="144" spans="1:2">
      <c r="A144">
        <v>5.4</v>
      </c>
      <c r="B144">
        <v>15.6</v>
      </c>
    </row>
    <row r="145" spans="1:2">
      <c r="A145">
        <v>5.4</v>
      </c>
      <c r="B145">
        <v>15.4</v>
      </c>
    </row>
    <row r="146" spans="1:2">
      <c r="A146">
        <v>5.4</v>
      </c>
      <c r="B146">
        <v>15.1</v>
      </c>
    </row>
    <row r="147" spans="1:2">
      <c r="A147">
        <v>5.5</v>
      </c>
      <c r="B147">
        <v>23.3</v>
      </c>
    </row>
    <row r="148" spans="1:2">
      <c r="A148">
        <v>5.5</v>
      </c>
      <c r="B148">
        <v>11.9</v>
      </c>
    </row>
    <row r="149" spans="1:2">
      <c r="A149">
        <v>5.5</v>
      </c>
      <c r="B149">
        <v>8.8</v>
      </c>
    </row>
    <row r="150" spans="1:2">
      <c r="A150">
        <v>5.5</v>
      </c>
      <c r="B150">
        <v>14.4</v>
      </c>
    </row>
    <row r="151" spans="1:2">
      <c r="A151">
        <v>5.6</v>
      </c>
      <c r="B151">
        <v>23.8</v>
      </c>
    </row>
    <row r="152" spans="1:2">
      <c r="A152">
        <v>5.6</v>
      </c>
      <c r="B152">
        <v>8.3</v>
      </c>
    </row>
    <row r="153" spans="1:2">
      <c r="A153">
        <v>5.6</v>
      </c>
      <c r="B153">
        <v>18.5</v>
      </c>
    </row>
    <row r="154" spans="1:2">
      <c r="A154">
        <v>5.6</v>
      </c>
      <c r="B154">
        <v>14.8</v>
      </c>
    </row>
    <row r="155" spans="1:2">
      <c r="A155">
        <v>5.6</v>
      </c>
      <c r="B155">
        <v>15.7</v>
      </c>
    </row>
    <row r="156" spans="1:2">
      <c r="A156">
        <v>5.6</v>
      </c>
      <c r="B156">
        <v>17.8</v>
      </c>
    </row>
    <row r="157" spans="1:2">
      <c r="A157">
        <v>5.7</v>
      </c>
      <c r="B157">
        <v>19.4</v>
      </c>
    </row>
    <row r="158" spans="1:2">
      <c r="A158">
        <v>5.7</v>
      </c>
      <c r="B158">
        <v>19.7</v>
      </c>
    </row>
    <row r="159" spans="1:2">
      <c r="A159">
        <v>5.7</v>
      </c>
      <c r="B159">
        <v>13.3</v>
      </c>
    </row>
    <row r="160" spans="1:2">
      <c r="A160">
        <v>5.7</v>
      </c>
      <c r="B160">
        <v>15.5</v>
      </c>
    </row>
    <row r="161" spans="1:2">
      <c r="A161">
        <v>5.7</v>
      </c>
      <c r="B161">
        <v>23.9</v>
      </c>
    </row>
    <row r="162" spans="1:2">
      <c r="A162">
        <v>5.8</v>
      </c>
      <c r="B162">
        <v>9.6</v>
      </c>
    </row>
    <row r="163" spans="1:2">
      <c r="A163">
        <v>5.8</v>
      </c>
      <c r="B163">
        <v>6.3</v>
      </c>
    </row>
    <row r="164" spans="1:2">
      <c r="A164">
        <v>5.8</v>
      </c>
      <c r="B164">
        <v>7.8</v>
      </c>
    </row>
    <row r="165" spans="1:2">
      <c r="A165">
        <v>5.8</v>
      </c>
      <c r="B165">
        <v>15.1</v>
      </c>
    </row>
    <row r="166" spans="1:2">
      <c r="A166">
        <v>5.8</v>
      </c>
      <c r="B166">
        <v>9.5</v>
      </c>
    </row>
    <row r="167" spans="1:2">
      <c r="A167">
        <v>5.8</v>
      </c>
      <c r="B167">
        <v>16.8</v>
      </c>
    </row>
    <row r="168" spans="1:2">
      <c r="A168">
        <v>5.9</v>
      </c>
      <c r="B168">
        <v>15.5</v>
      </c>
    </row>
    <row r="169" spans="1:2">
      <c r="A169">
        <v>5.9</v>
      </c>
      <c r="B169">
        <v>21.1</v>
      </c>
    </row>
    <row r="170" spans="1:2">
      <c r="A170">
        <v>5.9</v>
      </c>
      <c r="B170">
        <v>21.7</v>
      </c>
    </row>
    <row r="171" spans="1:2">
      <c r="A171">
        <v>5.9</v>
      </c>
      <c r="B171">
        <v>19.4</v>
      </c>
    </row>
    <row r="172" spans="1:2">
      <c r="A172">
        <v>5.9</v>
      </c>
      <c r="B172">
        <v>19.9</v>
      </c>
    </row>
    <row r="173" spans="1:2">
      <c r="A173">
        <v>6</v>
      </c>
      <c r="B173">
        <v>23.2</v>
      </c>
    </row>
    <row r="174" spans="1:2">
      <c r="A174">
        <v>6</v>
      </c>
      <c r="B174">
        <v>6.6</v>
      </c>
    </row>
    <row r="175" spans="1:2">
      <c r="A175">
        <v>6</v>
      </c>
      <c r="B175">
        <v>16.8</v>
      </c>
    </row>
    <row r="176" spans="1:2">
      <c r="A176">
        <v>6</v>
      </c>
      <c r="B176">
        <v>20.3</v>
      </c>
    </row>
    <row r="177" spans="1:2">
      <c r="A177">
        <v>6</v>
      </c>
      <c r="B177">
        <v>12</v>
      </c>
    </row>
    <row r="178" spans="1:2">
      <c r="A178">
        <v>6</v>
      </c>
      <c r="B178">
        <v>6.8</v>
      </c>
    </row>
    <row r="179" spans="1:2">
      <c r="A179">
        <v>6.1</v>
      </c>
      <c r="B179">
        <v>12.2</v>
      </c>
    </row>
    <row r="180" spans="1:2">
      <c r="A180">
        <v>6.1</v>
      </c>
      <c r="B180">
        <v>16.3</v>
      </c>
    </row>
    <row r="181" spans="1:2">
      <c r="A181">
        <v>6.1</v>
      </c>
      <c r="B181">
        <v>8.9</v>
      </c>
    </row>
    <row r="182" spans="1:2">
      <c r="A182">
        <v>6.1</v>
      </c>
      <c r="B182">
        <v>16.3</v>
      </c>
    </row>
    <row r="183" spans="1:2">
      <c r="A183">
        <v>6.1</v>
      </c>
      <c r="B183">
        <v>21.7</v>
      </c>
    </row>
    <row r="184" spans="1:2">
      <c r="A184">
        <v>6.2</v>
      </c>
      <c r="B184">
        <v>19.9</v>
      </c>
    </row>
    <row r="185" spans="1:2">
      <c r="A185">
        <v>6.2</v>
      </c>
      <c r="B185">
        <v>23.4</v>
      </c>
    </row>
    <row r="186" spans="1:2">
      <c r="A186">
        <v>6.2</v>
      </c>
      <c r="B186">
        <v>23.7</v>
      </c>
    </row>
    <row r="187" spans="1:2">
      <c r="A187">
        <v>6.2</v>
      </c>
      <c r="B187">
        <v>16.6</v>
      </c>
    </row>
    <row r="188" spans="1:2">
      <c r="A188">
        <v>6.2</v>
      </c>
      <c r="B188">
        <v>21.1</v>
      </c>
    </row>
    <row r="189" spans="1:2">
      <c r="A189">
        <v>6.2</v>
      </c>
      <c r="B189">
        <v>15.1</v>
      </c>
    </row>
    <row r="190" spans="1:2">
      <c r="A190">
        <v>6.2</v>
      </c>
      <c r="B190">
        <v>14.4</v>
      </c>
    </row>
    <row r="191" spans="1:2">
      <c r="A191">
        <v>6.3</v>
      </c>
      <c r="B191">
        <v>6.3</v>
      </c>
    </row>
    <row r="192" spans="1:2">
      <c r="A192">
        <v>6.3</v>
      </c>
      <c r="B192">
        <v>14.7</v>
      </c>
    </row>
    <row r="193" spans="1:2">
      <c r="A193">
        <v>6.3</v>
      </c>
      <c r="B193">
        <v>8.3</v>
      </c>
    </row>
    <row r="194" spans="1:2">
      <c r="A194">
        <v>6.3</v>
      </c>
      <c r="B194">
        <v>17.4</v>
      </c>
    </row>
    <row r="195" spans="1:2">
      <c r="A195">
        <v>6.3</v>
      </c>
      <c r="B195">
        <v>10.3</v>
      </c>
    </row>
    <row r="196" spans="1:2">
      <c r="A196">
        <v>6.4</v>
      </c>
      <c r="B196">
        <v>23.2</v>
      </c>
    </row>
    <row r="197" spans="1:2">
      <c r="A197">
        <v>6.4</v>
      </c>
      <c r="B197">
        <v>7.6</v>
      </c>
    </row>
    <row r="198" spans="1:2">
      <c r="A198">
        <v>6.4</v>
      </c>
      <c r="B198">
        <v>15.8</v>
      </c>
    </row>
    <row r="199" spans="1:2">
      <c r="A199">
        <v>6.4</v>
      </c>
      <c r="B199">
        <v>21.3</v>
      </c>
    </row>
    <row r="200" spans="1:2">
      <c r="A200">
        <v>6.4</v>
      </c>
      <c r="B200">
        <v>22</v>
      </c>
    </row>
    <row r="201" spans="1:2">
      <c r="A201">
        <v>6.5</v>
      </c>
      <c r="B201">
        <v>22.2</v>
      </c>
    </row>
    <row r="202" spans="1:2">
      <c r="A202">
        <v>6.5</v>
      </c>
      <c r="B202">
        <v>20.9</v>
      </c>
    </row>
    <row r="203" spans="1:2">
      <c r="A203">
        <v>6.5</v>
      </c>
      <c r="B203">
        <v>22.2</v>
      </c>
    </row>
    <row r="204" spans="1:2">
      <c r="A204">
        <v>6.5</v>
      </c>
      <c r="B204">
        <v>11.2</v>
      </c>
    </row>
    <row r="205" spans="1:2">
      <c r="A205">
        <v>6.5</v>
      </c>
      <c r="B205">
        <v>22.7</v>
      </c>
    </row>
    <row r="206" spans="1:2">
      <c r="A206">
        <v>6.6</v>
      </c>
      <c r="B206">
        <v>14</v>
      </c>
    </row>
    <row r="207" spans="1:2">
      <c r="A207">
        <v>6.6</v>
      </c>
      <c r="B207">
        <v>10.5</v>
      </c>
    </row>
    <row r="208" spans="1:2">
      <c r="A208">
        <v>6.6</v>
      </c>
      <c r="B208">
        <v>7.3</v>
      </c>
    </row>
    <row r="209" spans="1:2">
      <c r="A209">
        <v>6.6</v>
      </c>
      <c r="B209">
        <v>11.9</v>
      </c>
    </row>
    <row r="210" spans="1:2">
      <c r="A210">
        <v>6.6</v>
      </c>
      <c r="B210">
        <v>16.3</v>
      </c>
    </row>
    <row r="211" spans="1:2">
      <c r="A211">
        <v>6.7</v>
      </c>
      <c r="B211">
        <v>21.5</v>
      </c>
    </row>
    <row r="212" spans="1:2">
      <c r="A212">
        <v>6.7</v>
      </c>
      <c r="B212">
        <v>11.8</v>
      </c>
    </row>
    <row r="213" spans="1:2">
      <c r="A213">
        <v>6.7</v>
      </c>
      <c r="B213">
        <v>6.2</v>
      </c>
    </row>
    <row r="214" spans="1:2">
      <c r="A214">
        <v>6.7</v>
      </c>
      <c r="B214">
        <v>11</v>
      </c>
    </row>
    <row r="215" spans="1:2">
      <c r="A215">
        <v>6.7</v>
      </c>
      <c r="B215">
        <v>19.4</v>
      </c>
    </row>
    <row r="216" spans="1:2">
      <c r="A216">
        <v>6.7</v>
      </c>
      <c r="B216">
        <v>12.9</v>
      </c>
    </row>
    <row r="217" spans="1:2">
      <c r="A217">
        <v>6.7</v>
      </c>
      <c r="B217">
        <v>13.5</v>
      </c>
    </row>
    <row r="218" spans="1:2">
      <c r="A218">
        <v>6.8</v>
      </c>
      <c r="B218">
        <v>6.5</v>
      </c>
    </row>
    <row r="219" spans="1:2">
      <c r="A219">
        <v>6.8</v>
      </c>
      <c r="B219">
        <v>22.7</v>
      </c>
    </row>
    <row r="220" spans="1:2">
      <c r="A220">
        <v>6.8</v>
      </c>
      <c r="B220">
        <v>14.6</v>
      </c>
    </row>
    <row r="221" spans="1:2">
      <c r="A221">
        <v>6.8</v>
      </c>
      <c r="B221">
        <v>23.4</v>
      </c>
    </row>
    <row r="222" spans="1:2">
      <c r="A222">
        <v>6.8</v>
      </c>
      <c r="B222">
        <v>7.9</v>
      </c>
    </row>
    <row r="223" spans="1:2">
      <c r="A223">
        <v>6.8</v>
      </c>
      <c r="B223">
        <v>21.1</v>
      </c>
    </row>
    <row r="224" spans="1:2">
      <c r="A224">
        <v>6.8</v>
      </c>
      <c r="B224">
        <v>19.8</v>
      </c>
    </row>
    <row r="225" spans="1:2">
      <c r="A225">
        <v>6.8</v>
      </c>
      <c r="B225">
        <v>14.5</v>
      </c>
    </row>
    <row r="226" spans="1:2">
      <c r="A226">
        <v>6.9</v>
      </c>
      <c r="B226">
        <v>15</v>
      </c>
    </row>
    <row r="227" spans="1:2">
      <c r="A227">
        <v>6.9</v>
      </c>
      <c r="B227">
        <v>23.8</v>
      </c>
    </row>
    <row r="228" spans="1:2">
      <c r="A228">
        <v>6.9</v>
      </c>
      <c r="B228">
        <v>15.2</v>
      </c>
    </row>
    <row r="229" spans="1:2">
      <c r="A229">
        <v>6.9</v>
      </c>
      <c r="B229">
        <v>21.9</v>
      </c>
    </row>
    <row r="230" spans="1:2">
      <c r="A230">
        <v>6.9</v>
      </c>
      <c r="B230">
        <v>21.4</v>
      </c>
    </row>
    <row r="231" spans="1:2">
      <c r="A231">
        <v>6.9</v>
      </c>
      <c r="B231">
        <v>18.5</v>
      </c>
    </row>
    <row r="232" spans="1:2">
      <c r="A232">
        <v>6.9</v>
      </c>
      <c r="B232">
        <v>16</v>
      </c>
    </row>
    <row r="233" spans="1:2">
      <c r="A233">
        <v>6.9</v>
      </c>
      <c r="B233">
        <v>8.4</v>
      </c>
    </row>
    <row r="234" spans="1:2">
      <c r="A234">
        <v>6.9</v>
      </c>
      <c r="B234">
        <v>11.4</v>
      </c>
    </row>
    <row r="235" spans="1:2">
      <c r="A235">
        <v>6.9</v>
      </c>
      <c r="B235">
        <v>15.4</v>
      </c>
    </row>
    <row r="236" spans="1:2">
      <c r="A236">
        <v>6.9</v>
      </c>
      <c r="B236">
        <v>6.9</v>
      </c>
    </row>
    <row r="237" spans="1:2">
      <c r="A237">
        <v>7</v>
      </c>
      <c r="B237">
        <v>9.2</v>
      </c>
    </row>
    <row r="238" spans="1:2">
      <c r="A238">
        <v>7</v>
      </c>
      <c r="B238">
        <v>11.4</v>
      </c>
    </row>
    <row r="239" spans="1:2">
      <c r="A239">
        <v>7</v>
      </c>
      <c r="B239">
        <v>8.9</v>
      </c>
    </row>
    <row r="240" spans="1:2">
      <c r="A240">
        <v>7</v>
      </c>
      <c r="B240">
        <v>23.9</v>
      </c>
    </row>
    <row r="241" spans="1:2">
      <c r="A241">
        <v>7</v>
      </c>
      <c r="B241">
        <v>10.3</v>
      </c>
    </row>
    <row r="242" spans="1:2">
      <c r="A242">
        <v>7.1</v>
      </c>
      <c r="B242">
        <v>7.8</v>
      </c>
    </row>
    <row r="243" spans="1:2">
      <c r="A243">
        <v>7.1</v>
      </c>
      <c r="B243">
        <v>23.7</v>
      </c>
    </row>
    <row r="244" spans="1:2">
      <c r="A244">
        <v>7.1</v>
      </c>
      <c r="B244">
        <v>7.4</v>
      </c>
    </row>
    <row r="245" spans="1:2">
      <c r="A245">
        <v>7.1</v>
      </c>
      <c r="B245">
        <v>11.6</v>
      </c>
    </row>
    <row r="246" spans="1:2">
      <c r="A246">
        <v>7.1</v>
      </c>
      <c r="B246">
        <v>23.9</v>
      </c>
    </row>
    <row r="247" spans="1:2">
      <c r="A247">
        <v>7.1</v>
      </c>
      <c r="B247">
        <v>20.6</v>
      </c>
    </row>
    <row r="248" spans="1:2">
      <c r="A248">
        <v>7.2</v>
      </c>
      <c r="B248">
        <v>14.9</v>
      </c>
    </row>
    <row r="249" spans="1:2">
      <c r="A249">
        <v>7.2</v>
      </c>
      <c r="B249">
        <v>21.7</v>
      </c>
    </row>
    <row r="250" spans="1:2">
      <c r="A250">
        <v>7.2</v>
      </c>
      <c r="B250">
        <v>15</v>
      </c>
    </row>
    <row r="251" spans="1:2">
      <c r="A251">
        <v>7.2</v>
      </c>
      <c r="B251">
        <v>8</v>
      </c>
    </row>
    <row r="252" spans="1:2">
      <c r="A252">
        <v>7.3</v>
      </c>
      <c r="B252">
        <v>6.7</v>
      </c>
    </row>
    <row r="253" spans="1:2">
      <c r="A253">
        <v>7.3</v>
      </c>
      <c r="B253">
        <v>10.1</v>
      </c>
    </row>
    <row r="254" spans="1:2">
      <c r="A254">
        <v>7.3</v>
      </c>
      <c r="B254">
        <v>16.5</v>
      </c>
    </row>
    <row r="255" spans="1:2">
      <c r="A255">
        <v>7.3</v>
      </c>
      <c r="B255">
        <v>17.1</v>
      </c>
    </row>
    <row r="256" spans="1:2">
      <c r="A256">
        <v>7.3</v>
      </c>
      <c r="B256">
        <v>12.4</v>
      </c>
    </row>
    <row r="257" spans="1:2">
      <c r="A257">
        <v>7.3</v>
      </c>
      <c r="B257">
        <v>18.4</v>
      </c>
    </row>
    <row r="258" spans="1:2">
      <c r="A258">
        <v>7.3</v>
      </c>
      <c r="B258">
        <v>18.7</v>
      </c>
    </row>
    <row r="259" spans="1:2">
      <c r="A259">
        <v>7.4</v>
      </c>
      <c r="B259">
        <v>14.9</v>
      </c>
    </row>
    <row r="260" spans="1:2">
      <c r="A260">
        <v>7.4</v>
      </c>
      <c r="B260">
        <v>17.4</v>
      </c>
    </row>
    <row r="261" spans="1:2">
      <c r="A261">
        <v>7.4</v>
      </c>
      <c r="B261">
        <v>12.7</v>
      </c>
    </row>
    <row r="262" spans="1:2">
      <c r="A262">
        <v>7.4</v>
      </c>
      <c r="B262">
        <v>13.8</v>
      </c>
    </row>
    <row r="263" spans="1:2">
      <c r="A263">
        <v>7.4</v>
      </c>
      <c r="B263">
        <v>14</v>
      </c>
    </row>
    <row r="264" spans="1:2">
      <c r="A264">
        <v>7.4</v>
      </c>
      <c r="B264">
        <v>23.7</v>
      </c>
    </row>
    <row r="265" spans="1:2">
      <c r="A265">
        <v>7.5</v>
      </c>
      <c r="B265">
        <v>16.2</v>
      </c>
    </row>
    <row r="266" spans="1:2">
      <c r="A266">
        <v>7.5</v>
      </c>
      <c r="B266">
        <v>13.2</v>
      </c>
    </row>
    <row r="267" spans="1:2">
      <c r="A267">
        <v>7.5</v>
      </c>
      <c r="B267">
        <v>22.8</v>
      </c>
    </row>
    <row r="268" spans="1:2">
      <c r="A268">
        <v>7.5</v>
      </c>
      <c r="B268">
        <v>11.7</v>
      </c>
    </row>
    <row r="269" spans="1:2">
      <c r="A269">
        <v>7.6</v>
      </c>
      <c r="B269">
        <v>17.8</v>
      </c>
    </row>
    <row r="270" spans="1:2">
      <c r="A270">
        <v>7.6</v>
      </c>
      <c r="B270">
        <v>10.5</v>
      </c>
    </row>
    <row r="271" spans="1:2">
      <c r="A271">
        <v>7.6</v>
      </c>
      <c r="B271">
        <v>15.7</v>
      </c>
    </row>
    <row r="272" spans="1:2">
      <c r="A272">
        <v>7.6</v>
      </c>
      <c r="B272">
        <v>18.4</v>
      </c>
    </row>
    <row r="273" spans="1:2">
      <c r="A273">
        <v>7.6</v>
      </c>
      <c r="B273">
        <v>18.8</v>
      </c>
    </row>
    <row r="274" spans="1:2">
      <c r="A274">
        <v>7.6</v>
      </c>
      <c r="B274">
        <v>13.3</v>
      </c>
    </row>
    <row r="275" spans="1:2">
      <c r="A275">
        <v>7.7</v>
      </c>
      <c r="B275">
        <v>7.8</v>
      </c>
    </row>
    <row r="276" spans="1:2">
      <c r="A276">
        <v>7.7</v>
      </c>
      <c r="B276">
        <v>6.7</v>
      </c>
    </row>
    <row r="277" spans="1:2">
      <c r="A277">
        <v>7.7</v>
      </c>
      <c r="B277">
        <v>22.9</v>
      </c>
    </row>
    <row r="278" spans="1:2">
      <c r="A278">
        <v>7.8</v>
      </c>
      <c r="B278">
        <v>9.4</v>
      </c>
    </row>
    <row r="279" spans="1:2">
      <c r="A279">
        <v>7.8</v>
      </c>
      <c r="B279">
        <v>7</v>
      </c>
    </row>
    <row r="280" spans="1:2">
      <c r="A280">
        <v>7.8</v>
      </c>
      <c r="B280">
        <v>18.6</v>
      </c>
    </row>
    <row r="281" spans="1:2">
      <c r="A281">
        <v>7.8</v>
      </c>
      <c r="B281">
        <v>19.6</v>
      </c>
    </row>
    <row r="282" spans="1:2">
      <c r="A282">
        <v>7.8</v>
      </c>
      <c r="B282">
        <v>13</v>
      </c>
    </row>
    <row r="283" spans="1:2">
      <c r="A283">
        <v>7.9</v>
      </c>
      <c r="B283">
        <v>13</v>
      </c>
    </row>
    <row r="284" spans="1:2">
      <c r="A284">
        <v>7.9</v>
      </c>
      <c r="B284">
        <v>12.4</v>
      </c>
    </row>
    <row r="285" spans="1:2">
      <c r="A285">
        <v>7.9</v>
      </c>
      <c r="B285">
        <v>6.1</v>
      </c>
    </row>
    <row r="286" spans="1:2">
      <c r="A286">
        <v>7.9</v>
      </c>
      <c r="B286">
        <v>15.4</v>
      </c>
    </row>
    <row r="287" spans="1:2">
      <c r="A287">
        <v>7.9</v>
      </c>
      <c r="B287">
        <v>14.3</v>
      </c>
    </row>
    <row r="288" spans="1:2">
      <c r="A288">
        <v>8</v>
      </c>
      <c r="B288">
        <v>16.8</v>
      </c>
    </row>
    <row r="289" spans="1:2">
      <c r="A289">
        <v>8</v>
      </c>
      <c r="B289">
        <v>20.4</v>
      </c>
    </row>
    <row r="290" spans="1:2">
      <c r="A290">
        <v>8</v>
      </c>
      <c r="B290">
        <v>6.3</v>
      </c>
    </row>
    <row r="291" spans="1:2">
      <c r="A291">
        <v>8</v>
      </c>
      <c r="B291">
        <v>20.8</v>
      </c>
    </row>
    <row r="292" spans="1:2">
      <c r="A292">
        <v>8</v>
      </c>
      <c r="B292">
        <v>9.1</v>
      </c>
    </row>
    <row r="293" spans="1:2">
      <c r="A293">
        <v>8.1</v>
      </c>
      <c r="B293">
        <v>15.3</v>
      </c>
    </row>
    <row r="294" spans="1:2">
      <c r="A294">
        <v>8.1</v>
      </c>
      <c r="B294">
        <v>11.4</v>
      </c>
    </row>
    <row r="295" spans="1:2">
      <c r="A295">
        <v>8.1</v>
      </c>
      <c r="B295">
        <v>13.6</v>
      </c>
    </row>
    <row r="296" spans="1:2">
      <c r="A296">
        <v>8.1</v>
      </c>
      <c r="B296">
        <v>11.4</v>
      </c>
    </row>
    <row r="297" spans="1:2">
      <c r="A297">
        <v>8.1</v>
      </c>
      <c r="B297">
        <v>10.3</v>
      </c>
    </row>
    <row r="298" spans="1:2">
      <c r="A298">
        <v>8.2</v>
      </c>
      <c r="B298">
        <v>11.5</v>
      </c>
    </row>
    <row r="299" spans="1:2">
      <c r="A299">
        <v>8.2</v>
      </c>
      <c r="B299">
        <v>10</v>
      </c>
    </row>
    <row r="300" spans="1:2">
      <c r="A300">
        <v>8.2</v>
      </c>
      <c r="B300">
        <v>11.9</v>
      </c>
    </row>
    <row r="301" spans="1:2">
      <c r="A301">
        <v>8.2</v>
      </c>
      <c r="B301">
        <v>21.4</v>
      </c>
    </row>
    <row r="302" spans="1:2">
      <c r="A302">
        <v>8.2</v>
      </c>
      <c r="B302">
        <v>19.8</v>
      </c>
    </row>
    <row r="303" spans="1:2">
      <c r="A303">
        <v>8.3</v>
      </c>
      <c r="B303">
        <v>21.2</v>
      </c>
    </row>
    <row r="304" spans="1:2">
      <c r="A304">
        <v>8.3</v>
      </c>
      <c r="B304">
        <v>12</v>
      </c>
    </row>
    <row r="305" spans="1:2">
      <c r="A305">
        <v>8.4</v>
      </c>
      <c r="B305">
        <v>7.2</v>
      </c>
    </row>
    <row r="306" spans="1:2">
      <c r="A306">
        <v>8.4</v>
      </c>
      <c r="B306">
        <v>13.8</v>
      </c>
    </row>
    <row r="307" spans="1:2">
      <c r="A307">
        <v>8.4</v>
      </c>
      <c r="B307">
        <v>19.3</v>
      </c>
    </row>
    <row r="308" spans="1:2">
      <c r="A308">
        <v>8.4</v>
      </c>
      <c r="B308">
        <v>19.3</v>
      </c>
    </row>
    <row r="309" spans="1:2">
      <c r="A309">
        <v>8.4</v>
      </c>
      <c r="B309">
        <v>19.1</v>
      </c>
    </row>
    <row r="310" spans="1:2">
      <c r="A310">
        <v>8.4</v>
      </c>
      <c r="B310">
        <v>12</v>
      </c>
    </row>
    <row r="311" spans="1:2">
      <c r="A311">
        <v>8.5</v>
      </c>
      <c r="B311">
        <v>6.2</v>
      </c>
    </row>
    <row r="312" spans="1:2">
      <c r="A312">
        <v>8.5</v>
      </c>
      <c r="B312">
        <v>6.1</v>
      </c>
    </row>
    <row r="313" spans="1:2">
      <c r="A313">
        <v>8.5</v>
      </c>
      <c r="B313">
        <v>18.2</v>
      </c>
    </row>
    <row r="314" spans="1:2">
      <c r="A314">
        <v>8.5</v>
      </c>
      <c r="B314">
        <v>10</v>
      </c>
    </row>
    <row r="315" spans="1:2">
      <c r="A315">
        <v>8.5</v>
      </c>
      <c r="B315">
        <v>16.3</v>
      </c>
    </row>
    <row r="316" spans="1:2">
      <c r="A316">
        <v>8.5</v>
      </c>
      <c r="B316">
        <v>14.8</v>
      </c>
    </row>
    <row r="317" spans="1:2">
      <c r="A317">
        <v>8.6</v>
      </c>
      <c r="B317">
        <v>13.3</v>
      </c>
    </row>
    <row r="318" spans="1:2">
      <c r="A318">
        <v>8.6</v>
      </c>
      <c r="B318">
        <v>9</v>
      </c>
    </row>
    <row r="319" spans="1:2">
      <c r="A319">
        <v>8.6</v>
      </c>
      <c r="B319">
        <v>22.7</v>
      </c>
    </row>
    <row r="320" spans="1:2">
      <c r="A320">
        <v>8.6</v>
      </c>
      <c r="B320">
        <v>18.6</v>
      </c>
    </row>
    <row r="321" spans="1:2">
      <c r="A321">
        <v>8.6</v>
      </c>
      <c r="B321">
        <v>14.9</v>
      </c>
    </row>
    <row r="322" spans="1:2">
      <c r="A322">
        <v>8.7</v>
      </c>
      <c r="B322">
        <v>7</v>
      </c>
    </row>
    <row r="323" spans="1:2">
      <c r="A323">
        <v>8.7</v>
      </c>
      <c r="B323">
        <v>15.4</v>
      </c>
    </row>
    <row r="324" spans="1:2">
      <c r="A324">
        <v>8.7</v>
      </c>
      <c r="B324">
        <v>11.8</v>
      </c>
    </row>
    <row r="325" spans="1:2">
      <c r="A325">
        <v>8.7</v>
      </c>
      <c r="B325">
        <v>12.8</v>
      </c>
    </row>
    <row r="326" spans="1:2">
      <c r="A326">
        <v>8.7</v>
      </c>
      <c r="B326">
        <v>8.1</v>
      </c>
    </row>
    <row r="327" spans="1:2">
      <c r="A327">
        <v>8.7</v>
      </c>
      <c r="B327">
        <v>20.7</v>
      </c>
    </row>
    <row r="328" spans="1:2">
      <c r="A328">
        <v>8.8</v>
      </c>
      <c r="B328">
        <v>7.9</v>
      </c>
    </row>
    <row r="329" spans="1:2">
      <c r="A329">
        <v>8.8</v>
      </c>
      <c r="B329">
        <v>7</v>
      </c>
    </row>
    <row r="330" spans="1:2">
      <c r="A330">
        <v>8.8</v>
      </c>
      <c r="B330">
        <v>19.7</v>
      </c>
    </row>
    <row r="331" spans="1:2">
      <c r="A331">
        <v>8.8</v>
      </c>
      <c r="B331">
        <v>22.9</v>
      </c>
    </row>
    <row r="332" spans="1:2">
      <c r="A332">
        <v>8.9</v>
      </c>
      <c r="B332">
        <v>22.3</v>
      </c>
    </row>
    <row r="333" spans="1:2">
      <c r="A333">
        <v>8.9</v>
      </c>
      <c r="B333">
        <v>13.4</v>
      </c>
    </row>
    <row r="334" spans="1:2">
      <c r="A334">
        <v>8.9</v>
      </c>
      <c r="B334">
        <v>11.3</v>
      </c>
    </row>
    <row r="335" spans="1:2">
      <c r="A335">
        <v>8.9</v>
      </c>
      <c r="B335">
        <v>8</v>
      </c>
    </row>
    <row r="336" spans="1:2">
      <c r="A336">
        <v>8.9</v>
      </c>
      <c r="B336">
        <v>10.2</v>
      </c>
    </row>
    <row r="337" spans="1:2">
      <c r="A337">
        <v>8.9</v>
      </c>
      <c r="B337">
        <v>18.7</v>
      </c>
    </row>
    <row r="338" spans="1:2">
      <c r="A338">
        <v>8.9</v>
      </c>
      <c r="B338">
        <v>16</v>
      </c>
    </row>
    <row r="339" spans="1:2">
      <c r="A339">
        <v>8.9</v>
      </c>
      <c r="B339">
        <v>10.5</v>
      </c>
    </row>
    <row r="340" spans="1:2">
      <c r="A340">
        <v>9</v>
      </c>
      <c r="B340">
        <v>6.3</v>
      </c>
    </row>
    <row r="341" spans="1:2">
      <c r="A341">
        <v>9</v>
      </c>
      <c r="B341">
        <v>20</v>
      </c>
    </row>
    <row r="342" spans="1:2">
      <c r="A342">
        <v>9</v>
      </c>
      <c r="B342">
        <v>11.1</v>
      </c>
    </row>
    <row r="343" spans="1:2">
      <c r="A343">
        <v>9</v>
      </c>
      <c r="B343">
        <v>11.9</v>
      </c>
    </row>
    <row r="344" spans="1:2">
      <c r="A344">
        <v>9.1</v>
      </c>
      <c r="B344">
        <v>15.4</v>
      </c>
    </row>
    <row r="345" spans="1:2">
      <c r="A345">
        <v>9.1</v>
      </c>
      <c r="B345">
        <v>16.6</v>
      </c>
    </row>
    <row r="346" spans="1:2">
      <c r="A346">
        <v>9.1</v>
      </c>
      <c r="B346">
        <v>6.2</v>
      </c>
    </row>
    <row r="347" spans="1:2">
      <c r="A347">
        <v>9.1</v>
      </c>
      <c r="B347">
        <v>16.2</v>
      </c>
    </row>
    <row r="348" spans="1:2">
      <c r="A348">
        <v>9.1</v>
      </c>
      <c r="B348">
        <v>19.3</v>
      </c>
    </row>
    <row r="349" spans="1:2">
      <c r="A349">
        <v>9.1</v>
      </c>
      <c r="B349">
        <v>21.2</v>
      </c>
    </row>
    <row r="350" spans="1:2">
      <c r="A350">
        <v>9.2</v>
      </c>
      <c r="B350">
        <v>8.6</v>
      </c>
    </row>
    <row r="351" spans="1:2">
      <c r="A351">
        <v>9.2</v>
      </c>
      <c r="B351">
        <v>20.4</v>
      </c>
    </row>
    <row r="352" spans="1:2">
      <c r="A352">
        <v>9.3</v>
      </c>
      <c r="B352">
        <v>19.7</v>
      </c>
    </row>
    <row r="353" spans="1:2">
      <c r="A353">
        <v>9.3</v>
      </c>
      <c r="B353">
        <v>9.3</v>
      </c>
    </row>
    <row r="354" spans="1:2">
      <c r="A354">
        <v>9.3</v>
      </c>
      <c r="B354">
        <v>9.3</v>
      </c>
    </row>
    <row r="355" spans="1:2">
      <c r="A355">
        <v>9.3</v>
      </c>
      <c r="B355">
        <v>6.7</v>
      </c>
    </row>
    <row r="356" spans="1:2">
      <c r="A356">
        <v>9.4</v>
      </c>
      <c r="B356">
        <v>10.8</v>
      </c>
    </row>
    <row r="357" spans="1:2">
      <c r="A357">
        <v>9.4</v>
      </c>
      <c r="B357">
        <v>13.9</v>
      </c>
    </row>
    <row r="358" spans="1:2">
      <c r="A358">
        <v>9.4</v>
      </c>
      <c r="B358">
        <v>16.6</v>
      </c>
    </row>
    <row r="359" spans="1:2">
      <c r="A359">
        <v>9.4</v>
      </c>
      <c r="B359">
        <v>22.4</v>
      </c>
    </row>
    <row r="360" spans="1:2">
      <c r="A360">
        <v>9.4</v>
      </c>
      <c r="B360">
        <v>23.2</v>
      </c>
    </row>
    <row r="361" spans="1:2">
      <c r="A361">
        <v>9.5</v>
      </c>
      <c r="B361">
        <v>10.7</v>
      </c>
    </row>
    <row r="362" spans="1:2">
      <c r="A362">
        <v>9.5</v>
      </c>
      <c r="B362">
        <v>12.1</v>
      </c>
    </row>
    <row r="363" spans="1:2">
      <c r="A363">
        <v>9.5</v>
      </c>
      <c r="B363">
        <v>17.2</v>
      </c>
    </row>
    <row r="364" spans="1:2">
      <c r="A364">
        <v>9.5</v>
      </c>
      <c r="B364">
        <v>20.8</v>
      </c>
    </row>
    <row r="365" spans="1:2">
      <c r="A365">
        <v>9.5</v>
      </c>
      <c r="B365">
        <v>15.8</v>
      </c>
    </row>
    <row r="366" spans="1:2">
      <c r="A366">
        <v>9.5</v>
      </c>
      <c r="B366">
        <v>19.2</v>
      </c>
    </row>
    <row r="367" spans="1:2">
      <c r="A367">
        <v>9.5</v>
      </c>
      <c r="B367">
        <v>17.6</v>
      </c>
    </row>
    <row r="368" spans="1:2">
      <c r="A368">
        <v>9.5</v>
      </c>
      <c r="B368">
        <v>21.3</v>
      </c>
    </row>
    <row r="369" spans="1:2">
      <c r="A369">
        <v>9.6</v>
      </c>
      <c r="B369">
        <v>6.6</v>
      </c>
    </row>
    <row r="370" spans="1:2">
      <c r="A370">
        <v>9.6</v>
      </c>
      <c r="B370">
        <v>14.9</v>
      </c>
    </row>
    <row r="371" spans="1:2">
      <c r="A371">
        <v>9.6</v>
      </c>
      <c r="B371">
        <v>7</v>
      </c>
    </row>
    <row r="372" spans="1:2">
      <c r="A372">
        <v>9.6</v>
      </c>
      <c r="B372">
        <v>10.3</v>
      </c>
    </row>
    <row r="373" spans="1:2">
      <c r="A373">
        <v>9.7</v>
      </c>
      <c r="B373">
        <v>12.8</v>
      </c>
    </row>
    <row r="374" spans="1:2">
      <c r="A374">
        <v>9.7</v>
      </c>
      <c r="B374">
        <v>20.4</v>
      </c>
    </row>
    <row r="375" spans="1:2">
      <c r="A375">
        <v>9.7</v>
      </c>
      <c r="B375">
        <v>19.6</v>
      </c>
    </row>
    <row r="376" spans="1:2">
      <c r="A376">
        <v>9.7</v>
      </c>
      <c r="B376">
        <v>7.8</v>
      </c>
    </row>
    <row r="377" spans="1:2">
      <c r="A377">
        <v>9.7</v>
      </c>
      <c r="B377">
        <v>20.4</v>
      </c>
    </row>
    <row r="378" spans="1:2">
      <c r="A378">
        <v>9.7</v>
      </c>
      <c r="B378">
        <v>8.3</v>
      </c>
    </row>
    <row r="379" spans="1:2">
      <c r="A379">
        <v>9.7</v>
      </c>
      <c r="B379">
        <v>22.3</v>
      </c>
    </row>
    <row r="380" spans="1:2">
      <c r="A380">
        <v>9.7</v>
      </c>
      <c r="B380">
        <v>19.6</v>
      </c>
    </row>
    <row r="381" spans="1:2">
      <c r="A381">
        <v>9.8</v>
      </c>
      <c r="B381">
        <v>13.9</v>
      </c>
    </row>
    <row r="382" spans="1:2">
      <c r="A382">
        <v>9.8</v>
      </c>
      <c r="B382">
        <v>14.8</v>
      </c>
    </row>
    <row r="383" spans="1:2">
      <c r="A383">
        <v>9.8</v>
      </c>
      <c r="B383">
        <v>7.3</v>
      </c>
    </row>
    <row r="384" spans="1:2">
      <c r="A384">
        <v>9.8</v>
      </c>
      <c r="B384">
        <v>14.2</v>
      </c>
    </row>
    <row r="385" spans="1:2">
      <c r="A385">
        <v>9.8</v>
      </c>
      <c r="B385">
        <v>11.2</v>
      </c>
    </row>
    <row r="386" spans="1:2">
      <c r="A386">
        <v>9.8</v>
      </c>
      <c r="B386">
        <v>14.8</v>
      </c>
    </row>
    <row r="387" spans="1:2">
      <c r="A387">
        <v>9.8</v>
      </c>
      <c r="B387">
        <v>16.6</v>
      </c>
    </row>
    <row r="388" spans="1:2">
      <c r="A388">
        <v>9.8</v>
      </c>
      <c r="B388">
        <v>12.4</v>
      </c>
    </row>
    <row r="389" spans="1:2">
      <c r="A389">
        <v>9.8</v>
      </c>
      <c r="B389">
        <v>11.1</v>
      </c>
    </row>
    <row r="390" spans="1:2">
      <c r="A390">
        <v>9.8</v>
      </c>
      <c r="B390">
        <v>12.4</v>
      </c>
    </row>
    <row r="391" spans="1:2">
      <c r="A391">
        <v>9.9</v>
      </c>
      <c r="B391">
        <v>23.7</v>
      </c>
    </row>
    <row r="392" spans="1:2">
      <c r="A392">
        <v>9.9</v>
      </c>
      <c r="B392">
        <v>14.9</v>
      </c>
    </row>
    <row r="393" spans="1:2">
      <c r="A393">
        <v>9.9</v>
      </c>
      <c r="B393">
        <v>21.5</v>
      </c>
    </row>
    <row r="394" spans="1:2">
      <c r="A394">
        <v>9.9</v>
      </c>
      <c r="B394">
        <v>17.3</v>
      </c>
    </row>
    <row r="395" spans="1:2">
      <c r="A395">
        <v>9.9</v>
      </c>
      <c r="B395">
        <v>8</v>
      </c>
    </row>
    <row r="396" spans="1:2">
      <c r="A396">
        <v>9.9</v>
      </c>
      <c r="B396">
        <v>19.8</v>
      </c>
    </row>
    <row r="397" spans="1:2">
      <c r="A397">
        <v>10</v>
      </c>
      <c r="B397">
        <v>15.4</v>
      </c>
    </row>
    <row r="398" spans="1:2">
      <c r="A398">
        <v>10</v>
      </c>
      <c r="B398">
        <v>23.7</v>
      </c>
    </row>
    <row r="399" spans="1:2">
      <c r="A399">
        <v>10</v>
      </c>
      <c r="B399">
        <v>10.9</v>
      </c>
    </row>
    <row r="400" spans="1:2">
      <c r="A400">
        <v>10</v>
      </c>
      <c r="B400">
        <v>12.6</v>
      </c>
    </row>
    <row r="401" spans="1:2">
      <c r="A401">
        <v>10</v>
      </c>
      <c r="B401">
        <v>13</v>
      </c>
    </row>
    <row r="402" spans="1:2">
      <c r="A402">
        <v>10</v>
      </c>
      <c r="B402">
        <v>13.6</v>
      </c>
    </row>
    <row r="403" spans="1:2">
      <c r="A403">
        <v>10</v>
      </c>
      <c r="B403">
        <v>19.8</v>
      </c>
    </row>
    <row r="404" spans="1:2">
      <c r="A404">
        <v>10</v>
      </c>
      <c r="B404">
        <v>17.1</v>
      </c>
    </row>
    <row r="405" spans="1:2">
      <c r="A405">
        <v>10</v>
      </c>
      <c r="B405">
        <v>14.2</v>
      </c>
    </row>
    <row r="406" spans="1:2">
      <c r="A406">
        <v>10</v>
      </c>
      <c r="B406">
        <v>17.6</v>
      </c>
    </row>
    <row r="407" spans="1:2">
      <c r="A407">
        <v>10</v>
      </c>
      <c r="B407">
        <v>13.2</v>
      </c>
    </row>
    <row r="408" spans="1:2">
      <c r="A408">
        <v>10.1</v>
      </c>
      <c r="B408">
        <v>22.5</v>
      </c>
    </row>
    <row r="409" spans="1:2">
      <c r="A409">
        <v>10.1</v>
      </c>
      <c r="B409">
        <v>23</v>
      </c>
    </row>
    <row r="410" spans="1:2">
      <c r="A410">
        <v>10.1</v>
      </c>
      <c r="B410">
        <v>6.2</v>
      </c>
    </row>
    <row r="411" spans="1:2">
      <c r="A411">
        <v>10.1</v>
      </c>
      <c r="B411">
        <v>6.9</v>
      </c>
    </row>
    <row r="412" spans="1:2">
      <c r="A412">
        <v>10.1</v>
      </c>
      <c r="B412">
        <v>8.2</v>
      </c>
    </row>
    <row r="413" spans="1:2">
      <c r="A413">
        <v>10.1</v>
      </c>
      <c r="B413">
        <v>9.1</v>
      </c>
    </row>
    <row r="414" spans="1:2">
      <c r="A414">
        <v>10.1</v>
      </c>
      <c r="B414">
        <v>10.7</v>
      </c>
    </row>
    <row r="415" spans="1:2">
      <c r="A415">
        <v>10.1</v>
      </c>
      <c r="B415">
        <v>16.7</v>
      </c>
    </row>
    <row r="416" spans="1:2">
      <c r="A416">
        <v>10.1</v>
      </c>
      <c r="B416">
        <v>11.2</v>
      </c>
    </row>
    <row r="417" spans="1:2">
      <c r="A417">
        <v>10.2</v>
      </c>
      <c r="B417">
        <v>16.9</v>
      </c>
    </row>
    <row r="418" spans="1:2">
      <c r="A418">
        <v>10.2</v>
      </c>
      <c r="B418">
        <v>16.5</v>
      </c>
    </row>
    <row r="419" spans="1:2">
      <c r="A419">
        <v>10.2</v>
      </c>
      <c r="B419">
        <v>20.4</v>
      </c>
    </row>
    <row r="420" spans="1:2">
      <c r="A420">
        <v>10.2</v>
      </c>
      <c r="B420">
        <v>13.5</v>
      </c>
    </row>
    <row r="421" spans="1:2">
      <c r="A421">
        <v>10.2</v>
      </c>
      <c r="B421">
        <v>6.6</v>
      </c>
    </row>
    <row r="422" spans="1:2">
      <c r="A422">
        <v>10.2</v>
      </c>
      <c r="B422">
        <v>6.9</v>
      </c>
    </row>
    <row r="423" spans="1:2">
      <c r="A423">
        <v>10.3</v>
      </c>
      <c r="B423">
        <v>19.4</v>
      </c>
    </row>
    <row r="424" spans="1:2">
      <c r="A424">
        <v>10.3</v>
      </c>
      <c r="B424">
        <v>21.9</v>
      </c>
    </row>
    <row r="425" spans="1:2">
      <c r="A425">
        <v>10.3</v>
      </c>
      <c r="B425">
        <v>11.6</v>
      </c>
    </row>
    <row r="426" spans="1:2">
      <c r="A426">
        <v>10.3</v>
      </c>
      <c r="B426">
        <v>22.7</v>
      </c>
    </row>
    <row r="427" spans="1:2">
      <c r="A427">
        <v>10.3</v>
      </c>
      <c r="B427">
        <v>23.2</v>
      </c>
    </row>
    <row r="428" spans="1:2">
      <c r="A428">
        <v>10.3</v>
      </c>
      <c r="B428">
        <v>9.3</v>
      </c>
    </row>
    <row r="429" spans="1:2">
      <c r="A429">
        <v>10.3</v>
      </c>
      <c r="B429">
        <v>14.7</v>
      </c>
    </row>
    <row r="430" spans="1:2">
      <c r="A430">
        <v>10.4</v>
      </c>
      <c r="B430">
        <v>20.4</v>
      </c>
    </row>
    <row r="431" spans="1:2">
      <c r="A431">
        <v>10.4</v>
      </c>
      <c r="B431">
        <v>11.9</v>
      </c>
    </row>
    <row r="432" spans="1:2">
      <c r="A432">
        <v>10.4</v>
      </c>
      <c r="B432">
        <v>11.7</v>
      </c>
    </row>
    <row r="433" spans="1:2">
      <c r="A433">
        <v>10.4</v>
      </c>
      <c r="B433">
        <v>10.7</v>
      </c>
    </row>
    <row r="434" spans="1:2">
      <c r="A434">
        <v>10.4</v>
      </c>
      <c r="B434">
        <v>16.5</v>
      </c>
    </row>
    <row r="435" spans="1:2">
      <c r="A435">
        <v>10.4</v>
      </c>
      <c r="B435">
        <v>6.1</v>
      </c>
    </row>
    <row r="436" spans="1:2">
      <c r="A436">
        <v>10.4</v>
      </c>
      <c r="B436">
        <v>7.5</v>
      </c>
    </row>
    <row r="437" spans="1:2">
      <c r="A437">
        <v>10.4</v>
      </c>
      <c r="B437">
        <v>22.1</v>
      </c>
    </row>
    <row r="438" spans="1:2">
      <c r="A438">
        <v>10.5</v>
      </c>
      <c r="B438">
        <v>15.1</v>
      </c>
    </row>
    <row r="439" spans="1:2">
      <c r="A439">
        <v>10.5</v>
      </c>
      <c r="B439">
        <v>21</v>
      </c>
    </row>
    <row r="440" spans="1:2">
      <c r="A440">
        <v>10.5</v>
      </c>
      <c r="B440">
        <v>13.7</v>
      </c>
    </row>
    <row r="441" spans="1:2">
      <c r="A441">
        <v>10.5</v>
      </c>
      <c r="B441">
        <v>23.4</v>
      </c>
    </row>
    <row r="442" spans="1:2">
      <c r="A442">
        <v>10.5</v>
      </c>
      <c r="B442">
        <v>15.4</v>
      </c>
    </row>
    <row r="443" spans="1:2">
      <c r="A443">
        <v>10.6</v>
      </c>
      <c r="B443">
        <v>23.1</v>
      </c>
    </row>
    <row r="444" spans="1:2">
      <c r="A444">
        <v>10.6</v>
      </c>
      <c r="B444">
        <v>13</v>
      </c>
    </row>
    <row r="445" spans="1:2">
      <c r="A445">
        <v>10.6</v>
      </c>
      <c r="B445">
        <v>13.1</v>
      </c>
    </row>
    <row r="446" spans="1:2">
      <c r="A446">
        <v>10.6</v>
      </c>
      <c r="B446">
        <v>12.6</v>
      </c>
    </row>
    <row r="447" spans="1:2">
      <c r="A447">
        <v>10.6</v>
      </c>
      <c r="B447">
        <v>6.4</v>
      </c>
    </row>
    <row r="448" spans="1:2">
      <c r="A448">
        <v>10.6</v>
      </c>
      <c r="B448">
        <v>6.6</v>
      </c>
    </row>
    <row r="449" spans="1:2">
      <c r="A449">
        <v>10.6</v>
      </c>
      <c r="B449">
        <v>13.4</v>
      </c>
    </row>
    <row r="450" spans="1:2">
      <c r="A450">
        <v>10.7</v>
      </c>
      <c r="B450">
        <v>19.3</v>
      </c>
    </row>
    <row r="451" spans="1:2">
      <c r="A451">
        <v>10.7</v>
      </c>
      <c r="B451">
        <v>20.7</v>
      </c>
    </row>
    <row r="452" spans="1:2">
      <c r="A452">
        <v>10.7</v>
      </c>
      <c r="B452">
        <v>23.5</v>
      </c>
    </row>
    <row r="453" spans="1:2">
      <c r="A453">
        <v>10.7</v>
      </c>
      <c r="B453">
        <v>17.2</v>
      </c>
    </row>
    <row r="454" spans="1:2">
      <c r="A454">
        <v>10.7</v>
      </c>
      <c r="B454">
        <v>7.7</v>
      </c>
    </row>
    <row r="455" spans="1:2">
      <c r="A455">
        <v>10.7</v>
      </c>
      <c r="B455">
        <v>23.8</v>
      </c>
    </row>
    <row r="456" spans="1:2">
      <c r="A456">
        <v>10.7</v>
      </c>
      <c r="B456">
        <v>20.2</v>
      </c>
    </row>
    <row r="457" spans="1:2">
      <c r="A457">
        <v>10.7</v>
      </c>
      <c r="B457">
        <v>18.1</v>
      </c>
    </row>
    <row r="458" spans="1:2">
      <c r="A458">
        <v>10.8</v>
      </c>
      <c r="B458">
        <v>13.8</v>
      </c>
    </row>
    <row r="459" spans="1:2">
      <c r="A459">
        <v>10.8</v>
      </c>
      <c r="B459">
        <v>7.5</v>
      </c>
    </row>
    <row r="460" spans="1:2">
      <c r="A460">
        <v>10.8</v>
      </c>
      <c r="B460">
        <v>13.5</v>
      </c>
    </row>
    <row r="461" spans="1:2">
      <c r="A461">
        <v>10.8</v>
      </c>
      <c r="B461">
        <v>12.9</v>
      </c>
    </row>
    <row r="462" spans="1:2">
      <c r="A462">
        <v>10.8</v>
      </c>
      <c r="B462">
        <v>22</v>
      </c>
    </row>
    <row r="463" spans="1:2">
      <c r="A463">
        <v>10.8</v>
      </c>
      <c r="B463">
        <v>22</v>
      </c>
    </row>
    <row r="464" spans="1:2">
      <c r="A464">
        <v>10.9</v>
      </c>
      <c r="B464">
        <v>8.7</v>
      </c>
    </row>
    <row r="465" spans="1:2">
      <c r="A465">
        <v>10.9</v>
      </c>
      <c r="B465">
        <v>21.9</v>
      </c>
    </row>
    <row r="466" spans="1:2">
      <c r="A466">
        <v>10.9</v>
      </c>
      <c r="B466">
        <v>12.7</v>
      </c>
    </row>
    <row r="467" spans="1:2">
      <c r="A467">
        <v>11</v>
      </c>
      <c r="B467">
        <v>11.7</v>
      </c>
    </row>
    <row r="468" spans="1:2">
      <c r="A468">
        <v>11</v>
      </c>
      <c r="B468">
        <v>21.1</v>
      </c>
    </row>
    <row r="469" spans="1:2">
      <c r="A469">
        <v>11</v>
      </c>
      <c r="B469">
        <v>20</v>
      </c>
    </row>
    <row r="470" spans="1:2">
      <c r="A470">
        <v>11.1</v>
      </c>
      <c r="B470">
        <v>16.2</v>
      </c>
    </row>
    <row r="471" spans="1:2">
      <c r="A471">
        <v>11.1</v>
      </c>
      <c r="B471">
        <v>8.8</v>
      </c>
    </row>
    <row r="472" spans="1:2">
      <c r="A472">
        <v>11.1</v>
      </c>
      <c r="B472">
        <v>20.8</v>
      </c>
    </row>
    <row r="473" spans="1:2">
      <c r="A473">
        <v>11.1</v>
      </c>
      <c r="B473">
        <v>14.2</v>
      </c>
    </row>
    <row r="474" spans="1:2">
      <c r="A474">
        <v>11.1</v>
      </c>
      <c r="B474">
        <v>10.9</v>
      </c>
    </row>
    <row r="475" spans="1:2">
      <c r="A475">
        <v>11.2</v>
      </c>
      <c r="B475">
        <v>8.8</v>
      </c>
    </row>
    <row r="476" spans="1:2">
      <c r="A476">
        <v>11.2</v>
      </c>
      <c r="B476">
        <v>6.7</v>
      </c>
    </row>
    <row r="477" spans="1:2">
      <c r="A477">
        <v>11.2</v>
      </c>
      <c r="B477">
        <v>10.4</v>
      </c>
    </row>
    <row r="478" spans="1:2">
      <c r="A478">
        <v>11.2</v>
      </c>
      <c r="B478">
        <v>19.5</v>
      </c>
    </row>
    <row r="479" spans="1:2">
      <c r="A479">
        <v>11.2</v>
      </c>
      <c r="B479">
        <v>20.1</v>
      </c>
    </row>
    <row r="480" spans="1:2">
      <c r="A480">
        <v>11.3</v>
      </c>
      <c r="B480">
        <v>10.5</v>
      </c>
    </row>
    <row r="481" spans="1:2">
      <c r="A481">
        <v>11.3</v>
      </c>
      <c r="B481">
        <v>11.8</v>
      </c>
    </row>
    <row r="482" spans="1:2">
      <c r="A482">
        <v>11.3</v>
      </c>
      <c r="B482">
        <v>19.1</v>
      </c>
    </row>
    <row r="483" spans="1:2">
      <c r="A483">
        <v>11.3</v>
      </c>
      <c r="B483">
        <v>7.8</v>
      </c>
    </row>
    <row r="484" spans="1:2">
      <c r="A484">
        <v>11.3</v>
      </c>
      <c r="B484">
        <v>7.2</v>
      </c>
    </row>
    <row r="485" spans="1:2">
      <c r="A485">
        <v>11.3</v>
      </c>
      <c r="B485">
        <v>16.4</v>
      </c>
    </row>
    <row r="486" spans="1:2">
      <c r="A486">
        <v>11.3</v>
      </c>
      <c r="B486">
        <v>14</v>
      </c>
    </row>
    <row r="487" spans="1:2">
      <c r="A487">
        <v>11.4</v>
      </c>
      <c r="B487">
        <v>23</v>
      </c>
    </row>
    <row r="488" spans="1:2">
      <c r="A488">
        <v>11.4</v>
      </c>
      <c r="B488">
        <v>19.3</v>
      </c>
    </row>
    <row r="489" spans="1:2">
      <c r="A489">
        <v>11.4</v>
      </c>
      <c r="B489">
        <v>11.2</v>
      </c>
    </row>
    <row r="490" spans="1:2">
      <c r="A490">
        <v>11.4</v>
      </c>
      <c r="B490">
        <v>6.9</v>
      </c>
    </row>
    <row r="491" spans="1:2">
      <c r="A491">
        <v>11.4</v>
      </c>
      <c r="B491">
        <v>6.1</v>
      </c>
    </row>
    <row r="492" spans="1:2">
      <c r="A492">
        <v>11.5</v>
      </c>
      <c r="B492">
        <v>20.2</v>
      </c>
    </row>
    <row r="493" spans="1:2">
      <c r="A493">
        <v>11.5</v>
      </c>
      <c r="B493">
        <v>9.2</v>
      </c>
    </row>
    <row r="494" spans="1:2">
      <c r="A494">
        <v>11.5</v>
      </c>
      <c r="B494">
        <v>8.6</v>
      </c>
    </row>
    <row r="495" spans="1:2">
      <c r="A495">
        <v>11.5</v>
      </c>
      <c r="B495">
        <v>17.9</v>
      </c>
    </row>
    <row r="496" spans="1:2">
      <c r="A496">
        <v>11.5</v>
      </c>
      <c r="B496">
        <v>7.4</v>
      </c>
    </row>
    <row r="497" spans="1:2">
      <c r="A497">
        <v>11.5</v>
      </c>
      <c r="B497">
        <v>21.4</v>
      </c>
    </row>
    <row r="498" spans="1:2">
      <c r="A498">
        <v>11.6</v>
      </c>
      <c r="B498">
        <v>6.5</v>
      </c>
    </row>
    <row r="499" spans="1:2">
      <c r="A499">
        <v>11.6</v>
      </c>
      <c r="B499">
        <v>8.6</v>
      </c>
    </row>
    <row r="500" spans="1:2">
      <c r="A500">
        <v>11.6</v>
      </c>
      <c r="B500">
        <v>11.6</v>
      </c>
    </row>
    <row r="501" spans="1:2">
      <c r="A501">
        <v>11.6</v>
      </c>
      <c r="B501">
        <v>13.4</v>
      </c>
    </row>
    <row r="502" spans="1:2">
      <c r="A502">
        <v>11.7</v>
      </c>
      <c r="B502">
        <v>18.5</v>
      </c>
    </row>
    <row r="503" spans="1:2">
      <c r="A503">
        <v>11.7</v>
      </c>
      <c r="B503">
        <v>10.3</v>
      </c>
    </row>
    <row r="504" spans="1:2">
      <c r="A504">
        <v>11.7</v>
      </c>
      <c r="B504">
        <v>13</v>
      </c>
    </row>
    <row r="505" spans="1:2">
      <c r="A505">
        <v>11.7</v>
      </c>
      <c r="B505">
        <v>13.2</v>
      </c>
    </row>
    <row r="506" spans="1:2">
      <c r="A506">
        <v>11.7</v>
      </c>
      <c r="B506">
        <v>17.6</v>
      </c>
    </row>
    <row r="507" spans="1:2">
      <c r="A507">
        <v>11.7</v>
      </c>
      <c r="B507">
        <v>19.5</v>
      </c>
    </row>
    <row r="508" spans="1:2">
      <c r="A508">
        <v>11.7</v>
      </c>
      <c r="B508">
        <v>23.3</v>
      </c>
    </row>
    <row r="509" spans="1:2">
      <c r="A509">
        <v>11.7</v>
      </c>
      <c r="B509">
        <v>13.9</v>
      </c>
    </row>
    <row r="510" spans="1:2">
      <c r="A510">
        <v>11.8</v>
      </c>
      <c r="B510">
        <v>7.2</v>
      </c>
    </row>
    <row r="511" spans="1:2">
      <c r="A511">
        <v>11.8</v>
      </c>
      <c r="B511">
        <v>8</v>
      </c>
    </row>
    <row r="512" spans="1:2">
      <c r="A512">
        <v>11.8</v>
      </c>
      <c r="B512">
        <v>7.2</v>
      </c>
    </row>
    <row r="513" spans="1:2">
      <c r="A513">
        <v>11.8</v>
      </c>
      <c r="B513">
        <v>10.5</v>
      </c>
    </row>
    <row r="514" spans="1:2">
      <c r="A514">
        <v>11.8</v>
      </c>
      <c r="B514">
        <v>13.3</v>
      </c>
    </row>
    <row r="515" spans="1:2">
      <c r="A515">
        <v>11.8</v>
      </c>
      <c r="B515">
        <v>12</v>
      </c>
    </row>
    <row r="516" spans="1:2">
      <c r="A516">
        <v>11.8</v>
      </c>
      <c r="B516">
        <v>18.5</v>
      </c>
    </row>
    <row r="517" spans="1:2">
      <c r="A517">
        <v>11.9</v>
      </c>
      <c r="B517">
        <v>9.3</v>
      </c>
    </row>
    <row r="518" spans="1:2">
      <c r="A518">
        <v>11.9</v>
      </c>
      <c r="B518">
        <v>23.3</v>
      </c>
    </row>
    <row r="519" spans="1:2">
      <c r="A519">
        <v>11.9</v>
      </c>
      <c r="B519">
        <v>13.5</v>
      </c>
    </row>
    <row r="520" spans="1:2">
      <c r="A520">
        <v>11.9</v>
      </c>
      <c r="B520">
        <v>11.8</v>
      </c>
    </row>
    <row r="521" spans="1:2">
      <c r="A521">
        <v>12</v>
      </c>
      <c r="B521">
        <v>7</v>
      </c>
    </row>
    <row r="522" spans="1:2">
      <c r="A522">
        <v>12.1</v>
      </c>
      <c r="B522">
        <v>13.2</v>
      </c>
    </row>
    <row r="523" spans="1:2">
      <c r="A523">
        <v>12.1</v>
      </c>
      <c r="B523">
        <v>8.5</v>
      </c>
    </row>
    <row r="524" spans="1:2">
      <c r="A524">
        <v>12.1</v>
      </c>
      <c r="B524">
        <v>19</v>
      </c>
    </row>
    <row r="525" spans="1:2">
      <c r="A525">
        <v>12.1</v>
      </c>
      <c r="B525">
        <v>15.7</v>
      </c>
    </row>
    <row r="526" spans="1:2">
      <c r="A526">
        <v>12.2</v>
      </c>
      <c r="B526">
        <v>19.7</v>
      </c>
    </row>
    <row r="527" spans="1:2">
      <c r="A527">
        <v>12.2</v>
      </c>
      <c r="B527">
        <v>20.5</v>
      </c>
    </row>
    <row r="528" spans="1:2">
      <c r="A528">
        <v>12.2</v>
      </c>
      <c r="B528">
        <v>10.2</v>
      </c>
    </row>
    <row r="529" spans="1:2">
      <c r="A529">
        <v>12.2</v>
      </c>
      <c r="B529">
        <v>22.4</v>
      </c>
    </row>
    <row r="530" spans="1:2">
      <c r="A530">
        <v>12.2</v>
      </c>
      <c r="B530">
        <v>14.6</v>
      </c>
    </row>
    <row r="531" spans="1:2">
      <c r="A531">
        <v>12.2</v>
      </c>
      <c r="B531">
        <v>23.2</v>
      </c>
    </row>
    <row r="532" spans="1:2">
      <c r="A532">
        <v>12.2</v>
      </c>
      <c r="B532">
        <v>10.5</v>
      </c>
    </row>
    <row r="533" spans="1:2">
      <c r="A533">
        <v>12.3</v>
      </c>
      <c r="B533">
        <v>16.9</v>
      </c>
    </row>
    <row r="534" spans="1:2">
      <c r="A534">
        <v>12.3</v>
      </c>
      <c r="B534">
        <v>23.3</v>
      </c>
    </row>
    <row r="535" spans="1:2">
      <c r="A535">
        <v>12.3</v>
      </c>
      <c r="B535">
        <v>8</v>
      </c>
    </row>
    <row r="536" spans="1:2">
      <c r="A536">
        <v>12.3</v>
      </c>
      <c r="B536">
        <v>17.7</v>
      </c>
    </row>
    <row r="537" spans="1:2">
      <c r="A537">
        <v>12.3</v>
      </c>
      <c r="B537">
        <v>14.3</v>
      </c>
    </row>
    <row r="538" spans="1:2">
      <c r="A538">
        <v>12.3</v>
      </c>
      <c r="B538">
        <v>20.7</v>
      </c>
    </row>
    <row r="539" spans="1:2">
      <c r="A539">
        <v>12.3</v>
      </c>
      <c r="B539">
        <v>13.5</v>
      </c>
    </row>
    <row r="540" spans="1:2">
      <c r="A540">
        <v>12.3</v>
      </c>
      <c r="B540">
        <v>13.1</v>
      </c>
    </row>
    <row r="541" spans="1:2">
      <c r="A541">
        <v>12.3</v>
      </c>
      <c r="B541">
        <v>8.8</v>
      </c>
    </row>
    <row r="542" spans="1:2">
      <c r="A542">
        <v>12.3</v>
      </c>
      <c r="B542">
        <v>19.3</v>
      </c>
    </row>
    <row r="543" spans="1:2">
      <c r="A543">
        <v>12.4</v>
      </c>
      <c r="B543">
        <v>13.4</v>
      </c>
    </row>
    <row r="544" spans="1:2">
      <c r="A544">
        <v>12.4</v>
      </c>
      <c r="B544">
        <v>9.7</v>
      </c>
    </row>
    <row r="545" spans="1:2">
      <c r="A545">
        <v>12.4</v>
      </c>
      <c r="B545">
        <v>6.6</v>
      </c>
    </row>
    <row r="546" spans="1:2">
      <c r="A546">
        <v>12.4</v>
      </c>
      <c r="B546">
        <v>7.1</v>
      </c>
    </row>
    <row r="547" spans="1:2">
      <c r="A547">
        <v>12.4</v>
      </c>
      <c r="B547">
        <v>12.9</v>
      </c>
    </row>
    <row r="548" spans="1:2">
      <c r="A548">
        <v>12.4</v>
      </c>
      <c r="B548">
        <v>17.3</v>
      </c>
    </row>
    <row r="549" spans="1:2">
      <c r="A549">
        <v>12.4</v>
      </c>
      <c r="B549">
        <v>11.5</v>
      </c>
    </row>
    <row r="550" spans="1:2">
      <c r="A550">
        <v>12.4</v>
      </c>
      <c r="B550">
        <v>21.1</v>
      </c>
    </row>
    <row r="551" spans="1:2">
      <c r="A551">
        <v>12.5</v>
      </c>
      <c r="B551">
        <v>17.1</v>
      </c>
    </row>
    <row r="552" spans="1:2">
      <c r="A552">
        <v>12.5</v>
      </c>
      <c r="B552">
        <v>18</v>
      </c>
    </row>
    <row r="553" spans="1:2">
      <c r="A553">
        <v>12.6</v>
      </c>
      <c r="B553">
        <v>11.4</v>
      </c>
    </row>
    <row r="554" spans="1:2">
      <c r="A554">
        <v>12.6</v>
      </c>
      <c r="B554">
        <v>8.9</v>
      </c>
    </row>
    <row r="555" spans="1:2">
      <c r="A555">
        <v>12.6</v>
      </c>
      <c r="B555">
        <v>11.4</v>
      </c>
    </row>
    <row r="556" spans="1:2">
      <c r="A556">
        <v>12.6</v>
      </c>
      <c r="B556">
        <v>23.2</v>
      </c>
    </row>
    <row r="557" spans="1:2">
      <c r="A557">
        <v>12.6</v>
      </c>
      <c r="B557">
        <v>20</v>
      </c>
    </row>
    <row r="558" spans="1:2">
      <c r="A558">
        <v>12.7</v>
      </c>
      <c r="B558">
        <v>17.6</v>
      </c>
    </row>
    <row r="559" spans="1:2">
      <c r="A559">
        <v>12.7</v>
      </c>
      <c r="B559">
        <v>12.9</v>
      </c>
    </row>
    <row r="560" spans="1:2">
      <c r="A560">
        <v>12.7</v>
      </c>
      <c r="B560">
        <v>17.2</v>
      </c>
    </row>
    <row r="561" spans="1:2">
      <c r="A561">
        <v>12.7</v>
      </c>
      <c r="B561">
        <v>9.1</v>
      </c>
    </row>
    <row r="562" spans="1:2">
      <c r="A562">
        <v>12.8</v>
      </c>
      <c r="B562">
        <v>19.3</v>
      </c>
    </row>
    <row r="563" spans="1:2">
      <c r="A563">
        <v>12.8</v>
      </c>
      <c r="B563">
        <v>8.1</v>
      </c>
    </row>
    <row r="564" spans="1:2">
      <c r="A564">
        <v>12.8</v>
      </c>
      <c r="B564">
        <v>14.7</v>
      </c>
    </row>
    <row r="565" spans="1:2">
      <c r="A565">
        <v>12.8</v>
      </c>
      <c r="B565">
        <v>23.1</v>
      </c>
    </row>
    <row r="566" spans="1:2">
      <c r="A566">
        <v>12.8</v>
      </c>
      <c r="B566">
        <v>10.5</v>
      </c>
    </row>
    <row r="567" spans="1:2">
      <c r="A567">
        <v>12.8</v>
      </c>
      <c r="B567">
        <v>19.6</v>
      </c>
    </row>
    <row r="568" spans="1:2">
      <c r="A568">
        <v>12.8</v>
      </c>
      <c r="B568">
        <v>17.9</v>
      </c>
    </row>
    <row r="569" spans="1:2">
      <c r="A569">
        <v>12.8</v>
      </c>
      <c r="B569">
        <v>22</v>
      </c>
    </row>
    <row r="570" spans="1:2">
      <c r="A570">
        <v>12.8</v>
      </c>
      <c r="B570">
        <v>16.7</v>
      </c>
    </row>
    <row r="571" spans="1:2">
      <c r="A571">
        <v>12.9</v>
      </c>
      <c r="B571">
        <v>7.2</v>
      </c>
    </row>
    <row r="572" spans="1:2">
      <c r="A572">
        <v>12.9</v>
      </c>
      <c r="B572">
        <v>12.3</v>
      </c>
    </row>
    <row r="573" spans="1:2">
      <c r="A573">
        <v>12.9</v>
      </c>
      <c r="B573">
        <v>22.6</v>
      </c>
    </row>
    <row r="574" spans="1:2">
      <c r="A574">
        <v>12.9</v>
      </c>
      <c r="B574">
        <v>20.6</v>
      </c>
    </row>
    <row r="575" spans="1:2">
      <c r="A575">
        <v>12.9</v>
      </c>
      <c r="B575">
        <v>8.6</v>
      </c>
    </row>
    <row r="576" spans="1:2">
      <c r="A576">
        <v>13</v>
      </c>
      <c r="B576">
        <v>14.1</v>
      </c>
    </row>
    <row r="577" spans="1:2">
      <c r="A577">
        <v>13</v>
      </c>
      <c r="B577">
        <v>21.6</v>
      </c>
    </row>
    <row r="578" spans="1:2">
      <c r="A578">
        <v>13</v>
      </c>
      <c r="B578">
        <v>20.9</v>
      </c>
    </row>
    <row r="579" spans="1:2">
      <c r="A579">
        <v>13.1</v>
      </c>
      <c r="B579">
        <v>15</v>
      </c>
    </row>
    <row r="580" spans="1:2">
      <c r="A580">
        <v>13.1</v>
      </c>
      <c r="B580">
        <v>14.9</v>
      </c>
    </row>
    <row r="581" spans="1:2">
      <c r="A581">
        <v>13.1</v>
      </c>
      <c r="B581">
        <v>15.7</v>
      </c>
    </row>
    <row r="582" spans="1:2">
      <c r="A582">
        <v>13.1</v>
      </c>
      <c r="B582">
        <v>14.7</v>
      </c>
    </row>
    <row r="583" spans="1:2">
      <c r="A583">
        <v>13.1</v>
      </c>
      <c r="B583">
        <v>11</v>
      </c>
    </row>
    <row r="584" spans="1:2">
      <c r="A584">
        <v>13.1</v>
      </c>
      <c r="B584">
        <v>12.5</v>
      </c>
    </row>
    <row r="585" spans="1:2">
      <c r="A585">
        <v>13.1</v>
      </c>
      <c r="B585">
        <v>8.9</v>
      </c>
    </row>
    <row r="586" spans="1:2">
      <c r="A586">
        <v>13.1</v>
      </c>
      <c r="B586">
        <v>17.4</v>
      </c>
    </row>
    <row r="587" spans="1:2">
      <c r="A587">
        <v>13.1</v>
      </c>
      <c r="B587">
        <v>13.8</v>
      </c>
    </row>
    <row r="588" spans="1:2">
      <c r="A588">
        <v>13.1</v>
      </c>
      <c r="B588">
        <v>7.2</v>
      </c>
    </row>
    <row r="589" spans="1:2">
      <c r="A589">
        <v>13.2</v>
      </c>
      <c r="B589">
        <v>21.7</v>
      </c>
    </row>
    <row r="590" spans="1:2">
      <c r="A590">
        <v>13.2</v>
      </c>
      <c r="B590">
        <v>10.9</v>
      </c>
    </row>
    <row r="591" spans="1:2">
      <c r="A591">
        <v>13.2</v>
      </c>
      <c r="B591">
        <v>7.6</v>
      </c>
    </row>
    <row r="592" spans="1:2">
      <c r="A592">
        <v>13.2</v>
      </c>
      <c r="B592">
        <v>14.6</v>
      </c>
    </row>
    <row r="593" spans="1:2">
      <c r="A593">
        <v>13.2</v>
      </c>
      <c r="B593">
        <v>20.7</v>
      </c>
    </row>
    <row r="594" spans="1:2">
      <c r="A594">
        <v>13.2</v>
      </c>
      <c r="B594">
        <v>8.7</v>
      </c>
    </row>
    <row r="595" spans="1:2">
      <c r="A595">
        <v>13.3</v>
      </c>
      <c r="B595">
        <v>7.3</v>
      </c>
    </row>
    <row r="596" spans="1:2">
      <c r="A596">
        <v>13.3</v>
      </c>
      <c r="B596">
        <v>23.5</v>
      </c>
    </row>
    <row r="597" spans="1:2">
      <c r="A597">
        <v>13.3</v>
      </c>
      <c r="B597">
        <v>14</v>
      </c>
    </row>
    <row r="598" spans="1:2">
      <c r="A598">
        <v>13.3</v>
      </c>
      <c r="B598">
        <v>18.2</v>
      </c>
    </row>
    <row r="599" spans="1:2">
      <c r="A599">
        <v>13.3</v>
      </c>
      <c r="B599">
        <v>8</v>
      </c>
    </row>
    <row r="600" spans="1:2">
      <c r="A600">
        <v>13.3</v>
      </c>
      <c r="B600">
        <v>12.8</v>
      </c>
    </row>
    <row r="601" spans="1:2">
      <c r="A601">
        <v>13.4</v>
      </c>
      <c r="B601">
        <v>16.6</v>
      </c>
    </row>
    <row r="602" spans="1:2">
      <c r="A602">
        <v>13.4</v>
      </c>
      <c r="B602">
        <v>13.9</v>
      </c>
    </row>
    <row r="603" spans="1:2">
      <c r="A603">
        <v>13.5</v>
      </c>
      <c r="B603">
        <v>18.1</v>
      </c>
    </row>
    <row r="604" spans="1:2">
      <c r="A604">
        <v>13.5</v>
      </c>
      <c r="B604">
        <v>19.6</v>
      </c>
    </row>
    <row r="605" spans="1:2">
      <c r="A605">
        <v>13.5</v>
      </c>
      <c r="B605">
        <v>14.7</v>
      </c>
    </row>
    <row r="606" spans="1:2">
      <c r="A606">
        <v>13.5</v>
      </c>
      <c r="B606">
        <v>18.2</v>
      </c>
    </row>
    <row r="607" spans="1:2">
      <c r="A607">
        <v>13.5</v>
      </c>
      <c r="B607">
        <v>22.6</v>
      </c>
    </row>
    <row r="608" spans="1:2">
      <c r="A608">
        <v>13.5</v>
      </c>
      <c r="B608">
        <v>20.7</v>
      </c>
    </row>
    <row r="609" spans="1:2">
      <c r="A609">
        <v>13.5</v>
      </c>
      <c r="B609">
        <v>19.1</v>
      </c>
    </row>
    <row r="610" spans="1:2">
      <c r="A610">
        <v>13.5</v>
      </c>
      <c r="B610">
        <v>14</v>
      </c>
    </row>
    <row r="611" spans="1:2">
      <c r="A611">
        <v>13.6</v>
      </c>
      <c r="B611">
        <v>22.3</v>
      </c>
    </row>
    <row r="612" spans="1:2">
      <c r="A612">
        <v>13.6</v>
      </c>
      <c r="B612">
        <v>16.2</v>
      </c>
    </row>
    <row r="613" spans="1:2">
      <c r="A613">
        <v>13.6</v>
      </c>
      <c r="B613">
        <v>8.5</v>
      </c>
    </row>
    <row r="614" spans="1:2">
      <c r="A614">
        <v>13.6</v>
      </c>
      <c r="B614">
        <v>12.4</v>
      </c>
    </row>
    <row r="615" spans="1:2">
      <c r="A615">
        <v>13.6</v>
      </c>
      <c r="B615">
        <v>12.7</v>
      </c>
    </row>
    <row r="616" spans="1:2">
      <c r="A616">
        <v>13.6</v>
      </c>
      <c r="B616">
        <v>18</v>
      </c>
    </row>
    <row r="617" spans="1:2">
      <c r="A617">
        <v>13.7</v>
      </c>
      <c r="B617">
        <v>16.5</v>
      </c>
    </row>
    <row r="618" spans="1:2">
      <c r="A618">
        <v>13.7</v>
      </c>
      <c r="B618">
        <v>14.6</v>
      </c>
    </row>
    <row r="619" spans="1:2">
      <c r="A619">
        <v>13.7</v>
      </c>
      <c r="B619">
        <v>15.2</v>
      </c>
    </row>
    <row r="620" spans="1:2">
      <c r="A620">
        <v>13.7</v>
      </c>
      <c r="B620">
        <v>18.1</v>
      </c>
    </row>
    <row r="621" spans="1:2">
      <c r="A621">
        <v>13.7</v>
      </c>
      <c r="B621">
        <v>21.7</v>
      </c>
    </row>
    <row r="622" spans="1:2">
      <c r="A622">
        <v>13.7</v>
      </c>
      <c r="B622">
        <v>20.3</v>
      </c>
    </row>
    <row r="623" spans="1:2">
      <c r="A623">
        <v>13.7</v>
      </c>
      <c r="B623">
        <v>20.9</v>
      </c>
    </row>
    <row r="624" spans="1:2">
      <c r="A624">
        <v>13.7</v>
      </c>
      <c r="B624">
        <v>18.2</v>
      </c>
    </row>
    <row r="625" spans="1:2">
      <c r="A625">
        <v>13.7</v>
      </c>
      <c r="B625">
        <v>12.2</v>
      </c>
    </row>
    <row r="626" spans="1:2">
      <c r="A626">
        <v>13.7</v>
      </c>
      <c r="B626">
        <v>16.2</v>
      </c>
    </row>
    <row r="627" spans="1:2">
      <c r="A627">
        <v>13.8</v>
      </c>
      <c r="B627">
        <v>11.9</v>
      </c>
    </row>
    <row r="628" spans="1:2">
      <c r="A628">
        <v>13.8</v>
      </c>
      <c r="B628">
        <v>10.7</v>
      </c>
    </row>
    <row r="629" spans="1:2">
      <c r="A629">
        <v>13.8</v>
      </c>
      <c r="B629">
        <v>6.8</v>
      </c>
    </row>
    <row r="630" spans="1:2">
      <c r="A630">
        <v>13.8</v>
      </c>
      <c r="B630">
        <v>17.6</v>
      </c>
    </row>
    <row r="631" spans="1:2">
      <c r="A631">
        <v>13.8</v>
      </c>
      <c r="B631">
        <v>20.6</v>
      </c>
    </row>
    <row r="632" spans="1:2">
      <c r="A632">
        <v>13.8</v>
      </c>
      <c r="B632">
        <v>10.2</v>
      </c>
    </row>
    <row r="633" spans="1:2">
      <c r="A633">
        <v>13.8</v>
      </c>
      <c r="B633">
        <v>8.2</v>
      </c>
    </row>
    <row r="634" spans="1:2">
      <c r="A634">
        <v>13.9</v>
      </c>
      <c r="B634">
        <v>19</v>
      </c>
    </row>
    <row r="635" spans="1:2">
      <c r="A635">
        <v>13.9</v>
      </c>
      <c r="B635">
        <v>19.9</v>
      </c>
    </row>
    <row r="636" spans="1:2">
      <c r="A636">
        <v>13.9</v>
      </c>
      <c r="B636">
        <v>9.5</v>
      </c>
    </row>
    <row r="637" spans="1:2">
      <c r="A637">
        <v>14</v>
      </c>
      <c r="B637">
        <v>22</v>
      </c>
    </row>
    <row r="638" spans="1:2">
      <c r="A638">
        <v>14</v>
      </c>
      <c r="B638">
        <v>12.4</v>
      </c>
    </row>
    <row r="639" spans="1:2">
      <c r="A639">
        <v>14</v>
      </c>
      <c r="B639">
        <v>17.2</v>
      </c>
    </row>
    <row r="640" spans="1:2">
      <c r="A640">
        <v>14</v>
      </c>
      <c r="B640">
        <v>18.5</v>
      </c>
    </row>
    <row r="641" spans="1:2">
      <c r="A641">
        <v>14</v>
      </c>
      <c r="B641">
        <v>23.6</v>
      </c>
    </row>
    <row r="642" spans="1:2">
      <c r="A642">
        <v>14</v>
      </c>
      <c r="B642">
        <v>20.8</v>
      </c>
    </row>
    <row r="643" spans="1:2">
      <c r="A643">
        <v>14</v>
      </c>
      <c r="B643">
        <v>6.2</v>
      </c>
    </row>
    <row r="644" spans="1:2">
      <c r="A644">
        <v>14.1</v>
      </c>
      <c r="B644">
        <v>20.6</v>
      </c>
    </row>
    <row r="645" spans="1:2">
      <c r="A645">
        <v>14.1</v>
      </c>
      <c r="B645">
        <v>6.6</v>
      </c>
    </row>
    <row r="646" spans="1:2">
      <c r="A646">
        <v>14.1</v>
      </c>
      <c r="B646">
        <v>17.2</v>
      </c>
    </row>
    <row r="647" spans="1:2">
      <c r="A647">
        <v>14.1</v>
      </c>
      <c r="B647">
        <v>10.6</v>
      </c>
    </row>
    <row r="648" spans="1:2">
      <c r="A648">
        <v>14.1</v>
      </c>
      <c r="B648">
        <v>22.1</v>
      </c>
    </row>
    <row r="649" spans="1:2">
      <c r="A649">
        <v>14.1</v>
      </c>
      <c r="B649">
        <v>11.5</v>
      </c>
    </row>
    <row r="650" spans="1:2">
      <c r="A650">
        <v>14.1</v>
      </c>
      <c r="B650">
        <v>16.7</v>
      </c>
    </row>
    <row r="651" spans="1:2">
      <c r="A651">
        <v>14.2</v>
      </c>
      <c r="B651">
        <v>10.6</v>
      </c>
    </row>
    <row r="652" spans="1:2">
      <c r="A652">
        <v>14.2</v>
      </c>
      <c r="B652">
        <v>9.9</v>
      </c>
    </row>
    <row r="653" spans="1:2">
      <c r="A653">
        <v>14.2</v>
      </c>
      <c r="B653">
        <v>17.5</v>
      </c>
    </row>
    <row r="654" spans="1:2">
      <c r="A654">
        <v>14.2</v>
      </c>
      <c r="B654">
        <v>9.8</v>
      </c>
    </row>
    <row r="655" spans="1:2">
      <c r="A655">
        <v>14.2</v>
      </c>
      <c r="B655">
        <v>11.2</v>
      </c>
    </row>
    <row r="656" spans="1:2">
      <c r="A656">
        <v>14.2</v>
      </c>
      <c r="B656">
        <v>20.8</v>
      </c>
    </row>
    <row r="657" spans="1:2">
      <c r="A657">
        <v>14.2</v>
      </c>
      <c r="B657">
        <v>21.9</v>
      </c>
    </row>
    <row r="658" spans="1:2">
      <c r="A658">
        <v>14.2</v>
      </c>
      <c r="B658">
        <v>12.7</v>
      </c>
    </row>
    <row r="659" spans="1:2">
      <c r="A659">
        <v>14.2</v>
      </c>
      <c r="B659">
        <v>19.2</v>
      </c>
    </row>
    <row r="660" spans="1:2">
      <c r="A660">
        <v>14.2</v>
      </c>
      <c r="B660">
        <v>13</v>
      </c>
    </row>
    <row r="661" spans="1:2">
      <c r="A661">
        <v>14.3</v>
      </c>
      <c r="B661">
        <v>19.3</v>
      </c>
    </row>
    <row r="662" spans="1:2">
      <c r="A662">
        <v>14.3</v>
      </c>
      <c r="B662">
        <v>6.4</v>
      </c>
    </row>
    <row r="663" spans="1:2">
      <c r="A663">
        <v>14.3</v>
      </c>
      <c r="B663">
        <v>20.2</v>
      </c>
    </row>
    <row r="664" spans="1:2">
      <c r="A664">
        <v>14.3</v>
      </c>
      <c r="B664">
        <v>6.7</v>
      </c>
    </row>
    <row r="665" spans="1:2">
      <c r="A665">
        <v>14.3</v>
      </c>
      <c r="B665">
        <v>22.9</v>
      </c>
    </row>
    <row r="666" spans="1:2">
      <c r="A666">
        <v>14.4</v>
      </c>
      <c r="B666">
        <v>13.1</v>
      </c>
    </row>
    <row r="667" spans="1:2">
      <c r="A667">
        <v>14.4</v>
      </c>
      <c r="B667">
        <v>9.6</v>
      </c>
    </row>
    <row r="668" spans="1:2">
      <c r="A668">
        <v>14.4</v>
      </c>
      <c r="B668">
        <v>21.3</v>
      </c>
    </row>
    <row r="669" spans="1:2">
      <c r="A669">
        <v>14.4</v>
      </c>
      <c r="B669">
        <v>13.7</v>
      </c>
    </row>
    <row r="670" spans="1:2">
      <c r="A670">
        <v>14.4</v>
      </c>
      <c r="B670">
        <v>8.5</v>
      </c>
    </row>
    <row r="671" spans="1:2">
      <c r="A671">
        <v>14.4</v>
      </c>
      <c r="B671">
        <v>20.9</v>
      </c>
    </row>
    <row r="672" spans="1:2">
      <c r="A672">
        <v>14.4</v>
      </c>
      <c r="B672">
        <v>12.4</v>
      </c>
    </row>
    <row r="673" spans="1:2">
      <c r="A673">
        <v>14.5</v>
      </c>
      <c r="B673">
        <v>16.9</v>
      </c>
    </row>
    <row r="674" spans="1:2">
      <c r="A674">
        <v>14.5</v>
      </c>
      <c r="B674">
        <v>11.6</v>
      </c>
    </row>
    <row r="675" spans="1:2">
      <c r="A675">
        <v>14.5</v>
      </c>
      <c r="B675">
        <v>10.5</v>
      </c>
    </row>
    <row r="676" spans="1:2">
      <c r="A676">
        <v>14.5</v>
      </c>
      <c r="B676">
        <v>21.5</v>
      </c>
    </row>
    <row r="677" spans="1:2">
      <c r="A677">
        <v>14.5</v>
      </c>
      <c r="B677">
        <v>10.3</v>
      </c>
    </row>
    <row r="678" spans="1:2">
      <c r="A678">
        <v>14.5</v>
      </c>
      <c r="B678">
        <v>8.4</v>
      </c>
    </row>
    <row r="679" spans="1:2">
      <c r="A679">
        <v>14.5</v>
      </c>
      <c r="B679">
        <v>19.7</v>
      </c>
    </row>
    <row r="680" spans="1:2">
      <c r="A680">
        <v>14.6</v>
      </c>
      <c r="B680">
        <v>20.6</v>
      </c>
    </row>
    <row r="681" spans="1:2">
      <c r="A681">
        <v>14.6</v>
      </c>
      <c r="B681">
        <v>10.6</v>
      </c>
    </row>
    <row r="682" spans="1:2">
      <c r="A682">
        <v>14.6</v>
      </c>
      <c r="B682">
        <v>10</v>
      </c>
    </row>
    <row r="683" spans="1:2">
      <c r="A683">
        <v>14.6</v>
      </c>
      <c r="B683">
        <v>23</v>
      </c>
    </row>
    <row r="684" spans="1:2">
      <c r="A684">
        <v>14.6</v>
      </c>
      <c r="B684">
        <v>15</v>
      </c>
    </row>
    <row r="685" spans="1:2">
      <c r="A685">
        <v>14.6</v>
      </c>
      <c r="B685">
        <v>20.7</v>
      </c>
    </row>
    <row r="686" spans="1:2">
      <c r="A686">
        <v>14.6</v>
      </c>
      <c r="B686">
        <v>22.8</v>
      </c>
    </row>
    <row r="687" spans="1:2">
      <c r="A687">
        <v>14.6</v>
      </c>
      <c r="B687">
        <v>16.9</v>
      </c>
    </row>
    <row r="688" spans="1:2">
      <c r="A688">
        <v>14.7</v>
      </c>
      <c r="B688">
        <v>15.1</v>
      </c>
    </row>
    <row r="689" spans="1:2">
      <c r="A689">
        <v>14.7</v>
      </c>
      <c r="B689">
        <v>8.3</v>
      </c>
    </row>
    <row r="690" spans="1:2">
      <c r="A690">
        <v>14.7</v>
      </c>
      <c r="B690">
        <v>18.7</v>
      </c>
    </row>
    <row r="691" spans="1:2">
      <c r="A691">
        <v>14.7</v>
      </c>
      <c r="B691">
        <v>17.3</v>
      </c>
    </row>
    <row r="692" spans="1:2">
      <c r="A692">
        <v>14.7</v>
      </c>
      <c r="B692">
        <v>6.5</v>
      </c>
    </row>
    <row r="693" spans="1:2">
      <c r="A693">
        <v>14.8</v>
      </c>
      <c r="B693">
        <v>20.3</v>
      </c>
    </row>
    <row r="694" spans="1:2">
      <c r="A694">
        <v>14.8</v>
      </c>
      <c r="B694">
        <v>9.1</v>
      </c>
    </row>
    <row r="695" spans="1:2">
      <c r="A695">
        <v>14.8</v>
      </c>
      <c r="B695">
        <v>7.8</v>
      </c>
    </row>
    <row r="696" spans="1:2">
      <c r="A696">
        <v>14.8</v>
      </c>
      <c r="B696">
        <v>9.4</v>
      </c>
    </row>
    <row r="697" spans="1:2">
      <c r="A697">
        <v>14.8</v>
      </c>
      <c r="B697">
        <v>19.8</v>
      </c>
    </row>
    <row r="698" spans="1:2">
      <c r="A698">
        <v>14.8</v>
      </c>
      <c r="B698">
        <v>18.1</v>
      </c>
    </row>
    <row r="699" spans="1:2">
      <c r="A699">
        <v>14.8</v>
      </c>
      <c r="B699">
        <v>14.1</v>
      </c>
    </row>
    <row r="700" spans="1:2">
      <c r="A700">
        <v>14.8</v>
      </c>
      <c r="B700">
        <v>19.1</v>
      </c>
    </row>
    <row r="701" spans="1:2">
      <c r="A701">
        <v>14.9</v>
      </c>
      <c r="B701">
        <v>23.1</v>
      </c>
    </row>
    <row r="702" spans="1:2">
      <c r="A702">
        <v>14.9</v>
      </c>
      <c r="B702">
        <v>16.6</v>
      </c>
    </row>
    <row r="703" spans="1:2">
      <c r="A703">
        <v>14.9</v>
      </c>
      <c r="B703">
        <v>18.5</v>
      </c>
    </row>
    <row r="704" spans="1:2">
      <c r="A704">
        <v>14.9</v>
      </c>
      <c r="B704">
        <v>7.6</v>
      </c>
    </row>
    <row r="705" spans="1:2">
      <c r="A705">
        <v>14.9</v>
      </c>
      <c r="B705">
        <v>18.5</v>
      </c>
    </row>
    <row r="706" spans="1:2">
      <c r="A706">
        <v>15</v>
      </c>
      <c r="B706">
        <v>6.7</v>
      </c>
    </row>
    <row r="707" spans="1:2">
      <c r="A707">
        <v>15</v>
      </c>
      <c r="B707">
        <v>11.4</v>
      </c>
    </row>
    <row r="708" spans="1:2">
      <c r="A708">
        <v>15</v>
      </c>
      <c r="B708">
        <v>17.5</v>
      </c>
    </row>
    <row r="709" spans="1:2">
      <c r="A709">
        <v>15</v>
      </c>
      <c r="B709">
        <v>17.1</v>
      </c>
    </row>
    <row r="710" spans="1:2">
      <c r="A710">
        <v>15</v>
      </c>
      <c r="B710">
        <v>20.1</v>
      </c>
    </row>
    <row r="711" spans="1:2">
      <c r="A711">
        <v>15</v>
      </c>
      <c r="B711">
        <v>14</v>
      </c>
    </row>
    <row r="712" spans="1:2">
      <c r="A712">
        <v>15</v>
      </c>
      <c r="B712">
        <v>8.4</v>
      </c>
    </row>
    <row r="713" spans="1:2">
      <c r="A713">
        <v>15</v>
      </c>
      <c r="B713">
        <v>13.4</v>
      </c>
    </row>
    <row r="714" spans="1:2">
      <c r="A714">
        <v>15.1</v>
      </c>
      <c r="B714">
        <v>15.7</v>
      </c>
    </row>
    <row r="715" spans="1:2">
      <c r="A715">
        <v>15.1</v>
      </c>
      <c r="B715">
        <v>10.4</v>
      </c>
    </row>
    <row r="716" spans="1:2">
      <c r="A716">
        <v>15.1</v>
      </c>
      <c r="B716">
        <v>9</v>
      </c>
    </row>
    <row r="717" spans="1:2">
      <c r="A717">
        <v>15.1</v>
      </c>
      <c r="B717">
        <v>15.8</v>
      </c>
    </row>
    <row r="718" spans="1:2">
      <c r="A718">
        <v>15.2</v>
      </c>
      <c r="B718">
        <v>13.7</v>
      </c>
    </row>
    <row r="719" spans="1:2">
      <c r="A719">
        <v>15.2</v>
      </c>
      <c r="B719">
        <v>15.5</v>
      </c>
    </row>
    <row r="720" spans="1:2">
      <c r="A720">
        <v>15.2</v>
      </c>
      <c r="B720">
        <v>14.6</v>
      </c>
    </row>
    <row r="721" spans="1:2">
      <c r="A721">
        <v>15.2</v>
      </c>
      <c r="B721">
        <v>8.6</v>
      </c>
    </row>
    <row r="722" spans="1:2">
      <c r="A722">
        <v>15.2</v>
      </c>
      <c r="B722">
        <v>9.4</v>
      </c>
    </row>
    <row r="723" spans="1:2">
      <c r="A723">
        <v>15.2</v>
      </c>
      <c r="B723">
        <v>22.4</v>
      </c>
    </row>
    <row r="724" spans="1:2">
      <c r="A724">
        <v>15.2</v>
      </c>
      <c r="B724">
        <v>7.7</v>
      </c>
    </row>
    <row r="725" spans="1:2">
      <c r="A725">
        <v>15.2</v>
      </c>
      <c r="B725">
        <v>16.5</v>
      </c>
    </row>
    <row r="726" spans="1:2">
      <c r="A726">
        <v>15.2</v>
      </c>
      <c r="B726">
        <v>18.3</v>
      </c>
    </row>
    <row r="727" spans="1:2">
      <c r="A727">
        <v>15.3</v>
      </c>
      <c r="B727">
        <v>23.1</v>
      </c>
    </row>
    <row r="728" spans="1:2">
      <c r="A728">
        <v>15.3</v>
      </c>
      <c r="B728">
        <v>7.9</v>
      </c>
    </row>
    <row r="729" spans="1:2">
      <c r="A729">
        <v>15.3</v>
      </c>
      <c r="B729">
        <v>8.4</v>
      </c>
    </row>
    <row r="730" spans="1:2">
      <c r="A730">
        <v>15.3</v>
      </c>
      <c r="B730">
        <v>21.7</v>
      </c>
    </row>
    <row r="731" spans="1:2">
      <c r="A731">
        <v>15.3</v>
      </c>
      <c r="B731">
        <v>18.4</v>
      </c>
    </row>
    <row r="732" spans="1:2">
      <c r="A732">
        <v>15.4</v>
      </c>
      <c r="B732">
        <v>8.2</v>
      </c>
    </row>
    <row r="733" spans="1:2">
      <c r="A733">
        <v>15.4</v>
      </c>
      <c r="B733">
        <v>7.4</v>
      </c>
    </row>
    <row r="734" spans="1:2">
      <c r="A734">
        <v>15.4</v>
      </c>
      <c r="B734">
        <v>16</v>
      </c>
    </row>
    <row r="735" spans="1:2">
      <c r="A735">
        <v>15.4</v>
      </c>
      <c r="B735">
        <v>21.2</v>
      </c>
    </row>
    <row r="736" spans="1:2">
      <c r="A736">
        <v>15.4</v>
      </c>
      <c r="B736">
        <v>13.9</v>
      </c>
    </row>
    <row r="737" spans="1:2">
      <c r="A737">
        <v>15.4</v>
      </c>
      <c r="B737">
        <v>23.3</v>
      </c>
    </row>
    <row r="738" spans="1:2">
      <c r="A738">
        <v>15.4</v>
      </c>
      <c r="B738">
        <v>12.2</v>
      </c>
    </row>
    <row r="739" spans="1:2">
      <c r="A739">
        <v>15.4</v>
      </c>
      <c r="B739">
        <v>13.7</v>
      </c>
    </row>
    <row r="740" spans="1:2">
      <c r="A740">
        <v>15.4</v>
      </c>
      <c r="B740">
        <v>12</v>
      </c>
    </row>
    <row r="741" spans="1:2">
      <c r="A741">
        <v>15.4</v>
      </c>
      <c r="B741">
        <v>18.1</v>
      </c>
    </row>
    <row r="742" spans="1:2">
      <c r="A742">
        <v>15.5</v>
      </c>
      <c r="B742">
        <v>9</v>
      </c>
    </row>
    <row r="743" spans="1:2">
      <c r="A743">
        <v>15.5</v>
      </c>
      <c r="B743">
        <v>17.4</v>
      </c>
    </row>
    <row r="744" spans="1:2">
      <c r="A744">
        <v>15.5</v>
      </c>
      <c r="B744">
        <v>21.1</v>
      </c>
    </row>
    <row r="745" spans="1:2">
      <c r="A745">
        <v>15.5</v>
      </c>
      <c r="B745">
        <v>6.3</v>
      </c>
    </row>
    <row r="746" spans="1:2">
      <c r="A746">
        <v>15.5</v>
      </c>
      <c r="B746">
        <v>13.3</v>
      </c>
    </row>
    <row r="747" spans="1:2">
      <c r="A747">
        <v>15.5</v>
      </c>
      <c r="B747">
        <v>14.3</v>
      </c>
    </row>
    <row r="748" spans="1:2">
      <c r="A748">
        <v>15.5</v>
      </c>
      <c r="B748">
        <v>18.9</v>
      </c>
    </row>
    <row r="749" spans="1:2">
      <c r="A749">
        <v>15.5</v>
      </c>
      <c r="B749">
        <v>9.5</v>
      </c>
    </row>
    <row r="750" spans="1:2">
      <c r="A750">
        <v>15.5</v>
      </c>
      <c r="B750">
        <v>20.3</v>
      </c>
    </row>
    <row r="751" spans="1:2">
      <c r="A751">
        <v>15.5</v>
      </c>
      <c r="B751">
        <v>11.9</v>
      </c>
    </row>
    <row r="752" spans="1:2">
      <c r="A752">
        <v>15.6</v>
      </c>
      <c r="B752">
        <v>19.1</v>
      </c>
    </row>
    <row r="753" spans="1:2">
      <c r="A753">
        <v>15.6</v>
      </c>
      <c r="B753">
        <v>6.8</v>
      </c>
    </row>
    <row r="754" spans="1:2">
      <c r="A754">
        <v>15.7</v>
      </c>
      <c r="B754">
        <v>20.5</v>
      </c>
    </row>
    <row r="755" spans="1:2">
      <c r="A755">
        <v>15.7</v>
      </c>
      <c r="B755">
        <v>6.6</v>
      </c>
    </row>
    <row r="756" spans="1:2">
      <c r="A756">
        <v>15.7</v>
      </c>
      <c r="B756">
        <v>14.1</v>
      </c>
    </row>
    <row r="757" spans="1:2">
      <c r="A757">
        <v>15.7</v>
      </c>
      <c r="B757">
        <v>11.9</v>
      </c>
    </row>
    <row r="758" spans="1:2">
      <c r="A758">
        <v>15.7</v>
      </c>
      <c r="B758">
        <v>9.4</v>
      </c>
    </row>
    <row r="759" spans="1:2">
      <c r="A759">
        <v>15.8</v>
      </c>
      <c r="B759">
        <v>8.4</v>
      </c>
    </row>
    <row r="760" spans="1:2">
      <c r="A760">
        <v>15.8</v>
      </c>
      <c r="B760">
        <v>12.7</v>
      </c>
    </row>
    <row r="761" spans="1:2">
      <c r="A761">
        <v>15.8</v>
      </c>
      <c r="B761">
        <v>22.8</v>
      </c>
    </row>
    <row r="762" spans="1:2">
      <c r="A762">
        <v>15.9</v>
      </c>
      <c r="B762">
        <v>21.2</v>
      </c>
    </row>
    <row r="763" spans="1:2">
      <c r="A763">
        <v>15.9</v>
      </c>
      <c r="B763">
        <v>18.9</v>
      </c>
    </row>
    <row r="764" spans="1:2">
      <c r="A764">
        <v>15.9</v>
      </c>
      <c r="B764">
        <v>14.4</v>
      </c>
    </row>
    <row r="765" spans="1:2">
      <c r="A765">
        <v>15.9</v>
      </c>
      <c r="B765">
        <v>19.6</v>
      </c>
    </row>
    <row r="766" spans="1:2">
      <c r="A766">
        <v>16</v>
      </c>
      <c r="B766">
        <v>16.9</v>
      </c>
    </row>
    <row r="767" spans="1:2">
      <c r="A767">
        <v>16</v>
      </c>
      <c r="B767">
        <v>16.9</v>
      </c>
    </row>
    <row r="768" spans="1:2">
      <c r="A768">
        <v>16</v>
      </c>
      <c r="B768">
        <v>6.9</v>
      </c>
    </row>
    <row r="769" spans="1:2">
      <c r="A769">
        <v>16.1</v>
      </c>
      <c r="B769">
        <v>16</v>
      </c>
    </row>
    <row r="770" spans="1:2">
      <c r="A770">
        <v>16.1</v>
      </c>
      <c r="B770">
        <v>15.4</v>
      </c>
    </row>
    <row r="771" spans="1:2">
      <c r="A771">
        <v>16.1</v>
      </c>
      <c r="B771">
        <v>23.7</v>
      </c>
    </row>
    <row r="772" spans="1:2">
      <c r="A772">
        <v>16.1</v>
      </c>
      <c r="B772">
        <v>19.6</v>
      </c>
    </row>
    <row r="773" spans="1:2">
      <c r="A773">
        <v>16.1</v>
      </c>
      <c r="B773">
        <v>19.9</v>
      </c>
    </row>
    <row r="774" spans="1:2">
      <c r="A774">
        <v>16.1</v>
      </c>
      <c r="B774">
        <v>6.3</v>
      </c>
    </row>
    <row r="775" spans="1:2">
      <c r="A775">
        <v>16.1</v>
      </c>
      <c r="B775">
        <v>20.5</v>
      </c>
    </row>
    <row r="776" spans="1:2">
      <c r="A776">
        <v>16.1</v>
      </c>
      <c r="B776">
        <v>15.2</v>
      </c>
    </row>
    <row r="777" spans="1:2">
      <c r="A777">
        <v>16.1</v>
      </c>
      <c r="B777">
        <v>19.2</v>
      </c>
    </row>
    <row r="778" spans="1:2">
      <c r="A778">
        <v>16.1</v>
      </c>
      <c r="B778">
        <v>9.7</v>
      </c>
    </row>
    <row r="779" spans="1:2">
      <c r="A779">
        <v>16.2</v>
      </c>
      <c r="B779">
        <v>11.4</v>
      </c>
    </row>
    <row r="780" spans="1:2">
      <c r="A780">
        <v>16.2</v>
      </c>
      <c r="B780">
        <v>6.4</v>
      </c>
    </row>
    <row r="781" spans="1:2">
      <c r="A781">
        <v>16.3</v>
      </c>
      <c r="B781">
        <v>21.7</v>
      </c>
    </row>
    <row r="782" spans="1:2">
      <c r="A782">
        <v>16.3</v>
      </c>
      <c r="B782">
        <v>12.4</v>
      </c>
    </row>
    <row r="783" spans="1:2">
      <c r="A783">
        <v>16.3</v>
      </c>
      <c r="B783">
        <v>13.6</v>
      </c>
    </row>
    <row r="784" spans="1:2">
      <c r="A784">
        <v>16.3</v>
      </c>
      <c r="B784">
        <v>7.2</v>
      </c>
    </row>
    <row r="785" spans="1:2">
      <c r="A785">
        <v>16.3</v>
      </c>
      <c r="B785">
        <v>16.5</v>
      </c>
    </row>
    <row r="786" spans="1:2">
      <c r="A786">
        <v>16.3</v>
      </c>
      <c r="B786">
        <v>12.5</v>
      </c>
    </row>
    <row r="787" spans="1:2">
      <c r="A787">
        <v>16.3</v>
      </c>
      <c r="B787">
        <v>16</v>
      </c>
    </row>
    <row r="788" spans="1:2">
      <c r="A788">
        <v>16.3</v>
      </c>
      <c r="B788">
        <v>19.1</v>
      </c>
    </row>
    <row r="789" spans="1:2">
      <c r="A789">
        <v>16.3</v>
      </c>
      <c r="B789">
        <v>20.9</v>
      </c>
    </row>
    <row r="790" spans="1:2">
      <c r="A790">
        <v>16.4</v>
      </c>
      <c r="B790">
        <v>22.1</v>
      </c>
    </row>
    <row r="791" spans="1:2">
      <c r="A791">
        <v>16.4</v>
      </c>
      <c r="B791">
        <v>20.5</v>
      </c>
    </row>
    <row r="792" spans="1:2">
      <c r="A792">
        <v>16.4</v>
      </c>
      <c r="B792">
        <v>23.2</v>
      </c>
    </row>
    <row r="793" spans="1:2">
      <c r="A793">
        <v>16.4</v>
      </c>
      <c r="B793">
        <v>18.7</v>
      </c>
    </row>
    <row r="794" spans="1:2">
      <c r="A794">
        <v>16.4</v>
      </c>
      <c r="B794">
        <v>17.5</v>
      </c>
    </row>
    <row r="795" spans="1:2">
      <c r="A795">
        <v>16.4</v>
      </c>
      <c r="B795">
        <v>20.9</v>
      </c>
    </row>
    <row r="796" spans="1:2">
      <c r="A796">
        <v>16.5</v>
      </c>
      <c r="B796">
        <v>12.4</v>
      </c>
    </row>
    <row r="797" spans="1:2">
      <c r="A797">
        <v>16.5</v>
      </c>
      <c r="B797">
        <v>18.5</v>
      </c>
    </row>
    <row r="798" spans="1:2">
      <c r="A798">
        <v>16.5</v>
      </c>
      <c r="B798">
        <v>8.2</v>
      </c>
    </row>
    <row r="799" spans="1:2">
      <c r="A799">
        <v>16.5</v>
      </c>
      <c r="B799">
        <v>6.3</v>
      </c>
    </row>
    <row r="800" spans="1:2">
      <c r="A800">
        <v>16.5</v>
      </c>
      <c r="B800">
        <v>12</v>
      </c>
    </row>
    <row r="801" spans="1:2">
      <c r="A801">
        <v>16.5</v>
      </c>
      <c r="B801">
        <v>22.2</v>
      </c>
    </row>
    <row r="802" spans="1:2">
      <c r="A802">
        <v>16.5</v>
      </c>
      <c r="B802">
        <v>12.5</v>
      </c>
    </row>
    <row r="803" spans="1:2">
      <c r="A803">
        <v>16.6</v>
      </c>
      <c r="B803">
        <v>13.2</v>
      </c>
    </row>
    <row r="804" spans="1:2">
      <c r="A804">
        <v>16.6</v>
      </c>
      <c r="B804">
        <v>7.9</v>
      </c>
    </row>
    <row r="805" spans="1:2">
      <c r="A805">
        <v>16.6</v>
      </c>
      <c r="B805">
        <v>18.4</v>
      </c>
    </row>
    <row r="806" spans="1:2">
      <c r="A806">
        <v>16.6</v>
      </c>
      <c r="B806">
        <v>14</v>
      </c>
    </row>
    <row r="807" spans="1:2">
      <c r="A807">
        <v>16.6</v>
      </c>
      <c r="B807">
        <v>20.9</v>
      </c>
    </row>
    <row r="808" spans="1:2">
      <c r="A808">
        <v>16.6</v>
      </c>
      <c r="B808">
        <v>9.2</v>
      </c>
    </row>
    <row r="809" spans="1:2">
      <c r="A809">
        <v>16.6</v>
      </c>
      <c r="B809">
        <v>18</v>
      </c>
    </row>
    <row r="810" spans="1:2">
      <c r="A810">
        <v>16.6</v>
      </c>
      <c r="B810">
        <v>13.1</v>
      </c>
    </row>
    <row r="811" spans="1:2">
      <c r="A811">
        <v>16.7</v>
      </c>
      <c r="B811">
        <v>19.2</v>
      </c>
    </row>
    <row r="812" spans="1:2">
      <c r="A812">
        <v>16.7</v>
      </c>
      <c r="B812">
        <v>12.5</v>
      </c>
    </row>
    <row r="813" spans="1:2">
      <c r="A813">
        <v>16.7</v>
      </c>
      <c r="B813">
        <v>10.9</v>
      </c>
    </row>
    <row r="814" spans="1:2">
      <c r="A814">
        <v>16.7</v>
      </c>
      <c r="B814">
        <v>12.8</v>
      </c>
    </row>
    <row r="815" spans="1:2">
      <c r="A815">
        <v>16.7</v>
      </c>
      <c r="B815">
        <v>18.1</v>
      </c>
    </row>
    <row r="816" spans="1:2">
      <c r="A816">
        <v>16.7</v>
      </c>
      <c r="B816">
        <v>12.2</v>
      </c>
    </row>
    <row r="817" spans="1:2">
      <c r="A817">
        <v>16.8</v>
      </c>
      <c r="B817">
        <v>19.5</v>
      </c>
    </row>
    <row r="818" spans="1:2">
      <c r="A818">
        <v>16.8</v>
      </c>
      <c r="B818">
        <v>14.7</v>
      </c>
    </row>
    <row r="819" spans="1:2">
      <c r="A819">
        <v>16.8</v>
      </c>
      <c r="B819">
        <v>7.6</v>
      </c>
    </row>
    <row r="820" spans="1:2">
      <c r="A820">
        <v>16.8</v>
      </c>
      <c r="B820">
        <v>16.7</v>
      </c>
    </row>
    <row r="821" spans="1:2">
      <c r="A821">
        <v>16.8</v>
      </c>
      <c r="B821">
        <v>19.5</v>
      </c>
    </row>
    <row r="822" spans="1:2">
      <c r="A822">
        <v>16.8</v>
      </c>
      <c r="B822">
        <v>16.7</v>
      </c>
    </row>
    <row r="823" spans="1:2">
      <c r="A823">
        <v>16.8</v>
      </c>
      <c r="B823">
        <v>19.7</v>
      </c>
    </row>
    <row r="824" spans="1:2">
      <c r="A824">
        <v>16.9</v>
      </c>
      <c r="B824">
        <v>10.4</v>
      </c>
    </row>
    <row r="825" spans="1:2">
      <c r="A825">
        <v>16.9</v>
      </c>
      <c r="B825">
        <v>12.1</v>
      </c>
    </row>
    <row r="826" spans="1:2">
      <c r="A826">
        <v>16.9</v>
      </c>
      <c r="B826">
        <v>8.1</v>
      </c>
    </row>
    <row r="827" spans="1:2">
      <c r="A827">
        <v>16.9</v>
      </c>
      <c r="B827">
        <v>17.9</v>
      </c>
    </row>
    <row r="828" spans="1:2">
      <c r="A828">
        <v>16.9</v>
      </c>
      <c r="B828">
        <v>10.1</v>
      </c>
    </row>
    <row r="829" spans="1:2">
      <c r="A829">
        <v>17</v>
      </c>
      <c r="B829">
        <v>12.2</v>
      </c>
    </row>
    <row r="830" spans="1:2">
      <c r="A830">
        <v>17</v>
      </c>
      <c r="B830">
        <v>10.9</v>
      </c>
    </row>
    <row r="831" spans="1:2">
      <c r="A831">
        <v>17</v>
      </c>
      <c r="B831">
        <v>11.6</v>
      </c>
    </row>
    <row r="832" spans="1:2">
      <c r="A832">
        <v>17</v>
      </c>
      <c r="B832">
        <v>9.4</v>
      </c>
    </row>
    <row r="833" spans="1:2">
      <c r="A833">
        <v>17</v>
      </c>
      <c r="B833">
        <v>12.5</v>
      </c>
    </row>
    <row r="834" spans="1:2">
      <c r="A834">
        <v>17.1</v>
      </c>
      <c r="B834">
        <v>11.7</v>
      </c>
    </row>
    <row r="835" spans="1:2">
      <c r="A835">
        <v>17.1</v>
      </c>
      <c r="B835">
        <v>14.9</v>
      </c>
    </row>
    <row r="836" spans="1:2">
      <c r="A836">
        <v>17.1</v>
      </c>
      <c r="B836">
        <v>13.7</v>
      </c>
    </row>
    <row r="837" spans="1:2">
      <c r="A837">
        <v>17.1</v>
      </c>
      <c r="B837">
        <v>16.6</v>
      </c>
    </row>
    <row r="838" spans="1:2">
      <c r="A838">
        <v>17.1</v>
      </c>
      <c r="B838">
        <v>20.9</v>
      </c>
    </row>
    <row r="839" spans="1:2">
      <c r="A839">
        <v>17.2</v>
      </c>
      <c r="B839">
        <v>20.6</v>
      </c>
    </row>
    <row r="840" spans="1:2">
      <c r="A840">
        <v>17.2</v>
      </c>
      <c r="B840">
        <v>15.6</v>
      </c>
    </row>
    <row r="841" spans="1:2">
      <c r="A841">
        <v>17.2</v>
      </c>
      <c r="B841">
        <v>6.7</v>
      </c>
    </row>
    <row r="842" spans="1:2">
      <c r="A842">
        <v>17.2</v>
      </c>
      <c r="B842">
        <v>18.6</v>
      </c>
    </row>
    <row r="843" spans="1:2">
      <c r="A843">
        <v>17.2</v>
      </c>
      <c r="B843">
        <v>13.3</v>
      </c>
    </row>
    <row r="844" spans="1:2">
      <c r="A844">
        <v>17.3</v>
      </c>
      <c r="B844">
        <v>21.2</v>
      </c>
    </row>
    <row r="845" spans="1:2">
      <c r="A845">
        <v>17.3</v>
      </c>
      <c r="B845">
        <v>10.6</v>
      </c>
    </row>
    <row r="846" spans="1:2">
      <c r="A846">
        <v>17.3</v>
      </c>
      <c r="B846">
        <v>21.7</v>
      </c>
    </row>
    <row r="847" spans="1:2">
      <c r="A847">
        <v>17.3</v>
      </c>
      <c r="B847">
        <v>23.1</v>
      </c>
    </row>
    <row r="848" spans="1:2">
      <c r="A848">
        <v>17.3</v>
      </c>
      <c r="B848">
        <v>6.5</v>
      </c>
    </row>
    <row r="849" spans="1:2">
      <c r="A849">
        <v>17.4</v>
      </c>
      <c r="B849">
        <v>23</v>
      </c>
    </row>
    <row r="850" spans="1:2">
      <c r="A850">
        <v>17.4</v>
      </c>
      <c r="B850">
        <v>15.7</v>
      </c>
    </row>
    <row r="851" spans="1:2">
      <c r="A851">
        <v>17.4</v>
      </c>
      <c r="B851">
        <v>10.5</v>
      </c>
    </row>
    <row r="852" spans="1:2">
      <c r="A852">
        <v>17.4</v>
      </c>
      <c r="B852">
        <v>18.1</v>
      </c>
    </row>
    <row r="853" spans="1:2">
      <c r="A853">
        <v>17.4</v>
      </c>
      <c r="B853">
        <v>20.5</v>
      </c>
    </row>
    <row r="854" spans="1:2">
      <c r="A854">
        <v>17.5</v>
      </c>
      <c r="B854">
        <v>23.9</v>
      </c>
    </row>
    <row r="855" spans="1:2">
      <c r="A855">
        <v>17.5</v>
      </c>
      <c r="B855">
        <v>20.3</v>
      </c>
    </row>
    <row r="856" spans="1:2">
      <c r="A856">
        <v>17.5</v>
      </c>
      <c r="B856">
        <v>20.7</v>
      </c>
    </row>
    <row r="857" spans="1:2">
      <c r="A857">
        <v>17.5</v>
      </c>
      <c r="B857">
        <v>12.2</v>
      </c>
    </row>
    <row r="858" spans="1:2">
      <c r="A858">
        <v>17.6</v>
      </c>
      <c r="B858">
        <v>8.1</v>
      </c>
    </row>
    <row r="859" spans="1:2">
      <c r="A859">
        <v>17.6</v>
      </c>
      <c r="B859">
        <v>9.4</v>
      </c>
    </row>
    <row r="860" spans="1:2">
      <c r="A860">
        <v>17.6</v>
      </c>
      <c r="B860">
        <v>23.6</v>
      </c>
    </row>
    <row r="861" spans="1:2">
      <c r="A861">
        <v>17.6</v>
      </c>
      <c r="B861">
        <v>8.5</v>
      </c>
    </row>
    <row r="862" spans="1:2">
      <c r="A862">
        <v>17.6</v>
      </c>
      <c r="B862">
        <v>11.4</v>
      </c>
    </row>
    <row r="863" spans="1:2">
      <c r="A863">
        <v>17.6</v>
      </c>
      <c r="B863">
        <v>15.2</v>
      </c>
    </row>
    <row r="864" spans="1:2">
      <c r="A864">
        <v>17.6</v>
      </c>
      <c r="B864">
        <v>10.4</v>
      </c>
    </row>
    <row r="865" spans="1:2">
      <c r="A865">
        <v>17.6</v>
      </c>
      <c r="B865">
        <v>16.1</v>
      </c>
    </row>
    <row r="866" spans="1:2">
      <c r="A866">
        <v>17.7</v>
      </c>
      <c r="B866">
        <v>7</v>
      </c>
    </row>
    <row r="867" spans="1:2">
      <c r="A867">
        <v>17.7</v>
      </c>
      <c r="B867">
        <v>17.2</v>
      </c>
    </row>
    <row r="868" spans="1:2">
      <c r="A868">
        <v>17.7</v>
      </c>
      <c r="B868">
        <v>23.5</v>
      </c>
    </row>
    <row r="869" spans="1:2">
      <c r="A869">
        <v>17.7</v>
      </c>
      <c r="B869">
        <v>21.3</v>
      </c>
    </row>
    <row r="870" spans="1:2">
      <c r="A870">
        <v>17.7</v>
      </c>
      <c r="B870">
        <v>12.8</v>
      </c>
    </row>
    <row r="871" spans="1:2">
      <c r="A871">
        <v>17.7</v>
      </c>
      <c r="B871">
        <v>18.9</v>
      </c>
    </row>
    <row r="872" spans="1:2">
      <c r="A872">
        <v>17.7</v>
      </c>
      <c r="B872">
        <v>12.2</v>
      </c>
    </row>
    <row r="873" spans="1:2">
      <c r="A873">
        <v>17.7</v>
      </c>
      <c r="B873">
        <v>20</v>
      </c>
    </row>
    <row r="874" spans="1:2">
      <c r="A874">
        <v>17.7</v>
      </c>
      <c r="B874">
        <v>10.6</v>
      </c>
    </row>
    <row r="875" spans="1:2">
      <c r="A875">
        <v>17.7</v>
      </c>
      <c r="B875">
        <v>20.5</v>
      </c>
    </row>
    <row r="876" spans="1:2">
      <c r="A876">
        <v>17.7</v>
      </c>
      <c r="B876">
        <v>7.5</v>
      </c>
    </row>
    <row r="877" spans="1:2">
      <c r="A877">
        <v>17.7</v>
      </c>
      <c r="B877">
        <v>16.3</v>
      </c>
    </row>
    <row r="878" spans="1:2">
      <c r="A878">
        <v>17.7</v>
      </c>
      <c r="B878">
        <v>13.1</v>
      </c>
    </row>
    <row r="879" spans="1:2">
      <c r="A879">
        <v>17.8</v>
      </c>
      <c r="B879">
        <v>22.6</v>
      </c>
    </row>
    <row r="880" spans="1:2">
      <c r="A880">
        <v>17.8</v>
      </c>
      <c r="B880">
        <v>16.5</v>
      </c>
    </row>
    <row r="881" spans="1:2">
      <c r="A881">
        <v>17.8</v>
      </c>
      <c r="B881">
        <v>17.5</v>
      </c>
    </row>
    <row r="882" spans="1:2">
      <c r="A882">
        <v>17.8</v>
      </c>
      <c r="B882">
        <v>14</v>
      </c>
    </row>
    <row r="883" spans="1:2">
      <c r="A883">
        <v>17.8</v>
      </c>
      <c r="B883">
        <v>11.2</v>
      </c>
    </row>
    <row r="884" spans="1:2">
      <c r="A884">
        <v>17.8</v>
      </c>
      <c r="B884">
        <v>12.1</v>
      </c>
    </row>
    <row r="885" spans="1:2">
      <c r="A885">
        <v>17.8</v>
      </c>
      <c r="B885">
        <v>12.1</v>
      </c>
    </row>
    <row r="886" spans="1:2">
      <c r="A886">
        <v>17.9</v>
      </c>
      <c r="B886">
        <v>16.1</v>
      </c>
    </row>
    <row r="887" spans="1:2">
      <c r="A887">
        <v>17.9</v>
      </c>
      <c r="B887">
        <v>7.5</v>
      </c>
    </row>
    <row r="888" spans="1:2">
      <c r="A888">
        <v>17.9</v>
      </c>
      <c r="B888">
        <v>20.9</v>
      </c>
    </row>
    <row r="889" spans="1:2">
      <c r="A889">
        <v>17.9</v>
      </c>
      <c r="B889">
        <v>15.6</v>
      </c>
    </row>
    <row r="890" spans="1:2">
      <c r="A890">
        <v>17.9</v>
      </c>
      <c r="B890">
        <v>16.2</v>
      </c>
    </row>
    <row r="891" spans="1:2">
      <c r="A891">
        <v>17.9</v>
      </c>
      <c r="B891">
        <v>13.5</v>
      </c>
    </row>
    <row r="892" spans="1:2">
      <c r="A892">
        <v>18</v>
      </c>
      <c r="B892">
        <v>21.8</v>
      </c>
    </row>
    <row r="893" spans="1:2">
      <c r="A893">
        <v>18</v>
      </c>
      <c r="B893">
        <v>7.5</v>
      </c>
    </row>
    <row r="894" spans="1:2">
      <c r="A894">
        <v>18</v>
      </c>
      <c r="B894">
        <v>13.2</v>
      </c>
    </row>
    <row r="895" spans="1:2">
      <c r="A895">
        <v>18</v>
      </c>
      <c r="B895">
        <v>23.1</v>
      </c>
    </row>
    <row r="896" spans="1:2">
      <c r="A896">
        <v>18.1</v>
      </c>
      <c r="B896">
        <v>17.3</v>
      </c>
    </row>
    <row r="897" spans="1:2">
      <c r="A897">
        <v>18.1</v>
      </c>
      <c r="B897">
        <v>8.6</v>
      </c>
    </row>
    <row r="898" spans="1:2">
      <c r="A898">
        <v>18.1</v>
      </c>
      <c r="B898">
        <v>11.7</v>
      </c>
    </row>
    <row r="899" spans="1:2">
      <c r="A899">
        <v>18.1</v>
      </c>
      <c r="B899">
        <v>9.6</v>
      </c>
    </row>
    <row r="900" spans="1:2">
      <c r="A900">
        <v>18.1</v>
      </c>
      <c r="B900">
        <v>9.5</v>
      </c>
    </row>
    <row r="901" spans="1:2">
      <c r="A901">
        <v>18.1</v>
      </c>
      <c r="B901">
        <v>23.8</v>
      </c>
    </row>
    <row r="902" spans="1:2">
      <c r="A902">
        <v>18.1</v>
      </c>
      <c r="B902">
        <v>10</v>
      </c>
    </row>
    <row r="903" spans="1:2">
      <c r="A903">
        <v>18.1</v>
      </c>
      <c r="B903">
        <v>22.5</v>
      </c>
    </row>
    <row r="904" spans="1:2">
      <c r="A904">
        <v>18.2</v>
      </c>
      <c r="B904">
        <v>12.2</v>
      </c>
    </row>
    <row r="905" spans="1:2">
      <c r="A905">
        <v>18.2</v>
      </c>
      <c r="B905">
        <v>7.5</v>
      </c>
    </row>
    <row r="906" spans="1:2">
      <c r="A906">
        <v>18.2</v>
      </c>
      <c r="B906">
        <v>21.2</v>
      </c>
    </row>
    <row r="907" spans="1:2">
      <c r="A907">
        <v>18.2</v>
      </c>
      <c r="B907">
        <v>13.1</v>
      </c>
    </row>
    <row r="908" spans="1:2">
      <c r="A908">
        <v>18.2</v>
      </c>
      <c r="B908">
        <v>22</v>
      </c>
    </row>
    <row r="909" spans="1:2">
      <c r="A909">
        <v>18.3</v>
      </c>
      <c r="B909">
        <v>21.1</v>
      </c>
    </row>
    <row r="910" spans="1:2">
      <c r="A910">
        <v>18.3</v>
      </c>
      <c r="B910">
        <v>11.9</v>
      </c>
    </row>
    <row r="911" spans="1:2">
      <c r="A911">
        <v>18.3</v>
      </c>
      <c r="B911">
        <v>6.5</v>
      </c>
    </row>
    <row r="912" spans="1:2">
      <c r="A912">
        <v>18.3</v>
      </c>
      <c r="B912">
        <v>17.8</v>
      </c>
    </row>
    <row r="913" spans="1:2">
      <c r="A913">
        <v>18.5</v>
      </c>
      <c r="B913">
        <v>11.3</v>
      </c>
    </row>
    <row r="914" spans="1:2">
      <c r="A914">
        <v>18.5</v>
      </c>
      <c r="B914">
        <v>17.1</v>
      </c>
    </row>
    <row r="915" spans="1:2">
      <c r="A915">
        <v>18.5</v>
      </c>
      <c r="B915">
        <v>7.6</v>
      </c>
    </row>
    <row r="916" spans="1:2">
      <c r="A916">
        <v>18.5</v>
      </c>
      <c r="B916">
        <v>14.7</v>
      </c>
    </row>
    <row r="917" spans="1:2">
      <c r="A917">
        <v>18.5</v>
      </c>
      <c r="B917">
        <v>15.7</v>
      </c>
    </row>
    <row r="918" spans="1:2">
      <c r="A918">
        <v>18.6</v>
      </c>
      <c r="B918">
        <v>21.2</v>
      </c>
    </row>
    <row r="919" spans="1:2">
      <c r="A919">
        <v>18.6</v>
      </c>
      <c r="B919">
        <v>12.2</v>
      </c>
    </row>
    <row r="920" spans="1:2">
      <c r="A920">
        <v>18.6</v>
      </c>
      <c r="B920">
        <v>21</v>
      </c>
    </row>
    <row r="921" spans="1:2">
      <c r="A921">
        <v>18.6</v>
      </c>
      <c r="B921">
        <v>19.4</v>
      </c>
    </row>
    <row r="922" spans="1:2">
      <c r="A922">
        <v>18.6</v>
      </c>
      <c r="B922">
        <v>17</v>
      </c>
    </row>
    <row r="923" spans="1:2">
      <c r="A923">
        <v>18.7</v>
      </c>
      <c r="B923">
        <v>18.5</v>
      </c>
    </row>
    <row r="924" spans="1:2">
      <c r="A924">
        <v>18.7</v>
      </c>
      <c r="B924">
        <v>14.3</v>
      </c>
    </row>
    <row r="925" spans="1:2">
      <c r="A925">
        <v>18.7</v>
      </c>
      <c r="B925">
        <v>13.8</v>
      </c>
    </row>
    <row r="926" spans="1:2">
      <c r="A926">
        <v>18.7</v>
      </c>
      <c r="B926">
        <v>11.5</v>
      </c>
    </row>
    <row r="927" spans="1:2">
      <c r="A927">
        <v>18.7</v>
      </c>
      <c r="B927">
        <v>19.1</v>
      </c>
    </row>
    <row r="928" spans="1:2">
      <c r="A928">
        <v>18.8</v>
      </c>
      <c r="B928">
        <v>18</v>
      </c>
    </row>
    <row r="929" spans="1:2">
      <c r="A929">
        <v>18.8</v>
      </c>
      <c r="B929">
        <v>10.4</v>
      </c>
    </row>
    <row r="930" spans="1:2">
      <c r="A930">
        <v>18.8</v>
      </c>
      <c r="B930">
        <v>20.3</v>
      </c>
    </row>
    <row r="931" spans="1:2">
      <c r="A931">
        <v>18.8</v>
      </c>
      <c r="B931">
        <v>23.9</v>
      </c>
    </row>
    <row r="932" spans="1:2">
      <c r="A932">
        <v>18.8</v>
      </c>
      <c r="B932">
        <v>11.3</v>
      </c>
    </row>
    <row r="933" spans="1:2">
      <c r="A933">
        <v>18.8</v>
      </c>
      <c r="B933">
        <v>20.5</v>
      </c>
    </row>
    <row r="934" spans="1:2">
      <c r="A934">
        <v>18.8</v>
      </c>
      <c r="B934">
        <v>22.7</v>
      </c>
    </row>
    <row r="935" spans="1:2">
      <c r="A935">
        <v>18.8</v>
      </c>
      <c r="B935">
        <v>18.9</v>
      </c>
    </row>
    <row r="936" spans="1:2">
      <c r="A936">
        <v>18.9</v>
      </c>
      <c r="B936">
        <v>14.1</v>
      </c>
    </row>
    <row r="937" spans="1:2">
      <c r="A937">
        <v>18.9</v>
      </c>
      <c r="B937">
        <v>12.6</v>
      </c>
    </row>
    <row r="938" spans="1:2">
      <c r="A938">
        <v>18.9</v>
      </c>
      <c r="B938">
        <v>18.3</v>
      </c>
    </row>
    <row r="939" spans="1:2">
      <c r="A939">
        <v>19</v>
      </c>
      <c r="B939">
        <v>17</v>
      </c>
    </row>
    <row r="940" spans="1:2">
      <c r="A940">
        <v>19</v>
      </c>
      <c r="B940">
        <v>12.4</v>
      </c>
    </row>
    <row r="941" spans="1:2">
      <c r="A941">
        <v>19</v>
      </c>
      <c r="B941">
        <v>23.2</v>
      </c>
    </row>
    <row r="942" spans="1:2">
      <c r="A942">
        <v>19</v>
      </c>
      <c r="B942">
        <v>10.8</v>
      </c>
    </row>
    <row r="943" spans="1:2">
      <c r="A943">
        <v>19</v>
      </c>
      <c r="B943">
        <v>12.7</v>
      </c>
    </row>
    <row r="944" spans="1:2">
      <c r="A944">
        <v>19</v>
      </c>
      <c r="B944">
        <v>20.6</v>
      </c>
    </row>
    <row r="945" spans="1:2">
      <c r="A945">
        <v>19</v>
      </c>
      <c r="B945">
        <v>16.5</v>
      </c>
    </row>
    <row r="946" spans="1:2">
      <c r="A946">
        <v>19.1</v>
      </c>
      <c r="B946">
        <v>14.3</v>
      </c>
    </row>
    <row r="947" spans="1:2">
      <c r="A947">
        <v>19.1</v>
      </c>
      <c r="B947">
        <v>21.5</v>
      </c>
    </row>
    <row r="948" spans="1:2">
      <c r="A948">
        <v>19.1</v>
      </c>
      <c r="B948">
        <v>23.5</v>
      </c>
    </row>
    <row r="949" spans="1:2">
      <c r="A949">
        <v>19.1</v>
      </c>
      <c r="B949">
        <v>9.9</v>
      </c>
    </row>
    <row r="950" spans="1:2">
      <c r="A950">
        <v>19.1</v>
      </c>
      <c r="B950">
        <v>21.8</v>
      </c>
    </row>
    <row r="951" spans="1:2">
      <c r="A951">
        <v>19.1</v>
      </c>
      <c r="B951">
        <v>8.8</v>
      </c>
    </row>
    <row r="952" spans="1:2">
      <c r="A952">
        <v>19.1</v>
      </c>
      <c r="B952">
        <v>21.3</v>
      </c>
    </row>
    <row r="953" spans="1:2">
      <c r="A953">
        <v>19.1</v>
      </c>
      <c r="B953">
        <v>6.8</v>
      </c>
    </row>
    <row r="954" spans="1:2">
      <c r="A954">
        <v>19.1</v>
      </c>
      <c r="B954">
        <v>18.4</v>
      </c>
    </row>
    <row r="955" spans="1:2">
      <c r="A955">
        <v>19.2</v>
      </c>
      <c r="B955">
        <v>17.7</v>
      </c>
    </row>
    <row r="956" spans="1:2">
      <c r="A956">
        <v>19.2</v>
      </c>
      <c r="B956">
        <v>7.4</v>
      </c>
    </row>
    <row r="957" spans="1:2">
      <c r="A957">
        <v>19.2</v>
      </c>
      <c r="B957">
        <v>23.6</v>
      </c>
    </row>
    <row r="958" spans="1:2">
      <c r="A958">
        <v>19.3</v>
      </c>
      <c r="B958">
        <v>11.2</v>
      </c>
    </row>
    <row r="959" spans="1:2">
      <c r="A959">
        <v>19.3</v>
      </c>
      <c r="B959">
        <v>8.9</v>
      </c>
    </row>
    <row r="960" spans="1:2">
      <c r="A960">
        <v>19.4</v>
      </c>
      <c r="B960">
        <v>10.6</v>
      </c>
    </row>
    <row r="961" spans="1:2">
      <c r="A961">
        <v>19.4</v>
      </c>
      <c r="B961">
        <v>14.4</v>
      </c>
    </row>
    <row r="962" spans="1:2">
      <c r="A962">
        <v>19.4</v>
      </c>
      <c r="B962">
        <v>11.1</v>
      </c>
    </row>
    <row r="963" spans="1:2">
      <c r="A963">
        <v>19.4</v>
      </c>
      <c r="B963">
        <v>23.6</v>
      </c>
    </row>
    <row r="964" spans="1:2">
      <c r="A964">
        <v>19.4</v>
      </c>
      <c r="B964">
        <v>19.8</v>
      </c>
    </row>
    <row r="965" spans="1:2">
      <c r="A965">
        <v>19.4</v>
      </c>
      <c r="B965">
        <v>6.3</v>
      </c>
    </row>
    <row r="966" spans="1:2">
      <c r="A966">
        <v>19.4</v>
      </c>
      <c r="B966">
        <v>11.5</v>
      </c>
    </row>
    <row r="967" spans="1:2">
      <c r="A967">
        <v>19.5</v>
      </c>
      <c r="B967">
        <v>18.7</v>
      </c>
    </row>
    <row r="968" spans="1:2">
      <c r="A968">
        <v>19.5</v>
      </c>
      <c r="B968">
        <v>15.8</v>
      </c>
    </row>
    <row r="969" spans="1:2">
      <c r="A969">
        <v>19.5</v>
      </c>
      <c r="B969">
        <v>22.7</v>
      </c>
    </row>
    <row r="970" spans="1:2">
      <c r="A970">
        <v>19.5</v>
      </c>
      <c r="B970">
        <v>16.5</v>
      </c>
    </row>
    <row r="971" spans="1:2">
      <c r="A971">
        <v>19.5</v>
      </c>
      <c r="B971">
        <v>21.8</v>
      </c>
    </row>
    <row r="972" spans="1:2">
      <c r="A972">
        <v>19.5</v>
      </c>
      <c r="B972">
        <v>7.5</v>
      </c>
    </row>
    <row r="973" spans="1:2">
      <c r="A973">
        <v>19.5</v>
      </c>
      <c r="B973">
        <v>7</v>
      </c>
    </row>
    <row r="974" spans="1:2">
      <c r="A974">
        <v>19.6</v>
      </c>
      <c r="B974">
        <v>9.9</v>
      </c>
    </row>
    <row r="975" spans="1:2">
      <c r="A975">
        <v>19.6</v>
      </c>
      <c r="B975">
        <v>23.9</v>
      </c>
    </row>
    <row r="976" spans="1:2">
      <c r="A976">
        <v>19.6</v>
      </c>
      <c r="B976">
        <v>10.3</v>
      </c>
    </row>
    <row r="977" spans="1:2">
      <c r="A977">
        <v>19.6</v>
      </c>
      <c r="B977">
        <v>15.8</v>
      </c>
    </row>
    <row r="978" spans="1:2">
      <c r="A978">
        <v>19.6</v>
      </c>
      <c r="B978">
        <v>18.9</v>
      </c>
    </row>
    <row r="979" spans="1:2">
      <c r="A979">
        <v>19.7</v>
      </c>
      <c r="B979">
        <v>15.8</v>
      </c>
    </row>
    <row r="980" spans="1:2">
      <c r="A980">
        <v>19.7</v>
      </c>
      <c r="B980">
        <v>11</v>
      </c>
    </row>
    <row r="981" spans="1:2">
      <c r="A981">
        <v>19.7</v>
      </c>
      <c r="B981">
        <v>13.5</v>
      </c>
    </row>
    <row r="982" spans="1:2">
      <c r="A982">
        <v>19.7</v>
      </c>
      <c r="B982">
        <v>23.9</v>
      </c>
    </row>
    <row r="983" spans="1:2">
      <c r="A983">
        <v>19.7</v>
      </c>
      <c r="B983">
        <v>8.1</v>
      </c>
    </row>
    <row r="984" spans="1:2">
      <c r="A984">
        <v>19.7</v>
      </c>
      <c r="B984">
        <v>8.5</v>
      </c>
    </row>
    <row r="985" spans="1:2">
      <c r="A985">
        <v>19.8</v>
      </c>
      <c r="B985">
        <v>6.3</v>
      </c>
    </row>
    <row r="986" spans="1:2">
      <c r="A986">
        <v>19.8</v>
      </c>
      <c r="B986">
        <v>8.7</v>
      </c>
    </row>
    <row r="987" spans="1:2">
      <c r="A987">
        <v>19.8</v>
      </c>
      <c r="B987">
        <v>14.9</v>
      </c>
    </row>
    <row r="988" spans="1:2">
      <c r="A988">
        <v>19.8</v>
      </c>
      <c r="B988">
        <v>17.2</v>
      </c>
    </row>
    <row r="989" spans="1:2">
      <c r="A989">
        <v>19.8</v>
      </c>
      <c r="B989">
        <v>10.8</v>
      </c>
    </row>
    <row r="990" spans="1:2">
      <c r="A990">
        <v>19.8</v>
      </c>
      <c r="B990">
        <v>12.4</v>
      </c>
    </row>
    <row r="991" spans="1:2">
      <c r="A991">
        <v>19.8</v>
      </c>
      <c r="B991">
        <v>14.3</v>
      </c>
    </row>
    <row r="992" spans="1:2">
      <c r="A992">
        <v>19.9</v>
      </c>
      <c r="B992">
        <v>22.7</v>
      </c>
    </row>
    <row r="993" spans="1:2">
      <c r="A993">
        <v>19.9</v>
      </c>
      <c r="B993">
        <v>14.9</v>
      </c>
    </row>
    <row r="994" spans="1:2">
      <c r="A994">
        <v>19.9</v>
      </c>
      <c r="B994">
        <v>19.1</v>
      </c>
    </row>
    <row r="995" spans="1:2">
      <c r="A995">
        <v>19.9</v>
      </c>
      <c r="B995">
        <v>18.6</v>
      </c>
    </row>
    <row r="996" spans="1:2">
      <c r="A996">
        <v>19.9</v>
      </c>
      <c r="B996">
        <v>23.1</v>
      </c>
    </row>
    <row r="997" spans="1:2">
      <c r="A997">
        <v>19.9</v>
      </c>
      <c r="B997">
        <v>22</v>
      </c>
    </row>
    <row r="998" spans="1:2">
      <c r="A998">
        <v>19.9</v>
      </c>
      <c r="B998">
        <v>22.8</v>
      </c>
    </row>
    <row r="999" spans="1:2">
      <c r="A999">
        <v>20</v>
      </c>
      <c r="B999">
        <v>20.4</v>
      </c>
    </row>
    <row r="1000" spans="1:2">
      <c r="A1000">
        <v>20</v>
      </c>
      <c r="B1000">
        <v>10.9</v>
      </c>
    </row>
    <row r="1001" spans="1:2">
      <c r="A1001">
        <v>20</v>
      </c>
      <c r="B1001">
        <v>17.8</v>
      </c>
    </row>
    <row r="1002" spans="1:2">
      <c r="A1002">
        <v>20</v>
      </c>
      <c r="B1002">
        <v>19.2</v>
      </c>
    </row>
    <row r="1003" spans="1:2">
      <c r="A1003">
        <v>20</v>
      </c>
      <c r="B1003">
        <v>6.2</v>
      </c>
    </row>
    <row r="1004" spans="1:2">
      <c r="A1004">
        <v>20</v>
      </c>
      <c r="B1004">
        <v>16.7</v>
      </c>
    </row>
  </sheetData>
  <sortState ref="A2:B1001">
    <sortCondition ref="A2"/>
  </sortState>
  <mergeCells count="1">
    <mergeCell ref="A1:XFD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ML1</vt:lpstr>
      <vt:lpstr>ML2</vt:lpstr>
      <vt:lpstr>ML3</vt:lpstr>
      <vt:lpstr>ML5</vt:lpstr>
      <vt:lpstr>ML6</vt:lpstr>
      <vt:lpstr>ML7</vt:lpstr>
      <vt:lpstr>ML8</vt:lpstr>
      <vt:lpstr>ML10</vt:lpstr>
      <vt:lpstr>VIS2</vt:lpstr>
      <vt:lpstr>VIS3</vt:lpstr>
      <vt:lpstr>VIS4</vt:lpstr>
      <vt:lpstr>VIS5</vt:lpstr>
      <vt:lpstr>VIS6</vt:lpstr>
      <vt:lpstr>VIS7</vt:lpstr>
      <vt:lpstr>VIS10</vt:lpstr>
      <vt:lpstr>VIS11</vt:lpstr>
      <vt:lpstr>VIS13</vt:lpstr>
      <vt:lpstr>VIS14</vt:lpstr>
      <vt:lpstr>VIS15</vt:lpstr>
      <vt:lpstr>Main Sheet</vt:lpstr>
      <vt:lpstr>separate values</vt:lpstr>
      <vt:lpstr>ML4</vt:lpstr>
      <vt:lpstr>ML9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 nagariya</cp:lastModifiedBy>
  <dcterms:created xsi:type="dcterms:W3CDTF">2024-10-19T16:45:00Z</dcterms:created>
  <dcterms:modified xsi:type="dcterms:W3CDTF">2025-02-17T08:42:00Z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300D6505B58E4DEE814BABEFC7C3CCA6_12</vt:lpwstr>
  </property>
  <property fmtid="{D5CDD505-2E9C-101B-9397-08002B2CF9AE}" pid="3" name="KSOProductBuildVer">
    <vt:lpwstr>1033-12.2.0.19805</vt:lpwstr>
  </property>
</Properties>
</file>